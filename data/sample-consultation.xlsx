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e6f1128b4180d5b/Documents/"/>
    </mc:Choice>
  </mc:AlternateContent>
  <xr:revisionPtr revIDLastSave="17" documentId="13_ncr:1_{6A4F8EEC-8E32-4F2D-AA29-3B44F178B4A2}" xr6:coauthVersionLast="47" xr6:coauthVersionMax="47" xr10:uidLastSave="{B3F19569-19F5-41CB-8F42-8D375A342946}"/>
  <bookViews>
    <workbookView xWindow="-108" yWindow="-108" windowWidth="23256" windowHeight="13896" firstSheet="2" activeTab="5" xr2:uid="{00000000-000D-0000-FFFF-FFFF00000000}"/>
  </bookViews>
  <sheets>
    <sheet name="2 months" sheetId="43" r:id="rId1"/>
    <sheet name="1 month" sheetId="42" r:id="rId2"/>
    <sheet name="18" sheetId="41" r:id="rId3"/>
    <sheet name="3 mos" sheetId="37" r:id="rId4"/>
    <sheet name="9 mos" sheetId="48" r:id="rId5"/>
    <sheet name="6 mos" sheetId="39" r:id="rId6"/>
    <sheet name="8 mos" sheetId="49" r:id="rId7"/>
    <sheet name="15 mos" sheetId="47" r:id="rId8"/>
    <sheet name="20 mos" sheetId="46" r:id="rId9"/>
    <sheet name="7 mos" sheetId="45" r:id="rId10"/>
    <sheet name="5 mos" sheetId="33" r:id="rId11"/>
    <sheet name="10 mos" sheetId="31" r:id="rId12"/>
    <sheet name="12 mos" sheetId="34" r:id="rId13"/>
    <sheet name="24 mos" sheetId="35" r:id="rId14"/>
    <sheet name="36 mos" sheetId="36" r:id="rId15"/>
    <sheet name="4 mos" sheetId="40" r:id="rId16"/>
    <sheet name="60-12" sheetId="10" state="hidden" r:id="rId17"/>
    <sheet name="50-12" sheetId="14" state="hidden" r:id="rId18"/>
    <sheet name="30-12" sheetId="15" state="hidden" r:id="rId19"/>
    <sheet name="10-3" sheetId="24" state="hidden" r:id="rId20"/>
    <sheet name="20-24" sheetId="8" state="hidden" r:id="rId21"/>
    <sheet name="twenty five-12" sheetId="17" state="hidden" r:id="rId22"/>
    <sheet name="20-2" sheetId="11" state="hidden" r:id="rId23"/>
    <sheet name="20-1" sheetId="18" state="hidden" r:id="rId24"/>
    <sheet name="5-1" sheetId="19" state="hidden" r:id="rId25"/>
    <sheet name="50-2" sheetId="16" state="hidden" r:id="rId26"/>
    <sheet name="100-6" sheetId="12" state="hidden" r:id="rId27"/>
    <sheet name="50-5" sheetId="27" state="hidden" r:id="rId28"/>
    <sheet name="3-1" sheetId="20" state="hidden" r:id="rId29"/>
    <sheet name="Five-1" sheetId="26" state="hidden" r:id="rId30"/>
    <sheet name="10-12" sheetId="13" state="hidden" r:id="rId31"/>
    <sheet name="15-12" sheetId="28" state="hidden" r:id="rId32"/>
    <sheet name="25-10" sheetId="5" state="hidden" r:id="rId33"/>
    <sheet name="35-10" sheetId="25" state="hidden" r:id="rId34"/>
    <sheet name="50-10" sheetId="22" state="hidden" r:id="rId35"/>
    <sheet name="80-6" sheetId="6" state="hidden" r:id="rId36"/>
    <sheet name="5-6" sheetId="7" state="hidden" r:id="rId37"/>
    <sheet name="25-12" sheetId="4" state="hidden" r:id="rId38"/>
    <sheet name="30-10" sheetId="2" state="hidden" r:id="rId39"/>
    <sheet name="20-10" sheetId="21" state="hidden" r:id="rId40"/>
    <sheet name="10-10" sheetId="23" state="hidden" r:id="rId41"/>
  </sheets>
  <definedNames>
    <definedName name="_xlnm.Print_Area" localSheetId="1">'1 month'!$A$24:$T$29</definedName>
    <definedName name="_xlnm.Print_Area" localSheetId="11">'10 mos'!$A$52:$T$66</definedName>
    <definedName name="_xlnm.Print_Area" localSheetId="12">'12 mos'!$A$285:$T$301</definedName>
    <definedName name="_xlnm.Print_Area" localSheetId="13">'24 mos'!$A$157:$T$185</definedName>
    <definedName name="_xlnm.Print_Area" localSheetId="3">'3 mos'!$A$1:$T$8</definedName>
    <definedName name="_xlnm.Print_Area" localSheetId="14">'36 mos'!$A$339:$T$397</definedName>
    <definedName name="_xlnm.Print_Area" localSheetId="15">'4 mos'!$A$12:$T$20</definedName>
    <definedName name="_xlnm.Print_Area" localSheetId="10">'5 mos'!$A$25:$T$34</definedName>
    <definedName name="_xlnm.Print_Area" localSheetId="5">'6 mos'!$A$67:$T$78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8" i="39" l="1"/>
  <c r="O78" i="39"/>
  <c r="O77" i="39"/>
  <c r="P77" i="39" s="1"/>
  <c r="O76" i="39"/>
  <c r="P76" i="39" s="1"/>
  <c r="O75" i="39"/>
  <c r="P75" i="39" s="1"/>
  <c r="O74" i="39"/>
  <c r="P74" i="39" s="1"/>
  <c r="N73" i="39"/>
  <c r="M73" i="39"/>
  <c r="O73" i="39" s="1"/>
  <c r="F67" i="31"/>
  <c r="F26" i="46"/>
  <c r="G26" i="46"/>
  <c r="E78" i="39"/>
  <c r="F78" i="39" s="1"/>
  <c r="E77" i="39"/>
  <c r="F77" i="39" s="1"/>
  <c r="E76" i="39"/>
  <c r="F76" i="39" s="1"/>
  <c r="E75" i="39"/>
  <c r="F75" i="39" s="1"/>
  <c r="E74" i="39"/>
  <c r="F74" i="39" s="1"/>
  <c r="D73" i="39"/>
  <c r="C73" i="39"/>
  <c r="E73" i="39" s="1"/>
  <c r="F73" i="39" s="1"/>
  <c r="O13" i="49"/>
  <c r="P13" i="49" s="1"/>
  <c r="O12" i="49"/>
  <c r="P12" i="49" s="1"/>
  <c r="O11" i="49"/>
  <c r="P11" i="49" s="1"/>
  <c r="P10" i="49"/>
  <c r="P9" i="49"/>
  <c r="O9" i="49"/>
  <c r="O8" i="49"/>
  <c r="P8" i="49" s="1"/>
  <c r="O7" i="49"/>
  <c r="P7" i="49" s="1"/>
  <c r="N6" i="49"/>
  <c r="P6" i="49" s="1"/>
  <c r="E13" i="49"/>
  <c r="F13" i="49" s="1"/>
  <c r="E12" i="49"/>
  <c r="F12" i="49" s="1"/>
  <c r="E11" i="49"/>
  <c r="F11" i="49" s="1"/>
  <c r="F10" i="49"/>
  <c r="E9" i="49"/>
  <c r="F9" i="49" s="1"/>
  <c r="E8" i="49"/>
  <c r="F8" i="49" s="1"/>
  <c r="F7" i="49"/>
  <c r="E7" i="49"/>
  <c r="D6" i="49"/>
  <c r="F6" i="49" s="1"/>
  <c r="F50" i="37"/>
  <c r="G50" i="37"/>
  <c r="E49" i="37"/>
  <c r="F49" i="37" s="1"/>
  <c r="F48" i="37"/>
  <c r="E48" i="37"/>
  <c r="D47" i="37"/>
  <c r="C47" i="37"/>
  <c r="E47" i="37" s="1"/>
  <c r="F47" i="37" s="1"/>
  <c r="P301" i="34"/>
  <c r="O301" i="34"/>
  <c r="O300" i="34"/>
  <c r="P300" i="34" s="1"/>
  <c r="O299" i="34"/>
  <c r="P299" i="34" s="1"/>
  <c r="O298" i="34"/>
  <c r="P298" i="34" s="1"/>
  <c r="P297" i="34"/>
  <c r="O297" i="34"/>
  <c r="P296" i="34"/>
  <c r="O296" i="34"/>
  <c r="O295" i="34"/>
  <c r="P295" i="34" s="1"/>
  <c r="O294" i="34"/>
  <c r="P294" i="34" s="1"/>
  <c r="P293" i="34"/>
  <c r="O293" i="34"/>
  <c r="P292" i="34"/>
  <c r="O292" i="34"/>
  <c r="O291" i="34"/>
  <c r="P291" i="34" s="1"/>
  <c r="O290" i="34"/>
  <c r="N290" i="34"/>
  <c r="P290" i="34" s="1"/>
  <c r="M290" i="34"/>
  <c r="F290" i="34"/>
  <c r="F291" i="34"/>
  <c r="F292" i="34"/>
  <c r="F293" i="34"/>
  <c r="F294" i="34"/>
  <c r="F295" i="34"/>
  <c r="F296" i="34"/>
  <c r="F297" i="34"/>
  <c r="F298" i="34"/>
  <c r="F299" i="34"/>
  <c r="F300" i="34"/>
  <c r="F301" i="34"/>
  <c r="E404" i="35"/>
  <c r="F404" i="35"/>
  <c r="E403" i="35"/>
  <c r="F403" i="35" s="1"/>
  <c r="E402" i="35"/>
  <c r="F402" i="35" s="1"/>
  <c r="E401" i="35"/>
  <c r="F401" i="35" s="1"/>
  <c r="E400" i="35"/>
  <c r="F400" i="35" s="1"/>
  <c r="E399" i="35"/>
  <c r="F399" i="35" s="1"/>
  <c r="E398" i="35"/>
  <c r="F398" i="35" s="1"/>
  <c r="E397" i="35"/>
  <c r="F397" i="35" s="1"/>
  <c r="E396" i="35"/>
  <c r="F396" i="35" s="1"/>
  <c r="E395" i="35"/>
  <c r="F395" i="35" s="1"/>
  <c r="E394" i="35"/>
  <c r="F394" i="35" s="1"/>
  <c r="E393" i="35"/>
  <c r="F393" i="35" s="1"/>
  <c r="E392" i="35"/>
  <c r="F392" i="35" s="1"/>
  <c r="E391" i="35"/>
  <c r="F391" i="35" s="1"/>
  <c r="E390" i="35"/>
  <c r="F390" i="35" s="1"/>
  <c r="E389" i="35"/>
  <c r="F389" i="35" s="1"/>
  <c r="E388" i="35"/>
  <c r="F388" i="35" s="1"/>
  <c r="F387" i="35"/>
  <c r="E387" i="35"/>
  <c r="E386" i="35"/>
  <c r="F386" i="35" s="1"/>
  <c r="E385" i="35"/>
  <c r="F385" i="35" s="1"/>
  <c r="E384" i="35"/>
  <c r="F384" i="35" s="1"/>
  <c r="F383" i="35"/>
  <c r="E383" i="35"/>
  <c r="E382" i="35"/>
  <c r="F382" i="35" s="1"/>
  <c r="E381" i="35"/>
  <c r="F381" i="35" s="1"/>
  <c r="D380" i="35"/>
  <c r="C380" i="35"/>
  <c r="E380" i="35" s="1"/>
  <c r="F380" i="35" s="1"/>
  <c r="O186" i="34"/>
  <c r="P186" i="34" s="1"/>
  <c r="O185" i="34"/>
  <c r="P185" i="34" s="1"/>
  <c r="O184" i="34"/>
  <c r="P184" i="34" s="1"/>
  <c r="O183" i="34"/>
  <c r="P183" i="34" s="1"/>
  <c r="O182" i="34"/>
  <c r="P182" i="34" s="1"/>
  <c r="O181" i="34"/>
  <c r="P181" i="34" s="1"/>
  <c r="O180" i="34"/>
  <c r="P180" i="34" s="1"/>
  <c r="O179" i="34"/>
  <c r="P179" i="34" s="1"/>
  <c r="O178" i="34"/>
  <c r="P178" i="34" s="1"/>
  <c r="O177" i="34"/>
  <c r="P177" i="34" s="1"/>
  <c r="O176" i="34"/>
  <c r="P176" i="34" s="1"/>
  <c r="N175" i="34"/>
  <c r="M175" i="34"/>
  <c r="O175" i="34" s="1"/>
  <c r="P34" i="33"/>
  <c r="O34" i="33"/>
  <c r="O33" i="33"/>
  <c r="P33" i="33" s="1"/>
  <c r="P32" i="33"/>
  <c r="O32" i="33"/>
  <c r="O31" i="33"/>
  <c r="P31" i="33" s="1"/>
  <c r="P30" i="33"/>
  <c r="O30" i="33"/>
  <c r="N30" i="33"/>
  <c r="M30" i="33"/>
  <c r="O185" i="35"/>
  <c r="P185" i="35" s="1"/>
  <c r="P184" i="35"/>
  <c r="O184" i="35"/>
  <c r="O183" i="35"/>
  <c r="P183" i="35" s="1"/>
  <c r="O182" i="35"/>
  <c r="P182" i="35" s="1"/>
  <c r="P181" i="35"/>
  <c r="O181" i="35"/>
  <c r="P180" i="35"/>
  <c r="O180" i="35"/>
  <c r="O179" i="35"/>
  <c r="P179" i="35" s="1"/>
  <c r="O178" i="35"/>
  <c r="P178" i="35" s="1"/>
  <c r="P177" i="35"/>
  <c r="O177" i="35"/>
  <c r="P176" i="35"/>
  <c r="O176" i="35"/>
  <c r="O175" i="35"/>
  <c r="P175" i="35" s="1"/>
  <c r="O174" i="35"/>
  <c r="P174" i="35" s="1"/>
  <c r="P173" i="35"/>
  <c r="O173" i="35"/>
  <c r="P172" i="35"/>
  <c r="O172" i="35"/>
  <c r="O171" i="35"/>
  <c r="P171" i="35" s="1"/>
  <c r="O170" i="35"/>
  <c r="P170" i="35" s="1"/>
  <c r="P169" i="35"/>
  <c r="O169" i="35"/>
  <c r="P168" i="35"/>
  <c r="O168" i="35"/>
  <c r="O167" i="35"/>
  <c r="P167" i="35" s="1"/>
  <c r="O166" i="35"/>
  <c r="P166" i="35" s="1"/>
  <c r="P165" i="35"/>
  <c r="O165" i="35"/>
  <c r="P164" i="35"/>
  <c r="O164" i="35"/>
  <c r="O163" i="35"/>
  <c r="P163" i="35" s="1"/>
  <c r="O162" i="35"/>
  <c r="P162" i="35" s="1"/>
  <c r="N162" i="35"/>
  <c r="M162" i="35"/>
  <c r="O8" i="37"/>
  <c r="P8" i="37" s="1"/>
  <c r="O7" i="37"/>
  <c r="P7" i="37" s="1"/>
  <c r="N6" i="37"/>
  <c r="M6" i="37"/>
  <c r="O6" i="37" s="1"/>
  <c r="P66" i="31"/>
  <c r="O66" i="31"/>
  <c r="P65" i="31"/>
  <c r="O65" i="31"/>
  <c r="P64" i="31"/>
  <c r="O64" i="31"/>
  <c r="O63" i="31"/>
  <c r="P63" i="31" s="1"/>
  <c r="P62" i="31"/>
  <c r="O62" i="31"/>
  <c r="P61" i="31"/>
  <c r="O61" i="31"/>
  <c r="P60" i="31"/>
  <c r="O60" i="31"/>
  <c r="O59" i="31"/>
  <c r="P59" i="31" s="1"/>
  <c r="P58" i="31"/>
  <c r="O58" i="31"/>
  <c r="N57" i="31"/>
  <c r="P57" i="31" s="1"/>
  <c r="M57" i="31"/>
  <c r="O57" i="31" s="1"/>
  <c r="D57" i="31"/>
  <c r="C57" i="31"/>
  <c r="E66" i="31"/>
  <c r="F66" i="31" s="1"/>
  <c r="E65" i="31"/>
  <c r="F65" i="31" s="1"/>
  <c r="E64" i="31"/>
  <c r="F64" i="31" s="1"/>
  <c r="E63" i="31"/>
  <c r="F63" i="31" s="1"/>
  <c r="E62" i="31"/>
  <c r="F62" i="31" s="1"/>
  <c r="E61" i="31"/>
  <c r="F61" i="31" s="1"/>
  <c r="E60" i="31"/>
  <c r="F60" i="31" s="1"/>
  <c r="E59" i="31"/>
  <c r="F59" i="31" s="1"/>
  <c r="E58" i="31"/>
  <c r="F58" i="31" s="1"/>
  <c r="E57" i="31"/>
  <c r="F57" i="31" s="1"/>
  <c r="O49" i="31"/>
  <c r="P49" i="31" s="1"/>
  <c r="O48" i="31"/>
  <c r="P48" i="31" s="1"/>
  <c r="O47" i="31"/>
  <c r="P47" i="31" s="1"/>
  <c r="O46" i="31"/>
  <c r="P46" i="31" s="1"/>
  <c r="P45" i="31"/>
  <c r="O45" i="31"/>
  <c r="P44" i="31"/>
  <c r="O44" i="31"/>
  <c r="O43" i="31"/>
  <c r="P43" i="31" s="1"/>
  <c r="O42" i="31"/>
  <c r="P42" i="31" s="1"/>
  <c r="P41" i="31"/>
  <c r="O41" i="31"/>
  <c r="N40" i="31"/>
  <c r="M40" i="31"/>
  <c r="O40" i="31" s="1"/>
  <c r="P40" i="31" s="1"/>
  <c r="E49" i="31"/>
  <c r="F49" i="31" s="1"/>
  <c r="E48" i="31"/>
  <c r="F48" i="31" s="1"/>
  <c r="E47" i="31"/>
  <c r="F47" i="31" s="1"/>
  <c r="E46" i="31"/>
  <c r="F46" i="31" s="1"/>
  <c r="E45" i="31"/>
  <c r="F45" i="31" s="1"/>
  <c r="E44" i="31"/>
  <c r="F44" i="31" s="1"/>
  <c r="E43" i="31"/>
  <c r="F43" i="31" s="1"/>
  <c r="E42" i="31"/>
  <c r="F42" i="31" s="1"/>
  <c r="E41" i="31"/>
  <c r="F41" i="31" s="1"/>
  <c r="D40" i="31"/>
  <c r="C40" i="31"/>
  <c r="E40" i="31" s="1"/>
  <c r="C442" i="34"/>
  <c r="D442" i="34"/>
  <c r="E442" i="34"/>
  <c r="F442" i="34" s="1"/>
  <c r="M442" i="34"/>
  <c r="N442" i="34"/>
  <c r="O442" i="34"/>
  <c r="P442" i="34"/>
  <c r="E443" i="34"/>
  <c r="F443" i="34" s="1"/>
  <c r="O443" i="34"/>
  <c r="P443" i="34" s="1"/>
  <c r="E444" i="34"/>
  <c r="F444" i="34"/>
  <c r="O444" i="34"/>
  <c r="P444" i="34"/>
  <c r="E445" i="34"/>
  <c r="F445" i="34"/>
  <c r="O445" i="34"/>
  <c r="P445" i="34" s="1"/>
  <c r="E446" i="34"/>
  <c r="F446" i="34"/>
  <c r="O446" i="34"/>
  <c r="P446" i="34"/>
  <c r="E447" i="34"/>
  <c r="F447" i="34" s="1"/>
  <c r="O447" i="34"/>
  <c r="P447" i="34" s="1"/>
  <c r="E448" i="34"/>
  <c r="F448" i="34"/>
  <c r="O448" i="34"/>
  <c r="P448" i="34"/>
  <c r="E449" i="34"/>
  <c r="F449" i="34" s="1"/>
  <c r="O449" i="34"/>
  <c r="P449" i="34" s="1"/>
  <c r="E450" i="34"/>
  <c r="F450" i="34"/>
  <c r="O450" i="34"/>
  <c r="P450" i="34"/>
  <c r="E451" i="34"/>
  <c r="F451" i="34" s="1"/>
  <c r="O451" i="34"/>
  <c r="P451" i="34" s="1"/>
  <c r="E452" i="34"/>
  <c r="F452" i="34"/>
  <c r="O452" i="34"/>
  <c r="P452" i="34"/>
  <c r="E453" i="34"/>
  <c r="F453" i="34" s="1"/>
  <c r="O453" i="34"/>
  <c r="P453" i="34" s="1"/>
  <c r="C474" i="34"/>
  <c r="D474" i="34"/>
  <c r="E474" i="34"/>
  <c r="F474" i="34"/>
  <c r="M474" i="34"/>
  <c r="O474" i="34" s="1"/>
  <c r="P474" i="34" s="1"/>
  <c r="N474" i="34"/>
  <c r="D475" i="34"/>
  <c r="E475" i="34"/>
  <c r="F475" i="34"/>
  <c r="N475" i="34"/>
  <c r="O475" i="34"/>
  <c r="P475" i="34" s="1"/>
  <c r="D476" i="34"/>
  <c r="E476" i="34"/>
  <c r="F476" i="34"/>
  <c r="N476" i="34"/>
  <c r="O476" i="34"/>
  <c r="P476" i="34"/>
  <c r="D477" i="34"/>
  <c r="E477" i="34"/>
  <c r="F477" i="34"/>
  <c r="N477" i="34"/>
  <c r="O477" i="34"/>
  <c r="P477" i="34"/>
  <c r="D478" i="34"/>
  <c r="E478" i="34"/>
  <c r="F478" i="34" s="1"/>
  <c r="N478" i="34"/>
  <c r="O478" i="34"/>
  <c r="P478" i="34" s="1"/>
  <c r="D479" i="34"/>
  <c r="E479" i="34"/>
  <c r="F479" i="34"/>
  <c r="N479" i="34"/>
  <c r="O479" i="34"/>
  <c r="P479" i="34" s="1"/>
  <c r="D480" i="34"/>
  <c r="E480" i="34"/>
  <c r="F480" i="34"/>
  <c r="N480" i="34"/>
  <c r="O480" i="34"/>
  <c r="P480" i="34"/>
  <c r="D481" i="34"/>
  <c r="E481" i="34"/>
  <c r="F481" i="34" s="1"/>
  <c r="N481" i="34"/>
  <c r="O481" i="34"/>
  <c r="P481" i="34"/>
  <c r="D482" i="34"/>
  <c r="E482" i="34"/>
  <c r="F482" i="34" s="1"/>
  <c r="N482" i="34"/>
  <c r="O482" i="34"/>
  <c r="P482" i="34" s="1"/>
  <c r="D483" i="34"/>
  <c r="E483" i="34"/>
  <c r="F483" i="34"/>
  <c r="N483" i="34"/>
  <c r="O483" i="34"/>
  <c r="P483" i="34" s="1"/>
  <c r="D484" i="34"/>
  <c r="E484" i="34"/>
  <c r="F484" i="34"/>
  <c r="N484" i="34"/>
  <c r="O484" i="34"/>
  <c r="P484" i="34"/>
  <c r="D485" i="34"/>
  <c r="E485" i="34"/>
  <c r="F485" i="34" s="1"/>
  <c r="N485" i="34"/>
  <c r="O485" i="34"/>
  <c r="P485" i="34"/>
  <c r="C423" i="34"/>
  <c r="E423" i="34" s="1"/>
  <c r="D423" i="34"/>
  <c r="M423" i="34"/>
  <c r="O423" i="34" s="1"/>
  <c r="P423" i="34" s="1"/>
  <c r="N423" i="34"/>
  <c r="E424" i="34"/>
  <c r="F424" i="34"/>
  <c r="N424" i="34"/>
  <c r="O424" i="34"/>
  <c r="P424" i="34" s="1"/>
  <c r="E425" i="34"/>
  <c r="F425" i="34"/>
  <c r="N425" i="34"/>
  <c r="O425" i="34"/>
  <c r="P425" i="34"/>
  <c r="E426" i="34"/>
  <c r="F426" i="34" s="1"/>
  <c r="N426" i="34"/>
  <c r="O426" i="34"/>
  <c r="P426" i="34" s="1"/>
  <c r="E427" i="34"/>
  <c r="F427" i="34" s="1"/>
  <c r="N427" i="34"/>
  <c r="O427" i="34"/>
  <c r="P427" i="34"/>
  <c r="E428" i="34"/>
  <c r="F428" i="34" s="1"/>
  <c r="N428" i="34"/>
  <c r="O428" i="34"/>
  <c r="P428" i="34" s="1"/>
  <c r="E429" i="34"/>
  <c r="F429" i="34" s="1"/>
  <c r="N429" i="34"/>
  <c r="O429" i="34"/>
  <c r="P429" i="34" s="1"/>
  <c r="E430" i="34"/>
  <c r="F430" i="34"/>
  <c r="N430" i="34"/>
  <c r="O430" i="34"/>
  <c r="P430" i="34" s="1"/>
  <c r="E431" i="34"/>
  <c r="F431" i="34" s="1"/>
  <c r="N431" i="34"/>
  <c r="O431" i="34"/>
  <c r="P431" i="34" s="1"/>
  <c r="E432" i="34"/>
  <c r="F432" i="34"/>
  <c r="N432" i="34"/>
  <c r="O432" i="34"/>
  <c r="P432" i="34" s="1"/>
  <c r="E433" i="34"/>
  <c r="F433" i="34" s="1"/>
  <c r="N433" i="34"/>
  <c r="O433" i="34"/>
  <c r="P433" i="34"/>
  <c r="E434" i="34"/>
  <c r="F434" i="34" s="1"/>
  <c r="N434" i="34"/>
  <c r="O434" i="34"/>
  <c r="P434" i="34" s="1"/>
  <c r="C318" i="35"/>
  <c r="E318" i="35" s="1"/>
  <c r="D318" i="35"/>
  <c r="M318" i="35"/>
  <c r="O318" i="35" s="1"/>
  <c r="N318" i="35"/>
  <c r="E319" i="35"/>
  <c r="F319" i="35"/>
  <c r="O319" i="35"/>
  <c r="P319" i="35"/>
  <c r="E320" i="35"/>
  <c r="F320" i="35" s="1"/>
  <c r="O320" i="35"/>
  <c r="P320" i="35"/>
  <c r="E321" i="35"/>
  <c r="F321" i="35"/>
  <c r="O321" i="35"/>
  <c r="P321" i="35"/>
  <c r="E322" i="35"/>
  <c r="F322" i="35" s="1"/>
  <c r="O322" i="35"/>
  <c r="P322" i="35"/>
  <c r="E323" i="35"/>
  <c r="F323" i="35" s="1"/>
  <c r="O323" i="35"/>
  <c r="P323" i="35"/>
  <c r="E324" i="35"/>
  <c r="F324" i="35" s="1"/>
  <c r="O324" i="35"/>
  <c r="P324" i="35"/>
  <c r="E325" i="35"/>
  <c r="F325" i="35"/>
  <c r="O325" i="35"/>
  <c r="P325" i="35"/>
  <c r="E326" i="35"/>
  <c r="F326" i="35" s="1"/>
  <c r="O326" i="35"/>
  <c r="P326" i="35"/>
  <c r="E327" i="35"/>
  <c r="F327" i="35"/>
  <c r="O327" i="35"/>
  <c r="P327" i="35"/>
  <c r="E328" i="35"/>
  <c r="F328" i="35" s="1"/>
  <c r="O328" i="35"/>
  <c r="P328" i="35"/>
  <c r="E329" i="35"/>
  <c r="F329" i="35"/>
  <c r="O329" i="35"/>
  <c r="P329" i="35"/>
  <c r="E330" i="35"/>
  <c r="F330" i="35" s="1"/>
  <c r="O330" i="35"/>
  <c r="P330" i="35"/>
  <c r="E331" i="35"/>
  <c r="F331" i="35"/>
  <c r="O331" i="35"/>
  <c r="P331" i="35"/>
  <c r="E332" i="35"/>
  <c r="F332" i="35" s="1"/>
  <c r="O332" i="35"/>
  <c r="P332" i="35"/>
  <c r="E333" i="35"/>
  <c r="F333" i="35"/>
  <c r="O333" i="35"/>
  <c r="P333" i="35"/>
  <c r="E334" i="35"/>
  <c r="F334" i="35" s="1"/>
  <c r="O334" i="35"/>
  <c r="P334" i="35"/>
  <c r="E335" i="35"/>
  <c r="F335" i="35"/>
  <c r="O335" i="35"/>
  <c r="P335" i="35"/>
  <c r="E336" i="35"/>
  <c r="F336" i="35" s="1"/>
  <c r="O336" i="35"/>
  <c r="P336" i="35"/>
  <c r="E337" i="35"/>
  <c r="F337" i="35"/>
  <c r="O337" i="35"/>
  <c r="P337" i="35"/>
  <c r="E338" i="35"/>
  <c r="F338" i="35" s="1"/>
  <c r="O338" i="35"/>
  <c r="P338" i="35"/>
  <c r="E339" i="35"/>
  <c r="F339" i="35"/>
  <c r="O339" i="35"/>
  <c r="P339" i="35"/>
  <c r="E340" i="35"/>
  <c r="F340" i="35" s="1"/>
  <c r="O340" i="35"/>
  <c r="P340" i="35"/>
  <c r="E341" i="35"/>
  <c r="F341" i="35"/>
  <c r="O341" i="35"/>
  <c r="P341" i="35"/>
  <c r="C349" i="35"/>
  <c r="D349" i="35"/>
  <c r="E349" i="35"/>
  <c r="F349" i="35" s="1"/>
  <c r="M349" i="35"/>
  <c r="O349" i="35" s="1"/>
  <c r="P349" i="35" s="1"/>
  <c r="N349" i="35"/>
  <c r="E350" i="35"/>
  <c r="F350" i="35" s="1"/>
  <c r="O350" i="35"/>
  <c r="P350" i="35" s="1"/>
  <c r="E351" i="35"/>
  <c r="F351" i="35" s="1"/>
  <c r="O351" i="35"/>
  <c r="P351" i="35"/>
  <c r="E352" i="35"/>
  <c r="F352" i="35" s="1"/>
  <c r="O352" i="35"/>
  <c r="P352" i="35" s="1"/>
  <c r="E353" i="35"/>
  <c r="F353" i="35" s="1"/>
  <c r="O353" i="35"/>
  <c r="P353" i="35"/>
  <c r="E354" i="35"/>
  <c r="F354" i="35" s="1"/>
  <c r="O354" i="35"/>
  <c r="P354" i="35" s="1"/>
  <c r="E355" i="35"/>
  <c r="F355" i="35" s="1"/>
  <c r="O355" i="35"/>
  <c r="P355" i="35"/>
  <c r="E356" i="35"/>
  <c r="F356" i="35" s="1"/>
  <c r="O356" i="35"/>
  <c r="P356" i="35" s="1"/>
  <c r="E357" i="35"/>
  <c r="F357" i="35" s="1"/>
  <c r="O357" i="35"/>
  <c r="P357" i="35"/>
  <c r="E358" i="35"/>
  <c r="F358" i="35" s="1"/>
  <c r="O358" i="35"/>
  <c r="P358" i="35" s="1"/>
  <c r="E359" i="35"/>
  <c r="F359" i="35" s="1"/>
  <c r="O359" i="35"/>
  <c r="P359" i="35"/>
  <c r="E360" i="35"/>
  <c r="F360" i="35" s="1"/>
  <c r="O360" i="35"/>
  <c r="P360" i="35" s="1"/>
  <c r="E361" i="35"/>
  <c r="F361" i="35" s="1"/>
  <c r="O361" i="35"/>
  <c r="P361" i="35"/>
  <c r="E362" i="35"/>
  <c r="F362" i="35" s="1"/>
  <c r="O362" i="35"/>
  <c r="P362" i="35" s="1"/>
  <c r="E363" i="35"/>
  <c r="F363" i="35" s="1"/>
  <c r="O363" i="35"/>
  <c r="P363" i="35"/>
  <c r="E364" i="35"/>
  <c r="F364" i="35" s="1"/>
  <c r="O364" i="35"/>
  <c r="P364" i="35" s="1"/>
  <c r="E365" i="35"/>
  <c r="F365" i="35" s="1"/>
  <c r="O365" i="35"/>
  <c r="P365" i="35"/>
  <c r="E366" i="35"/>
  <c r="F366" i="35" s="1"/>
  <c r="O366" i="35"/>
  <c r="P366" i="35" s="1"/>
  <c r="E367" i="35"/>
  <c r="F367" i="35" s="1"/>
  <c r="O367" i="35"/>
  <c r="P367" i="35"/>
  <c r="E368" i="35"/>
  <c r="F368" i="35"/>
  <c r="O368" i="35"/>
  <c r="P368" i="35" s="1"/>
  <c r="E369" i="35"/>
  <c r="F369" i="35" s="1"/>
  <c r="O369" i="35"/>
  <c r="P369" i="35"/>
  <c r="E370" i="35"/>
  <c r="F370" i="35"/>
  <c r="O370" i="35"/>
  <c r="P370" i="35" s="1"/>
  <c r="E371" i="35"/>
  <c r="F371" i="35" s="1"/>
  <c r="O371" i="35"/>
  <c r="P371" i="35"/>
  <c r="E372" i="35"/>
  <c r="F372" i="35"/>
  <c r="O372" i="35"/>
  <c r="P372" i="35" s="1"/>
  <c r="C404" i="34"/>
  <c r="E404" i="34" s="1"/>
  <c r="F404" i="34" s="1"/>
  <c r="D404" i="34"/>
  <c r="M404" i="34"/>
  <c r="O404" i="34" s="1"/>
  <c r="P404" i="34" s="1"/>
  <c r="N404" i="34"/>
  <c r="D405" i="34"/>
  <c r="E405" i="34"/>
  <c r="F405" i="34" s="1"/>
  <c r="N405" i="34"/>
  <c r="O405" i="34"/>
  <c r="P405" i="34" s="1"/>
  <c r="D406" i="34"/>
  <c r="E406" i="34"/>
  <c r="F406" i="34" s="1"/>
  <c r="N406" i="34"/>
  <c r="O406" i="34"/>
  <c r="P406" i="34" s="1"/>
  <c r="D407" i="34"/>
  <c r="E407" i="34"/>
  <c r="F407" i="34" s="1"/>
  <c r="N407" i="34"/>
  <c r="O407" i="34"/>
  <c r="P407" i="34" s="1"/>
  <c r="D408" i="34"/>
  <c r="E408" i="34"/>
  <c r="F408" i="34" s="1"/>
  <c r="N408" i="34"/>
  <c r="O408" i="34"/>
  <c r="P408" i="34" s="1"/>
  <c r="D409" i="34"/>
  <c r="E409" i="34"/>
  <c r="F409" i="34" s="1"/>
  <c r="N409" i="34"/>
  <c r="O409" i="34"/>
  <c r="P409" i="34" s="1"/>
  <c r="D410" i="34"/>
  <c r="E410" i="34"/>
  <c r="F410" i="34" s="1"/>
  <c r="N410" i="34"/>
  <c r="O410" i="34"/>
  <c r="P410" i="34" s="1"/>
  <c r="D411" i="34"/>
  <c r="E411" i="34"/>
  <c r="F411" i="34" s="1"/>
  <c r="N411" i="34"/>
  <c r="O411" i="34"/>
  <c r="P411" i="34" s="1"/>
  <c r="D412" i="34"/>
  <c r="E412" i="34"/>
  <c r="F412" i="34" s="1"/>
  <c r="N412" i="34"/>
  <c r="O412" i="34"/>
  <c r="P412" i="34" s="1"/>
  <c r="D413" i="34"/>
  <c r="E413" i="34"/>
  <c r="F413" i="34" s="1"/>
  <c r="N413" i="34"/>
  <c r="O413" i="34"/>
  <c r="P413" i="34" s="1"/>
  <c r="D414" i="34"/>
  <c r="E414" i="34"/>
  <c r="F414" i="34" s="1"/>
  <c r="N414" i="34"/>
  <c r="O414" i="34"/>
  <c r="P414" i="34" s="1"/>
  <c r="D415" i="34"/>
  <c r="E415" i="34"/>
  <c r="F415" i="34" s="1"/>
  <c r="N415" i="34"/>
  <c r="O415" i="34"/>
  <c r="P415" i="34" s="1"/>
  <c r="N29" i="42"/>
  <c r="M29" i="42"/>
  <c r="O29" i="42" s="1"/>
  <c r="F29" i="42"/>
  <c r="D29" i="42"/>
  <c r="C29" i="42"/>
  <c r="E29" i="42" s="1"/>
  <c r="O30" i="48"/>
  <c r="P30" i="48" s="1"/>
  <c r="O29" i="48"/>
  <c r="P29" i="48" s="1"/>
  <c r="O28" i="48"/>
  <c r="P28" i="48" s="1"/>
  <c r="O27" i="48"/>
  <c r="P27" i="48" s="1"/>
  <c r="P26" i="48"/>
  <c r="O26" i="48"/>
  <c r="P25" i="48"/>
  <c r="O25" i="48"/>
  <c r="O24" i="48"/>
  <c r="P24" i="48" s="1"/>
  <c r="O23" i="48"/>
  <c r="P23" i="48" s="1"/>
  <c r="O22" i="48"/>
  <c r="N22" i="48"/>
  <c r="P22" i="48" s="1"/>
  <c r="F31" i="48"/>
  <c r="E30" i="48"/>
  <c r="F30" i="48" s="1"/>
  <c r="F29" i="48"/>
  <c r="E29" i="48"/>
  <c r="E28" i="48"/>
  <c r="F28" i="48" s="1"/>
  <c r="E27" i="48"/>
  <c r="F27" i="48" s="1"/>
  <c r="E26" i="48"/>
  <c r="F26" i="48" s="1"/>
  <c r="F25" i="48"/>
  <c r="E25" i="48"/>
  <c r="E24" i="48"/>
  <c r="F24" i="48" s="1"/>
  <c r="F23" i="48"/>
  <c r="E23" i="48"/>
  <c r="E22" i="48"/>
  <c r="D22" i="48"/>
  <c r="F22" i="48" s="1"/>
  <c r="O38" i="37"/>
  <c r="P38" i="37" s="1"/>
  <c r="E38" i="37"/>
  <c r="F38" i="37" s="1"/>
  <c r="P37" i="37"/>
  <c r="O37" i="37"/>
  <c r="E37" i="37"/>
  <c r="F37" i="37" s="1"/>
  <c r="N36" i="37"/>
  <c r="M36" i="37"/>
  <c r="O36" i="37" s="1"/>
  <c r="P36" i="37" s="1"/>
  <c r="D36" i="37"/>
  <c r="C36" i="37"/>
  <c r="E36" i="37" s="1"/>
  <c r="F36" i="37" s="1"/>
  <c r="O396" i="34"/>
  <c r="P396" i="34" s="1"/>
  <c r="F396" i="34"/>
  <c r="E396" i="34"/>
  <c r="O395" i="34"/>
  <c r="P395" i="34" s="1"/>
  <c r="E395" i="34"/>
  <c r="F395" i="34" s="1"/>
  <c r="O394" i="34"/>
  <c r="P394" i="34" s="1"/>
  <c r="F394" i="34"/>
  <c r="E394" i="34"/>
  <c r="O393" i="34"/>
  <c r="P393" i="34" s="1"/>
  <c r="E393" i="34"/>
  <c r="F393" i="34" s="1"/>
  <c r="O392" i="34"/>
  <c r="P392" i="34" s="1"/>
  <c r="E392" i="34"/>
  <c r="F392" i="34" s="1"/>
  <c r="O391" i="34"/>
  <c r="P391" i="34" s="1"/>
  <c r="E391" i="34"/>
  <c r="F391" i="34" s="1"/>
  <c r="O390" i="34"/>
  <c r="P390" i="34" s="1"/>
  <c r="E390" i="34"/>
  <c r="F390" i="34" s="1"/>
  <c r="O389" i="34"/>
  <c r="P389" i="34" s="1"/>
  <c r="E389" i="34"/>
  <c r="F389" i="34" s="1"/>
  <c r="O388" i="34"/>
  <c r="P388" i="34" s="1"/>
  <c r="E388" i="34"/>
  <c r="F388" i="34" s="1"/>
  <c r="O387" i="34"/>
  <c r="P387" i="34" s="1"/>
  <c r="E387" i="34"/>
  <c r="F387" i="34" s="1"/>
  <c r="O386" i="34"/>
  <c r="P386" i="34" s="1"/>
  <c r="E386" i="34"/>
  <c r="F386" i="34" s="1"/>
  <c r="O385" i="34"/>
  <c r="N385" i="34"/>
  <c r="M385" i="34"/>
  <c r="D385" i="34"/>
  <c r="C385" i="34"/>
  <c r="E385" i="34" s="1"/>
  <c r="O86" i="47"/>
  <c r="P86" i="47" s="1"/>
  <c r="E86" i="47"/>
  <c r="F86" i="47" s="1"/>
  <c r="O85" i="47"/>
  <c r="P85" i="47" s="1"/>
  <c r="E85" i="47"/>
  <c r="F85" i="47" s="1"/>
  <c r="P84" i="47"/>
  <c r="O84" i="47"/>
  <c r="F84" i="47"/>
  <c r="E84" i="47"/>
  <c r="P83" i="47"/>
  <c r="O83" i="47"/>
  <c r="E83" i="47"/>
  <c r="F83" i="47" s="1"/>
  <c r="P82" i="47"/>
  <c r="O82" i="47"/>
  <c r="F82" i="47"/>
  <c r="E82" i="47"/>
  <c r="P81" i="47"/>
  <c r="O81" i="47"/>
  <c r="E81" i="47"/>
  <c r="F81" i="47" s="1"/>
  <c r="P80" i="47"/>
  <c r="O80" i="47"/>
  <c r="F80" i="47"/>
  <c r="E80" i="47"/>
  <c r="P79" i="47"/>
  <c r="O79" i="47"/>
  <c r="E79" i="47"/>
  <c r="F79" i="47" s="1"/>
  <c r="P78" i="47"/>
  <c r="O78" i="47"/>
  <c r="F78" i="47"/>
  <c r="E78" i="47"/>
  <c r="P77" i="47"/>
  <c r="O77" i="47"/>
  <c r="E77" i="47"/>
  <c r="F77" i="47" s="1"/>
  <c r="P76" i="47"/>
  <c r="O76" i="47"/>
  <c r="F76" i="47"/>
  <c r="E76" i="47"/>
  <c r="P75" i="47"/>
  <c r="O75" i="47"/>
  <c r="E75" i="47"/>
  <c r="F75" i="47" s="1"/>
  <c r="P74" i="47"/>
  <c r="O74" i="47"/>
  <c r="F74" i="47"/>
  <c r="E74" i="47"/>
  <c r="P73" i="47"/>
  <c r="O73" i="47"/>
  <c r="E73" i="47"/>
  <c r="F73" i="47" s="1"/>
  <c r="P72" i="47"/>
  <c r="O72" i="47"/>
  <c r="N72" i="47"/>
  <c r="M72" i="47"/>
  <c r="D72" i="47"/>
  <c r="C72" i="47"/>
  <c r="E72" i="47" s="1"/>
  <c r="O64" i="47"/>
  <c r="P64" i="47" s="1"/>
  <c r="E64" i="47"/>
  <c r="F64" i="47" s="1"/>
  <c r="P63" i="47"/>
  <c r="O63" i="47"/>
  <c r="E63" i="47"/>
  <c r="F63" i="47" s="1"/>
  <c r="O62" i="47"/>
  <c r="P62" i="47" s="1"/>
  <c r="E62" i="47"/>
  <c r="F62" i="47" s="1"/>
  <c r="P61" i="47"/>
  <c r="O61" i="47"/>
  <c r="E61" i="47"/>
  <c r="F61" i="47" s="1"/>
  <c r="O60" i="47"/>
  <c r="P60" i="47" s="1"/>
  <c r="E60" i="47"/>
  <c r="F60" i="47" s="1"/>
  <c r="P59" i="47"/>
  <c r="O59" i="47"/>
  <c r="E59" i="47"/>
  <c r="F59" i="47" s="1"/>
  <c r="O58" i="47"/>
  <c r="P58" i="47" s="1"/>
  <c r="E58" i="47"/>
  <c r="F58" i="47" s="1"/>
  <c r="P57" i="47"/>
  <c r="O57" i="47"/>
  <c r="E57" i="47"/>
  <c r="F57" i="47" s="1"/>
  <c r="O56" i="47"/>
  <c r="P56" i="47" s="1"/>
  <c r="E56" i="47"/>
  <c r="F56" i="47" s="1"/>
  <c r="P55" i="47"/>
  <c r="O55" i="47"/>
  <c r="E55" i="47"/>
  <c r="F55" i="47" s="1"/>
  <c r="O54" i="47"/>
  <c r="P54" i="47" s="1"/>
  <c r="E54" i="47"/>
  <c r="F54" i="47" s="1"/>
  <c r="P53" i="47"/>
  <c r="O53" i="47"/>
  <c r="E53" i="47"/>
  <c r="F53" i="47" s="1"/>
  <c r="O52" i="47"/>
  <c r="P52" i="47" s="1"/>
  <c r="E52" i="47"/>
  <c r="F52" i="47" s="1"/>
  <c r="P51" i="47"/>
  <c r="O51" i="47"/>
  <c r="E51" i="47"/>
  <c r="F51" i="47" s="1"/>
  <c r="N50" i="47"/>
  <c r="M50" i="47"/>
  <c r="O50" i="47" s="1"/>
  <c r="P50" i="47" s="1"/>
  <c r="D50" i="47"/>
  <c r="C50" i="47"/>
  <c r="E50" i="47" s="1"/>
  <c r="F50" i="47" s="1"/>
  <c r="P42" i="47"/>
  <c r="O42" i="47"/>
  <c r="O41" i="47"/>
  <c r="P41" i="47" s="1"/>
  <c r="O40" i="47"/>
  <c r="P40" i="47" s="1"/>
  <c r="P39" i="47"/>
  <c r="O39" i="47"/>
  <c r="P38" i="47"/>
  <c r="O38" i="47"/>
  <c r="P37" i="47"/>
  <c r="O37" i="47"/>
  <c r="O36" i="47"/>
  <c r="P36" i="47" s="1"/>
  <c r="P35" i="47"/>
  <c r="O35" i="47"/>
  <c r="P34" i="47"/>
  <c r="O34" i="47"/>
  <c r="P33" i="47"/>
  <c r="O33" i="47"/>
  <c r="O32" i="47"/>
  <c r="P32" i="47" s="1"/>
  <c r="P31" i="47"/>
  <c r="O31" i="47"/>
  <c r="P30" i="47"/>
  <c r="O30" i="47"/>
  <c r="P29" i="47"/>
  <c r="O29" i="47"/>
  <c r="O28" i="47"/>
  <c r="O43" i="47" s="1"/>
  <c r="N28" i="47"/>
  <c r="P28" i="47" s="1"/>
  <c r="M28" i="47"/>
  <c r="F42" i="47"/>
  <c r="E42" i="47"/>
  <c r="F41" i="47"/>
  <c r="E41" i="47"/>
  <c r="F40" i="47"/>
  <c r="E40" i="47"/>
  <c r="F39" i="47"/>
  <c r="E39" i="47"/>
  <c r="F38" i="47"/>
  <c r="E38" i="47"/>
  <c r="F37" i="47"/>
  <c r="E37" i="47"/>
  <c r="F36" i="47"/>
  <c r="E36" i="47"/>
  <c r="F35" i="47"/>
  <c r="E35" i="47"/>
  <c r="F34" i="47"/>
  <c r="E34" i="47"/>
  <c r="F33" i="47"/>
  <c r="E33" i="47"/>
  <c r="F32" i="47"/>
  <c r="E32" i="47"/>
  <c r="F31" i="47"/>
  <c r="E31" i="47"/>
  <c r="F30" i="47"/>
  <c r="E30" i="47"/>
  <c r="F29" i="47"/>
  <c r="E29" i="47"/>
  <c r="D28" i="47"/>
  <c r="F28" i="47" s="1"/>
  <c r="C28" i="47"/>
  <c r="E28" i="47" s="1"/>
  <c r="O14" i="48"/>
  <c r="P14" i="48" s="1"/>
  <c r="O13" i="48"/>
  <c r="P13" i="48" s="1"/>
  <c r="O12" i="48"/>
  <c r="P12" i="48" s="1"/>
  <c r="O11" i="48"/>
  <c r="P11" i="48" s="1"/>
  <c r="O10" i="48"/>
  <c r="P10" i="48" s="1"/>
  <c r="O9" i="48"/>
  <c r="P9" i="48" s="1"/>
  <c r="P8" i="48"/>
  <c r="O8" i="48"/>
  <c r="O7" i="48"/>
  <c r="P7" i="48" s="1"/>
  <c r="O6" i="48"/>
  <c r="N6" i="48"/>
  <c r="P6" i="48" s="1"/>
  <c r="F14" i="48"/>
  <c r="E14" i="48"/>
  <c r="E13" i="48"/>
  <c r="F13" i="48" s="1"/>
  <c r="E12" i="48"/>
  <c r="F12" i="48" s="1"/>
  <c r="E11" i="48"/>
  <c r="F11" i="48" s="1"/>
  <c r="F10" i="48"/>
  <c r="E10" i="48"/>
  <c r="E9" i="48"/>
  <c r="F9" i="48" s="1"/>
  <c r="F8" i="48"/>
  <c r="E8" i="48"/>
  <c r="E7" i="48"/>
  <c r="F7" i="48" s="1"/>
  <c r="F6" i="48"/>
  <c r="E6" i="48"/>
  <c r="D6" i="48"/>
  <c r="O20" i="47"/>
  <c r="P20" i="47" s="1"/>
  <c r="E20" i="47"/>
  <c r="F20" i="47" s="1"/>
  <c r="P19" i="47"/>
  <c r="O19" i="47"/>
  <c r="E19" i="47"/>
  <c r="F19" i="47" s="1"/>
  <c r="P18" i="47"/>
  <c r="O18" i="47"/>
  <c r="E18" i="47"/>
  <c r="F18" i="47" s="1"/>
  <c r="P17" i="47"/>
  <c r="O17" i="47"/>
  <c r="E17" i="47"/>
  <c r="F17" i="47" s="1"/>
  <c r="P16" i="47"/>
  <c r="O16" i="47"/>
  <c r="E16" i="47"/>
  <c r="F16" i="47" s="1"/>
  <c r="P15" i="47"/>
  <c r="O15" i="47"/>
  <c r="E15" i="47"/>
  <c r="F15" i="47" s="1"/>
  <c r="P14" i="47"/>
  <c r="O14" i="47"/>
  <c r="E14" i="47"/>
  <c r="F14" i="47" s="1"/>
  <c r="P13" i="47"/>
  <c r="O13" i="47"/>
  <c r="E13" i="47"/>
  <c r="F13" i="47" s="1"/>
  <c r="P12" i="47"/>
  <c r="O12" i="47"/>
  <c r="E12" i="47"/>
  <c r="F12" i="47" s="1"/>
  <c r="P11" i="47"/>
  <c r="O11" i="47"/>
  <c r="E11" i="47"/>
  <c r="F11" i="47" s="1"/>
  <c r="P10" i="47"/>
  <c r="O10" i="47"/>
  <c r="E10" i="47"/>
  <c r="F10" i="47" s="1"/>
  <c r="P9" i="47"/>
  <c r="O9" i="47"/>
  <c r="E9" i="47"/>
  <c r="F9" i="47" s="1"/>
  <c r="P8" i="47"/>
  <c r="O8" i="47"/>
  <c r="E8" i="47"/>
  <c r="F8" i="47" s="1"/>
  <c r="P7" i="47"/>
  <c r="O7" i="47"/>
  <c r="E7" i="47"/>
  <c r="F7" i="47" s="1"/>
  <c r="N6" i="47"/>
  <c r="M6" i="47"/>
  <c r="O6" i="47" s="1"/>
  <c r="D6" i="47"/>
  <c r="C6" i="47"/>
  <c r="E6" i="47" s="1"/>
  <c r="O25" i="46"/>
  <c r="P25" i="46" s="1"/>
  <c r="E25" i="46"/>
  <c r="F25" i="46" s="1"/>
  <c r="O24" i="46"/>
  <c r="P24" i="46" s="1"/>
  <c r="E24" i="46"/>
  <c r="F24" i="46" s="1"/>
  <c r="P23" i="46"/>
  <c r="O23" i="46"/>
  <c r="F23" i="46"/>
  <c r="E23" i="46"/>
  <c r="P22" i="46"/>
  <c r="O22" i="46"/>
  <c r="E22" i="46"/>
  <c r="F22" i="46" s="1"/>
  <c r="P21" i="46"/>
  <c r="O21" i="46"/>
  <c r="F21" i="46"/>
  <c r="E21" i="46"/>
  <c r="P20" i="46"/>
  <c r="O20" i="46"/>
  <c r="E20" i="46"/>
  <c r="F20" i="46" s="1"/>
  <c r="P19" i="46"/>
  <c r="O19" i="46"/>
  <c r="F19" i="46"/>
  <c r="E19" i="46"/>
  <c r="P18" i="46"/>
  <c r="O18" i="46"/>
  <c r="E18" i="46"/>
  <c r="F18" i="46" s="1"/>
  <c r="P17" i="46"/>
  <c r="O17" i="46"/>
  <c r="F17" i="46"/>
  <c r="E17" i="46"/>
  <c r="P16" i="46"/>
  <c r="O16" i="46"/>
  <c r="E16" i="46"/>
  <c r="F16" i="46" s="1"/>
  <c r="P15" i="46"/>
  <c r="O15" i="46"/>
  <c r="F15" i="46"/>
  <c r="E15" i="46"/>
  <c r="P14" i="46"/>
  <c r="O14" i="46"/>
  <c r="E14" i="46"/>
  <c r="F14" i="46" s="1"/>
  <c r="P13" i="46"/>
  <c r="O13" i="46"/>
  <c r="F13" i="46"/>
  <c r="E13" i="46"/>
  <c r="P12" i="46"/>
  <c r="O12" i="46"/>
  <c r="E12" i="46"/>
  <c r="F12" i="46" s="1"/>
  <c r="P11" i="46"/>
  <c r="O11" i="46"/>
  <c r="F11" i="46"/>
  <c r="E11" i="46"/>
  <c r="P10" i="46"/>
  <c r="O10" i="46"/>
  <c r="E10" i="46"/>
  <c r="F10" i="46" s="1"/>
  <c r="P9" i="46"/>
  <c r="O9" i="46"/>
  <c r="F9" i="46"/>
  <c r="E9" i="46"/>
  <c r="P8" i="46"/>
  <c r="O8" i="46"/>
  <c r="E8" i="46"/>
  <c r="F8" i="46" s="1"/>
  <c r="P7" i="46"/>
  <c r="O7" i="46"/>
  <c r="F7" i="46"/>
  <c r="E7" i="46"/>
  <c r="O6" i="46"/>
  <c r="N6" i="46"/>
  <c r="P6" i="46" s="1"/>
  <c r="F6" i="46"/>
  <c r="E6" i="46"/>
  <c r="D6" i="46"/>
  <c r="O12" i="45"/>
  <c r="P12" i="45" s="1"/>
  <c r="E12" i="45"/>
  <c r="F12" i="45" s="1"/>
  <c r="O11" i="45"/>
  <c r="P11" i="45" s="1"/>
  <c r="E11" i="45"/>
  <c r="F11" i="45" s="1"/>
  <c r="O10" i="45"/>
  <c r="P10" i="45" s="1"/>
  <c r="E10" i="45"/>
  <c r="F10" i="45" s="1"/>
  <c r="P9" i="45"/>
  <c r="O9" i="45"/>
  <c r="F9" i="45"/>
  <c r="E9" i="45"/>
  <c r="O8" i="45"/>
  <c r="P8" i="45" s="1"/>
  <c r="E8" i="45"/>
  <c r="F8" i="45" s="1"/>
  <c r="P7" i="45"/>
  <c r="O7" i="45"/>
  <c r="F7" i="45"/>
  <c r="E7" i="45"/>
  <c r="N6" i="45"/>
  <c r="M6" i="45"/>
  <c r="O6" i="45" s="1"/>
  <c r="E6" i="45"/>
  <c r="D6" i="45"/>
  <c r="F6" i="45" s="1"/>
  <c r="C6" i="45"/>
  <c r="O42" i="40"/>
  <c r="P42" i="40" s="1"/>
  <c r="E42" i="40"/>
  <c r="F42" i="40" s="1"/>
  <c r="P41" i="40"/>
  <c r="O41" i="40"/>
  <c r="E41" i="40"/>
  <c r="F41" i="40" s="1"/>
  <c r="O40" i="40"/>
  <c r="P40" i="40" s="1"/>
  <c r="E40" i="40"/>
  <c r="F40" i="40" s="1"/>
  <c r="N39" i="40"/>
  <c r="M39" i="40"/>
  <c r="O39" i="40" s="1"/>
  <c r="P39" i="40" s="1"/>
  <c r="E39" i="40"/>
  <c r="F39" i="40" s="1"/>
  <c r="D39" i="40"/>
  <c r="C39" i="40"/>
  <c r="O25" i="43"/>
  <c r="P25" i="43" s="1"/>
  <c r="F25" i="43"/>
  <c r="E25" i="43"/>
  <c r="N24" i="43"/>
  <c r="M24" i="43"/>
  <c r="O24" i="43" s="1"/>
  <c r="P24" i="43" s="1"/>
  <c r="E24" i="43"/>
  <c r="F24" i="43" s="1"/>
  <c r="D24" i="43"/>
  <c r="C24" i="43"/>
  <c r="O16" i="43"/>
  <c r="P16" i="43" s="1"/>
  <c r="E16" i="43"/>
  <c r="F16" i="43" s="1"/>
  <c r="O15" i="43"/>
  <c r="P15" i="43" s="1"/>
  <c r="N15" i="43"/>
  <c r="M15" i="43"/>
  <c r="D15" i="43"/>
  <c r="C15" i="43"/>
  <c r="E15" i="43" s="1"/>
  <c r="F15" i="43" s="1"/>
  <c r="C60" i="39"/>
  <c r="E60" i="39" s="1"/>
  <c r="F60" i="39" s="1"/>
  <c r="D60" i="39"/>
  <c r="E61" i="39"/>
  <c r="F61" i="39"/>
  <c r="E62" i="39"/>
  <c r="F62" i="39"/>
  <c r="E63" i="39"/>
  <c r="F63" i="39"/>
  <c r="E64" i="39"/>
  <c r="F64" i="39"/>
  <c r="E65" i="39"/>
  <c r="F65" i="39"/>
  <c r="O7" i="43"/>
  <c r="P7" i="43" s="1"/>
  <c r="N6" i="43"/>
  <c r="M6" i="43"/>
  <c r="O6" i="43" s="1"/>
  <c r="P6" i="43" s="1"/>
  <c r="C6" i="43"/>
  <c r="E6" i="43" s="1"/>
  <c r="F6" i="43" s="1"/>
  <c r="D6" i="43"/>
  <c r="E7" i="43"/>
  <c r="F7" i="43"/>
  <c r="D22" i="42"/>
  <c r="C22" i="42"/>
  <c r="E22" i="42" s="1"/>
  <c r="F22" i="42" s="1"/>
  <c r="N22" i="42"/>
  <c r="M22" i="42"/>
  <c r="O22" i="42" s="1"/>
  <c r="P22" i="42" s="1"/>
  <c r="N14" i="42"/>
  <c r="M14" i="42"/>
  <c r="O14" i="42" s="1"/>
  <c r="P14" i="42" s="1"/>
  <c r="E14" i="42"/>
  <c r="F14" i="42" s="1"/>
  <c r="D14" i="42"/>
  <c r="C14" i="42"/>
  <c r="N6" i="42"/>
  <c r="M6" i="42"/>
  <c r="O6" i="42" s="1"/>
  <c r="P6" i="42" s="1"/>
  <c r="D6" i="42"/>
  <c r="C6" i="42"/>
  <c r="E6" i="42" s="1"/>
  <c r="F6" i="42" s="1"/>
  <c r="O313" i="35"/>
  <c r="P313" i="35" s="1"/>
  <c r="O312" i="35"/>
  <c r="P312" i="35" s="1"/>
  <c r="P311" i="35"/>
  <c r="O311" i="35"/>
  <c r="O310" i="35"/>
  <c r="P310" i="35" s="1"/>
  <c r="O309" i="35"/>
  <c r="P309" i="35" s="1"/>
  <c r="O308" i="35"/>
  <c r="P308" i="35" s="1"/>
  <c r="P307" i="35"/>
  <c r="O307" i="35"/>
  <c r="O306" i="35"/>
  <c r="P306" i="35" s="1"/>
  <c r="O305" i="35"/>
  <c r="P305" i="35" s="1"/>
  <c r="O304" i="35"/>
  <c r="P304" i="35" s="1"/>
  <c r="P303" i="35"/>
  <c r="O303" i="35"/>
  <c r="O302" i="35"/>
  <c r="P302" i="35" s="1"/>
  <c r="O301" i="35"/>
  <c r="P301" i="35" s="1"/>
  <c r="O300" i="35"/>
  <c r="P300" i="35" s="1"/>
  <c r="P299" i="35"/>
  <c r="O299" i="35"/>
  <c r="O298" i="35"/>
  <c r="P298" i="35" s="1"/>
  <c r="O297" i="35"/>
  <c r="P297" i="35" s="1"/>
  <c r="O296" i="35"/>
  <c r="P296" i="35" s="1"/>
  <c r="P295" i="35"/>
  <c r="O295" i="35"/>
  <c r="O294" i="35"/>
  <c r="P294" i="35" s="1"/>
  <c r="O293" i="35"/>
  <c r="P293" i="35" s="1"/>
  <c r="O292" i="35"/>
  <c r="P292" i="35" s="1"/>
  <c r="P291" i="35"/>
  <c r="O291" i="35"/>
  <c r="O290" i="35"/>
  <c r="N290" i="35"/>
  <c r="P290" i="35" s="1"/>
  <c r="M290" i="35"/>
  <c r="E313" i="35"/>
  <c r="F313" i="35" s="1"/>
  <c r="E312" i="35"/>
  <c r="F312" i="35" s="1"/>
  <c r="F311" i="35"/>
  <c r="E311" i="35"/>
  <c r="E310" i="35"/>
  <c r="F310" i="35" s="1"/>
  <c r="F309" i="35"/>
  <c r="E309" i="35"/>
  <c r="F308" i="35"/>
  <c r="E308" i="35"/>
  <c r="F307" i="35"/>
  <c r="E307" i="35"/>
  <c r="E306" i="35"/>
  <c r="F306" i="35" s="1"/>
  <c r="F305" i="35"/>
  <c r="E305" i="35"/>
  <c r="F304" i="35"/>
  <c r="E304" i="35"/>
  <c r="F303" i="35"/>
  <c r="E303" i="35"/>
  <c r="E302" i="35"/>
  <c r="F302" i="35" s="1"/>
  <c r="F301" i="35"/>
  <c r="E301" i="35"/>
  <c r="F300" i="35"/>
  <c r="E300" i="35"/>
  <c r="E299" i="35"/>
  <c r="F299" i="35" s="1"/>
  <c r="E298" i="35"/>
  <c r="F298" i="35" s="1"/>
  <c r="F297" i="35"/>
  <c r="E297" i="35"/>
  <c r="F296" i="35"/>
  <c r="E296" i="35"/>
  <c r="F295" i="35"/>
  <c r="E295" i="35"/>
  <c r="E294" i="35"/>
  <c r="F294" i="35" s="1"/>
  <c r="F293" i="35"/>
  <c r="E293" i="35"/>
  <c r="F292" i="35"/>
  <c r="E292" i="35"/>
  <c r="F291" i="35"/>
  <c r="E291" i="35"/>
  <c r="E290" i="35"/>
  <c r="D290" i="35"/>
  <c r="F290" i="35" s="1"/>
  <c r="C290" i="35"/>
  <c r="O247" i="35"/>
  <c r="P247" i="35" s="1"/>
  <c r="E247" i="35"/>
  <c r="F247" i="35" s="1"/>
  <c r="O246" i="35"/>
  <c r="P246" i="35" s="1"/>
  <c r="E246" i="35"/>
  <c r="F246" i="35" s="1"/>
  <c r="C255" i="35"/>
  <c r="E255" i="35" s="1"/>
  <c r="D255" i="35"/>
  <c r="E256" i="35"/>
  <c r="F256" i="35"/>
  <c r="E257" i="35"/>
  <c r="F257" i="35"/>
  <c r="E258" i="35"/>
  <c r="F258" i="35" s="1"/>
  <c r="E259" i="35"/>
  <c r="F259" i="35" s="1"/>
  <c r="E260" i="35"/>
  <c r="F260" i="35"/>
  <c r="E261" i="35"/>
  <c r="F261" i="35"/>
  <c r="E262" i="35"/>
  <c r="F262" i="35" s="1"/>
  <c r="E263" i="35"/>
  <c r="F263" i="35" s="1"/>
  <c r="E264" i="35"/>
  <c r="F264" i="35"/>
  <c r="E265" i="35"/>
  <c r="F265" i="35"/>
  <c r="E266" i="35"/>
  <c r="F266" i="35" s="1"/>
  <c r="E267" i="35"/>
  <c r="F267" i="35" s="1"/>
  <c r="E268" i="35"/>
  <c r="F268" i="35"/>
  <c r="E269" i="35"/>
  <c r="F269" i="35"/>
  <c r="E270" i="35"/>
  <c r="F270" i="35" s="1"/>
  <c r="E271" i="35"/>
  <c r="F271" i="35" s="1"/>
  <c r="E272" i="35"/>
  <c r="F272" i="35"/>
  <c r="E273" i="35"/>
  <c r="F273" i="35"/>
  <c r="E274" i="35"/>
  <c r="F274" i="35" s="1"/>
  <c r="E275" i="35"/>
  <c r="F275" i="35" s="1"/>
  <c r="E276" i="35"/>
  <c r="F276" i="35"/>
  <c r="E277" i="35"/>
  <c r="F277" i="35"/>
  <c r="O377" i="34"/>
  <c r="P377" i="34" s="1"/>
  <c r="O376" i="34"/>
  <c r="P376" i="34" s="1"/>
  <c r="O375" i="34"/>
  <c r="P375" i="34" s="1"/>
  <c r="O374" i="34"/>
  <c r="P374" i="34" s="1"/>
  <c r="O373" i="34"/>
  <c r="P373" i="34" s="1"/>
  <c r="O372" i="34"/>
  <c r="P372" i="34" s="1"/>
  <c r="O371" i="34"/>
  <c r="P371" i="34" s="1"/>
  <c r="O370" i="34"/>
  <c r="P370" i="34" s="1"/>
  <c r="O369" i="34"/>
  <c r="P369" i="34" s="1"/>
  <c r="O368" i="34"/>
  <c r="P368" i="34" s="1"/>
  <c r="O367" i="34"/>
  <c r="P367" i="34" s="1"/>
  <c r="O366" i="34"/>
  <c r="P366" i="34" s="1"/>
  <c r="N366" i="34"/>
  <c r="M366" i="34"/>
  <c r="E377" i="34"/>
  <c r="F377" i="34" s="1"/>
  <c r="E376" i="34"/>
  <c r="F376" i="34" s="1"/>
  <c r="E375" i="34"/>
  <c r="F375" i="34" s="1"/>
  <c r="E374" i="34"/>
  <c r="F374" i="34" s="1"/>
  <c r="F373" i="34"/>
  <c r="E373" i="34"/>
  <c r="E372" i="34"/>
  <c r="F372" i="34" s="1"/>
  <c r="E371" i="34"/>
  <c r="F371" i="34" s="1"/>
  <c r="E370" i="34"/>
  <c r="F370" i="34" s="1"/>
  <c r="E369" i="34"/>
  <c r="F369" i="34" s="1"/>
  <c r="E368" i="34"/>
  <c r="F368" i="34" s="1"/>
  <c r="E367" i="34"/>
  <c r="F367" i="34" s="1"/>
  <c r="D366" i="34"/>
  <c r="C366" i="34"/>
  <c r="E366" i="34" s="1"/>
  <c r="O358" i="34"/>
  <c r="P358" i="34" s="1"/>
  <c r="N358" i="34"/>
  <c r="O357" i="34"/>
  <c r="P357" i="34" s="1"/>
  <c r="N357" i="34"/>
  <c r="O356" i="34"/>
  <c r="P356" i="34" s="1"/>
  <c r="N356" i="34"/>
  <c r="O355" i="34"/>
  <c r="P355" i="34" s="1"/>
  <c r="N355" i="34"/>
  <c r="O354" i="34"/>
  <c r="P354" i="34" s="1"/>
  <c r="N354" i="34"/>
  <c r="O353" i="34"/>
  <c r="P353" i="34" s="1"/>
  <c r="N353" i="34"/>
  <c r="O352" i="34"/>
  <c r="P352" i="34" s="1"/>
  <c r="N352" i="34"/>
  <c r="O351" i="34"/>
  <c r="P351" i="34" s="1"/>
  <c r="N351" i="34"/>
  <c r="O350" i="34"/>
  <c r="P350" i="34" s="1"/>
  <c r="N350" i="34"/>
  <c r="O349" i="34"/>
  <c r="P349" i="34" s="1"/>
  <c r="N349" i="34"/>
  <c r="O348" i="34"/>
  <c r="P348" i="34" s="1"/>
  <c r="N348" i="34"/>
  <c r="N347" i="34"/>
  <c r="M347" i="34"/>
  <c r="O347" i="34" s="1"/>
  <c r="P347" i="34" s="1"/>
  <c r="E358" i="34"/>
  <c r="F358" i="34" s="1"/>
  <c r="D358" i="34"/>
  <c r="E357" i="34"/>
  <c r="F357" i="34" s="1"/>
  <c r="D357" i="34"/>
  <c r="E356" i="34"/>
  <c r="F356" i="34" s="1"/>
  <c r="D356" i="34"/>
  <c r="E355" i="34"/>
  <c r="F355" i="34" s="1"/>
  <c r="D355" i="34"/>
  <c r="E354" i="34"/>
  <c r="F354" i="34" s="1"/>
  <c r="D354" i="34"/>
  <c r="E353" i="34"/>
  <c r="F353" i="34" s="1"/>
  <c r="D353" i="34"/>
  <c r="E352" i="34"/>
  <c r="F352" i="34" s="1"/>
  <c r="D352" i="34"/>
  <c r="E351" i="34"/>
  <c r="F351" i="34" s="1"/>
  <c r="D351" i="34"/>
  <c r="E350" i="34"/>
  <c r="F350" i="34" s="1"/>
  <c r="D350" i="34"/>
  <c r="E349" i="34"/>
  <c r="F349" i="34" s="1"/>
  <c r="D349" i="34"/>
  <c r="E348" i="34"/>
  <c r="F348" i="34" s="1"/>
  <c r="D348" i="34"/>
  <c r="D347" i="34"/>
  <c r="C347" i="34"/>
  <c r="E347" i="34" s="1"/>
  <c r="F347" i="34" s="1"/>
  <c r="E339" i="34"/>
  <c r="F339" i="34" s="1"/>
  <c r="E338" i="34"/>
  <c r="F338" i="34" s="1"/>
  <c r="E337" i="34"/>
  <c r="F337" i="34" s="1"/>
  <c r="E336" i="34"/>
  <c r="F336" i="34" s="1"/>
  <c r="E335" i="34"/>
  <c r="F335" i="34" s="1"/>
  <c r="E334" i="34"/>
  <c r="F334" i="34" s="1"/>
  <c r="F333" i="34"/>
  <c r="E333" i="34"/>
  <c r="E332" i="34"/>
  <c r="F332" i="34" s="1"/>
  <c r="E331" i="34"/>
  <c r="F331" i="34" s="1"/>
  <c r="E330" i="34"/>
  <c r="F330" i="34" s="1"/>
  <c r="F329" i="34"/>
  <c r="E329" i="34"/>
  <c r="D328" i="34"/>
  <c r="C328" i="34"/>
  <c r="E328" i="34" s="1"/>
  <c r="F328" i="34" s="1"/>
  <c r="M328" i="34"/>
  <c r="O328" i="34" s="1"/>
  <c r="P328" i="34" s="1"/>
  <c r="N328" i="34"/>
  <c r="O329" i="34"/>
  <c r="P329" i="34" s="1"/>
  <c r="O330" i="34"/>
  <c r="P330" i="34" s="1"/>
  <c r="O331" i="34"/>
  <c r="P331" i="34" s="1"/>
  <c r="O332" i="34"/>
  <c r="P332" i="34" s="1"/>
  <c r="O333" i="34"/>
  <c r="P333" i="34" s="1"/>
  <c r="O334" i="34"/>
  <c r="P334" i="34" s="1"/>
  <c r="O335" i="34"/>
  <c r="P335" i="34" s="1"/>
  <c r="O336" i="34"/>
  <c r="P336" i="34" s="1"/>
  <c r="O337" i="34"/>
  <c r="P337" i="34" s="1"/>
  <c r="O338" i="34"/>
  <c r="P338" i="34" s="1"/>
  <c r="O339" i="34"/>
  <c r="P339" i="34" s="1"/>
  <c r="O320" i="34"/>
  <c r="P320" i="34" s="1"/>
  <c r="O319" i="34"/>
  <c r="P319" i="34" s="1"/>
  <c r="O318" i="34"/>
  <c r="P318" i="34" s="1"/>
  <c r="O317" i="34"/>
  <c r="P317" i="34" s="1"/>
  <c r="O316" i="34"/>
  <c r="P316" i="34" s="1"/>
  <c r="P315" i="34"/>
  <c r="O315" i="34"/>
  <c r="O314" i="34"/>
  <c r="P314" i="34" s="1"/>
  <c r="O313" i="34"/>
  <c r="P313" i="34" s="1"/>
  <c r="P312" i="34"/>
  <c r="O312" i="34"/>
  <c r="O311" i="34"/>
  <c r="P311" i="34" s="1"/>
  <c r="O310" i="34"/>
  <c r="P310" i="34" s="1"/>
  <c r="N309" i="34"/>
  <c r="M309" i="34"/>
  <c r="O309" i="34" s="1"/>
  <c r="E320" i="34"/>
  <c r="F320" i="34" s="1"/>
  <c r="E319" i="34"/>
  <c r="F319" i="34" s="1"/>
  <c r="E318" i="34"/>
  <c r="F318" i="34" s="1"/>
  <c r="E317" i="34"/>
  <c r="F317" i="34" s="1"/>
  <c r="E316" i="34"/>
  <c r="F316" i="34" s="1"/>
  <c r="E315" i="34"/>
  <c r="F315" i="34" s="1"/>
  <c r="E314" i="34"/>
  <c r="F314" i="34" s="1"/>
  <c r="E313" i="34"/>
  <c r="F313" i="34" s="1"/>
  <c r="E312" i="34"/>
  <c r="F312" i="34" s="1"/>
  <c r="E311" i="34"/>
  <c r="F311" i="34" s="1"/>
  <c r="F310" i="34"/>
  <c r="E310" i="34"/>
  <c r="E309" i="34"/>
  <c r="D309" i="34"/>
  <c r="C309" i="34"/>
  <c r="M255" i="35"/>
  <c r="N255" i="35"/>
  <c r="O255" i="35"/>
  <c r="P255" i="35"/>
  <c r="O256" i="35"/>
  <c r="P256" i="35" s="1"/>
  <c r="O257" i="35"/>
  <c r="P257" i="35" s="1"/>
  <c r="O258" i="35"/>
  <c r="P258" i="35" s="1"/>
  <c r="O259" i="35"/>
  <c r="P259" i="35" s="1"/>
  <c r="O260" i="35"/>
  <c r="P260" i="35" s="1"/>
  <c r="O261" i="35"/>
  <c r="P261" i="35" s="1"/>
  <c r="O262" i="35"/>
  <c r="P262" i="35" s="1"/>
  <c r="O263" i="35"/>
  <c r="P263" i="35" s="1"/>
  <c r="O264" i="35"/>
  <c r="P264" i="35" s="1"/>
  <c r="O265" i="35"/>
  <c r="P265" i="35"/>
  <c r="O266" i="35"/>
  <c r="P266" i="35" s="1"/>
  <c r="O267" i="35"/>
  <c r="P267" i="35"/>
  <c r="O268" i="35"/>
  <c r="P268" i="35" s="1"/>
  <c r="O269" i="35"/>
  <c r="P269" i="35" s="1"/>
  <c r="O270" i="35"/>
  <c r="P270" i="35"/>
  <c r="O271" i="35"/>
  <c r="P271" i="35"/>
  <c r="O272" i="35"/>
  <c r="P272" i="35" s="1"/>
  <c r="O273" i="35"/>
  <c r="P273" i="35" s="1"/>
  <c r="O274" i="35"/>
  <c r="P274" i="35"/>
  <c r="O275" i="35"/>
  <c r="P275" i="35"/>
  <c r="O276" i="35"/>
  <c r="P276" i="35" s="1"/>
  <c r="O277" i="35"/>
  <c r="P277" i="35" s="1"/>
  <c r="E278" i="35"/>
  <c r="F278" i="35" s="1"/>
  <c r="O278" i="35"/>
  <c r="P278" i="35" s="1"/>
  <c r="P23" i="41"/>
  <c r="O23" i="41"/>
  <c r="E23" i="41"/>
  <c r="F23" i="41" s="1"/>
  <c r="O22" i="41"/>
  <c r="P22" i="41" s="1"/>
  <c r="E22" i="41"/>
  <c r="F22" i="41" s="1"/>
  <c r="P21" i="41"/>
  <c r="O21" i="41"/>
  <c r="F21" i="41"/>
  <c r="E21" i="41"/>
  <c r="O20" i="41"/>
  <c r="P20" i="41" s="1"/>
  <c r="E20" i="41"/>
  <c r="F20" i="41" s="1"/>
  <c r="P19" i="41"/>
  <c r="O19" i="41"/>
  <c r="F19" i="41"/>
  <c r="E19" i="41"/>
  <c r="P18" i="41"/>
  <c r="O18" i="41"/>
  <c r="E18" i="41"/>
  <c r="F18" i="41" s="1"/>
  <c r="P17" i="41"/>
  <c r="O17" i="41"/>
  <c r="F17" i="41"/>
  <c r="E17" i="41"/>
  <c r="P16" i="41"/>
  <c r="O16" i="41"/>
  <c r="E16" i="41"/>
  <c r="F16" i="41" s="1"/>
  <c r="P15" i="41"/>
  <c r="O15" i="41"/>
  <c r="F15" i="41"/>
  <c r="E15" i="41"/>
  <c r="P14" i="41"/>
  <c r="O14" i="41"/>
  <c r="E14" i="41"/>
  <c r="F14" i="41" s="1"/>
  <c r="P13" i="41"/>
  <c r="O13" i="41"/>
  <c r="F13" i="41"/>
  <c r="E13" i="41"/>
  <c r="P12" i="41"/>
  <c r="O12" i="41"/>
  <c r="E12" i="41"/>
  <c r="F12" i="41" s="1"/>
  <c r="P11" i="41"/>
  <c r="O11" i="41"/>
  <c r="F11" i="41"/>
  <c r="E11" i="41"/>
  <c r="P10" i="41"/>
  <c r="O10" i="41"/>
  <c r="E10" i="41"/>
  <c r="F10" i="41" s="1"/>
  <c r="P9" i="41"/>
  <c r="O9" i="41"/>
  <c r="F9" i="41"/>
  <c r="E9" i="41"/>
  <c r="P8" i="41"/>
  <c r="O8" i="41"/>
  <c r="E8" i="41"/>
  <c r="F8" i="41" s="1"/>
  <c r="P7" i="41"/>
  <c r="O7" i="41"/>
  <c r="F7" i="41"/>
  <c r="E7" i="41"/>
  <c r="M6" i="41"/>
  <c r="O6" i="41" s="1"/>
  <c r="P6" i="41" s="1"/>
  <c r="F6" i="41"/>
  <c r="E6" i="41"/>
  <c r="C6" i="41"/>
  <c r="E301" i="34"/>
  <c r="E300" i="34"/>
  <c r="E299" i="34"/>
  <c r="E298" i="34"/>
  <c r="E297" i="34"/>
  <c r="E296" i="34"/>
  <c r="E295" i="34"/>
  <c r="E294" i="34"/>
  <c r="E293" i="34"/>
  <c r="E292" i="34"/>
  <c r="E291" i="34"/>
  <c r="D290" i="34"/>
  <c r="C290" i="34"/>
  <c r="E290" i="34" s="1"/>
  <c r="O245" i="35"/>
  <c r="P245" i="35" s="1"/>
  <c r="O244" i="35"/>
  <c r="P244" i="35" s="1"/>
  <c r="O243" i="35"/>
  <c r="P243" i="35" s="1"/>
  <c r="O242" i="35"/>
  <c r="P242" i="35" s="1"/>
  <c r="O241" i="35"/>
  <c r="P241" i="35" s="1"/>
  <c r="O240" i="35"/>
  <c r="P240" i="35" s="1"/>
  <c r="O239" i="35"/>
  <c r="P239" i="35" s="1"/>
  <c r="O238" i="35"/>
  <c r="P238" i="35" s="1"/>
  <c r="O237" i="35"/>
  <c r="P237" i="35" s="1"/>
  <c r="O236" i="35"/>
  <c r="P236" i="35" s="1"/>
  <c r="O235" i="35"/>
  <c r="P235" i="35" s="1"/>
  <c r="O234" i="35"/>
  <c r="P234" i="35" s="1"/>
  <c r="O233" i="35"/>
  <c r="P233" i="35" s="1"/>
  <c r="O232" i="35"/>
  <c r="P232" i="35" s="1"/>
  <c r="O231" i="35"/>
  <c r="P231" i="35" s="1"/>
  <c r="O230" i="35"/>
  <c r="P230" i="35" s="1"/>
  <c r="O229" i="35"/>
  <c r="P229" i="35" s="1"/>
  <c r="O228" i="35"/>
  <c r="P228" i="35" s="1"/>
  <c r="O227" i="35"/>
  <c r="P227" i="35" s="1"/>
  <c r="O226" i="35"/>
  <c r="P226" i="35" s="1"/>
  <c r="O225" i="35"/>
  <c r="P225" i="35" s="1"/>
  <c r="N224" i="35"/>
  <c r="M224" i="35"/>
  <c r="O224" i="35" s="1"/>
  <c r="E245" i="35"/>
  <c r="F245" i="35" s="1"/>
  <c r="E244" i="35"/>
  <c r="F244" i="35" s="1"/>
  <c r="E243" i="35"/>
  <c r="F243" i="35" s="1"/>
  <c r="E242" i="35"/>
  <c r="F242" i="35" s="1"/>
  <c r="E241" i="35"/>
  <c r="F241" i="35" s="1"/>
  <c r="E240" i="35"/>
  <c r="F240" i="35" s="1"/>
  <c r="E239" i="35"/>
  <c r="F239" i="35" s="1"/>
  <c r="E238" i="35"/>
  <c r="F238" i="35" s="1"/>
  <c r="E237" i="35"/>
  <c r="F237" i="35" s="1"/>
  <c r="E236" i="35"/>
  <c r="F236" i="35" s="1"/>
  <c r="E235" i="35"/>
  <c r="F235" i="35" s="1"/>
  <c r="E234" i="35"/>
  <c r="F234" i="35" s="1"/>
  <c r="E233" i="35"/>
  <c r="F233" i="35" s="1"/>
  <c r="E232" i="35"/>
  <c r="F232" i="35" s="1"/>
  <c r="E231" i="35"/>
  <c r="F231" i="35" s="1"/>
  <c r="E230" i="35"/>
  <c r="F230" i="35" s="1"/>
  <c r="E229" i="35"/>
  <c r="F229" i="35" s="1"/>
  <c r="E228" i="35"/>
  <c r="F228" i="35" s="1"/>
  <c r="E227" i="35"/>
  <c r="F227" i="35" s="1"/>
  <c r="E226" i="35"/>
  <c r="F226" i="35" s="1"/>
  <c r="E225" i="35"/>
  <c r="F225" i="35" s="1"/>
  <c r="D224" i="35"/>
  <c r="C224" i="35"/>
  <c r="E224" i="35" s="1"/>
  <c r="O216" i="35"/>
  <c r="P216" i="35" s="1"/>
  <c r="O215" i="35"/>
  <c r="P215" i="35" s="1"/>
  <c r="O214" i="35"/>
  <c r="P214" i="35" s="1"/>
  <c r="O213" i="35"/>
  <c r="P213" i="35" s="1"/>
  <c r="O212" i="35"/>
  <c r="P212" i="35" s="1"/>
  <c r="O211" i="35"/>
  <c r="P211" i="35" s="1"/>
  <c r="O210" i="35"/>
  <c r="P210" i="35" s="1"/>
  <c r="O209" i="35"/>
  <c r="P209" i="35" s="1"/>
  <c r="O208" i="35"/>
  <c r="P208" i="35" s="1"/>
  <c r="O207" i="35"/>
  <c r="P207" i="35" s="1"/>
  <c r="O206" i="35"/>
  <c r="P206" i="35" s="1"/>
  <c r="O205" i="35"/>
  <c r="P205" i="35" s="1"/>
  <c r="O204" i="35"/>
  <c r="P204" i="35" s="1"/>
  <c r="O203" i="35"/>
  <c r="P203" i="35" s="1"/>
  <c r="O202" i="35"/>
  <c r="P202" i="35" s="1"/>
  <c r="O201" i="35"/>
  <c r="P201" i="35" s="1"/>
  <c r="O200" i="35"/>
  <c r="P200" i="35" s="1"/>
  <c r="O199" i="35"/>
  <c r="P199" i="35" s="1"/>
  <c r="O198" i="35"/>
  <c r="P198" i="35" s="1"/>
  <c r="O197" i="35"/>
  <c r="P197" i="35" s="1"/>
  <c r="O196" i="35"/>
  <c r="P196" i="35" s="1"/>
  <c r="O195" i="35"/>
  <c r="P195" i="35" s="1"/>
  <c r="O194" i="35"/>
  <c r="P194" i="35" s="1"/>
  <c r="N193" i="35"/>
  <c r="M193" i="35"/>
  <c r="O193" i="35" s="1"/>
  <c r="E216" i="35"/>
  <c r="F216" i="35" s="1"/>
  <c r="E215" i="35"/>
  <c r="F215" i="35" s="1"/>
  <c r="E214" i="35"/>
  <c r="F214" i="35" s="1"/>
  <c r="E213" i="35"/>
  <c r="F213" i="35" s="1"/>
  <c r="E212" i="35"/>
  <c r="F212" i="35" s="1"/>
  <c r="E211" i="35"/>
  <c r="F211" i="35" s="1"/>
  <c r="E210" i="35"/>
  <c r="F210" i="35" s="1"/>
  <c r="E209" i="35"/>
  <c r="F209" i="35" s="1"/>
  <c r="E208" i="35"/>
  <c r="F208" i="35" s="1"/>
  <c r="E207" i="35"/>
  <c r="F207" i="35" s="1"/>
  <c r="E206" i="35"/>
  <c r="F206" i="35" s="1"/>
  <c r="E205" i="35"/>
  <c r="F205" i="35" s="1"/>
  <c r="E204" i="35"/>
  <c r="F204" i="35" s="1"/>
  <c r="E203" i="35"/>
  <c r="F203" i="35" s="1"/>
  <c r="E202" i="35"/>
  <c r="F202" i="35" s="1"/>
  <c r="E201" i="35"/>
  <c r="F201" i="35" s="1"/>
  <c r="E200" i="35"/>
  <c r="F200" i="35" s="1"/>
  <c r="E199" i="35"/>
  <c r="F199" i="35" s="1"/>
  <c r="E198" i="35"/>
  <c r="F198" i="35" s="1"/>
  <c r="E197" i="35"/>
  <c r="F197" i="35" s="1"/>
  <c r="E196" i="35"/>
  <c r="F196" i="35" s="1"/>
  <c r="E195" i="35"/>
  <c r="F195" i="35" s="1"/>
  <c r="E194" i="35"/>
  <c r="F194" i="35" s="1"/>
  <c r="D193" i="35"/>
  <c r="C193" i="35"/>
  <c r="E193" i="35" s="1"/>
  <c r="O167" i="34"/>
  <c r="P167" i="34" s="1"/>
  <c r="N167" i="34"/>
  <c r="O166" i="34"/>
  <c r="P166" i="34" s="1"/>
  <c r="N166" i="34"/>
  <c r="O165" i="34"/>
  <c r="P165" i="34" s="1"/>
  <c r="N165" i="34"/>
  <c r="O164" i="34"/>
  <c r="P164" i="34" s="1"/>
  <c r="N164" i="34"/>
  <c r="O163" i="34"/>
  <c r="P163" i="34" s="1"/>
  <c r="N163" i="34"/>
  <c r="O162" i="34"/>
  <c r="P162" i="34" s="1"/>
  <c r="N162" i="34"/>
  <c r="O161" i="34"/>
  <c r="P161" i="34" s="1"/>
  <c r="N161" i="34"/>
  <c r="O160" i="34"/>
  <c r="P160" i="34" s="1"/>
  <c r="N160" i="34"/>
  <c r="O159" i="34"/>
  <c r="P159" i="34" s="1"/>
  <c r="N159" i="34"/>
  <c r="O158" i="34"/>
  <c r="P158" i="34" s="1"/>
  <c r="N158" i="34"/>
  <c r="O157" i="34"/>
  <c r="P157" i="34" s="1"/>
  <c r="N157" i="34"/>
  <c r="N156" i="34"/>
  <c r="M156" i="34"/>
  <c r="O156" i="34" s="1"/>
  <c r="P156" i="34" s="1"/>
  <c r="F21" i="40"/>
  <c r="O397" i="36"/>
  <c r="P397" i="36" s="1"/>
  <c r="O396" i="36"/>
  <c r="P396" i="36" s="1"/>
  <c r="P395" i="36"/>
  <c r="O395" i="36"/>
  <c r="O394" i="36"/>
  <c r="P394" i="36" s="1"/>
  <c r="O393" i="36"/>
  <c r="P393" i="36" s="1"/>
  <c r="O392" i="36"/>
  <c r="P392" i="36" s="1"/>
  <c r="O391" i="36"/>
  <c r="P391" i="36" s="1"/>
  <c r="P390" i="36"/>
  <c r="O390" i="36"/>
  <c r="O389" i="36"/>
  <c r="P389" i="36" s="1"/>
  <c r="O388" i="36"/>
  <c r="P388" i="36" s="1"/>
  <c r="O387" i="36"/>
  <c r="P387" i="36" s="1"/>
  <c r="P386" i="36"/>
  <c r="O386" i="36"/>
  <c r="O385" i="36"/>
  <c r="P385" i="36" s="1"/>
  <c r="O384" i="36"/>
  <c r="P384" i="36" s="1"/>
  <c r="O383" i="36"/>
  <c r="P383" i="36" s="1"/>
  <c r="O382" i="36"/>
  <c r="P382" i="36" s="1"/>
  <c r="O381" i="36"/>
  <c r="P381" i="36" s="1"/>
  <c r="O380" i="36"/>
  <c r="P380" i="36" s="1"/>
  <c r="P379" i="36"/>
  <c r="O379" i="36"/>
  <c r="O378" i="36"/>
  <c r="P378" i="36" s="1"/>
  <c r="O377" i="36"/>
  <c r="P377" i="36" s="1"/>
  <c r="O376" i="36"/>
  <c r="P376" i="36" s="1"/>
  <c r="P375" i="36"/>
  <c r="O375" i="36"/>
  <c r="P374" i="36"/>
  <c r="O374" i="36"/>
  <c r="O367" i="36"/>
  <c r="P367" i="36" s="1"/>
  <c r="O366" i="36"/>
  <c r="P366" i="36" s="1"/>
  <c r="P365" i="36"/>
  <c r="O365" i="36"/>
  <c r="P364" i="36"/>
  <c r="O364" i="36"/>
  <c r="O363" i="36"/>
  <c r="P363" i="36" s="1"/>
  <c r="O362" i="36"/>
  <c r="P362" i="36" s="1"/>
  <c r="P361" i="36"/>
  <c r="O361" i="36"/>
  <c r="P360" i="36"/>
  <c r="O360" i="36"/>
  <c r="O359" i="36"/>
  <c r="P359" i="36" s="1"/>
  <c r="O358" i="36"/>
  <c r="P358" i="36" s="1"/>
  <c r="P357" i="36"/>
  <c r="O357" i="36"/>
  <c r="P356" i="36"/>
  <c r="O356" i="36"/>
  <c r="O355" i="36"/>
  <c r="P355" i="36" s="1"/>
  <c r="O354" i="36"/>
  <c r="P354" i="36" s="1"/>
  <c r="P353" i="36"/>
  <c r="O353" i="36"/>
  <c r="P352" i="36"/>
  <c r="O352" i="36"/>
  <c r="O351" i="36"/>
  <c r="P351" i="36" s="1"/>
  <c r="O350" i="36"/>
  <c r="P350" i="36" s="1"/>
  <c r="P349" i="36"/>
  <c r="O349" i="36"/>
  <c r="P348" i="36"/>
  <c r="O348" i="36"/>
  <c r="O347" i="36"/>
  <c r="P347" i="36" s="1"/>
  <c r="O346" i="36"/>
  <c r="P346" i="36" s="1"/>
  <c r="P345" i="36"/>
  <c r="O345" i="36"/>
  <c r="N344" i="36"/>
  <c r="M344" i="36"/>
  <c r="O344" i="36" s="1"/>
  <c r="G398" i="36"/>
  <c r="P73" i="39" l="1"/>
  <c r="P175" i="34"/>
  <c r="P6" i="37"/>
  <c r="F40" i="31"/>
  <c r="F385" i="34"/>
  <c r="P318" i="35"/>
  <c r="F423" i="34"/>
  <c r="F318" i="35"/>
  <c r="F342" i="35" s="1"/>
  <c r="F366" i="34"/>
  <c r="P385" i="34"/>
  <c r="P309" i="34"/>
  <c r="F309" i="34"/>
  <c r="P29" i="42"/>
  <c r="F72" i="47"/>
  <c r="F6" i="47"/>
  <c r="P6" i="47"/>
  <c r="P6" i="45"/>
  <c r="F255" i="35"/>
  <c r="P224" i="35"/>
  <c r="F193" i="35"/>
  <c r="P193" i="35"/>
  <c r="F224" i="35"/>
  <c r="P344" i="36"/>
  <c r="E436" i="36"/>
  <c r="F436" i="36" s="1"/>
  <c r="E435" i="36"/>
  <c r="F435" i="36" s="1"/>
  <c r="E434" i="36"/>
  <c r="F434" i="36" s="1"/>
  <c r="E433" i="36"/>
  <c r="F433" i="36" s="1"/>
  <c r="E432" i="36"/>
  <c r="F432" i="36" s="1"/>
  <c r="F431" i="36"/>
  <c r="E431" i="36"/>
  <c r="E430" i="36"/>
  <c r="F430" i="36" s="1"/>
  <c r="E429" i="36"/>
  <c r="F429" i="36" s="1"/>
  <c r="F428" i="36"/>
  <c r="E428" i="36"/>
  <c r="E427" i="36"/>
  <c r="F427" i="36" s="1"/>
  <c r="E426" i="36"/>
  <c r="F426" i="36" s="1"/>
  <c r="E425" i="36"/>
  <c r="F425" i="36" s="1"/>
  <c r="F424" i="36"/>
  <c r="E424" i="36"/>
  <c r="F423" i="36"/>
  <c r="E423" i="36"/>
  <c r="E422" i="36"/>
  <c r="F422" i="36" s="1"/>
  <c r="E421" i="36"/>
  <c r="F421" i="36" s="1"/>
  <c r="F420" i="36"/>
  <c r="E420" i="36"/>
  <c r="F419" i="36"/>
  <c r="E419" i="36"/>
  <c r="E418" i="36"/>
  <c r="F418" i="36" s="1"/>
  <c r="E417" i="36"/>
  <c r="F417" i="36" s="1"/>
  <c r="E416" i="36"/>
  <c r="F416" i="36" s="1"/>
  <c r="E415" i="36"/>
  <c r="F415" i="36" s="1"/>
  <c r="E414" i="36"/>
  <c r="F414" i="36" s="1"/>
  <c r="E413" i="36"/>
  <c r="F413" i="36" s="1"/>
  <c r="E412" i="36"/>
  <c r="F412" i="36" s="1"/>
  <c r="E411" i="36"/>
  <c r="F411" i="36" s="1"/>
  <c r="E410" i="36"/>
  <c r="F410" i="36" s="1"/>
  <c r="E409" i="36"/>
  <c r="F409" i="36" s="1"/>
  <c r="E408" i="36"/>
  <c r="F408" i="36" s="1"/>
  <c r="E407" i="36"/>
  <c r="F407" i="36" s="1"/>
  <c r="E397" i="36"/>
  <c r="F397" i="36" s="1"/>
  <c r="E396" i="36"/>
  <c r="F396" i="36" s="1"/>
  <c r="E395" i="36"/>
  <c r="F395" i="36" s="1"/>
  <c r="E394" i="36"/>
  <c r="F394" i="36" s="1"/>
  <c r="E393" i="36"/>
  <c r="F393" i="36" s="1"/>
  <c r="E392" i="36"/>
  <c r="F392" i="36" s="1"/>
  <c r="E391" i="36"/>
  <c r="F391" i="36" s="1"/>
  <c r="E390" i="36"/>
  <c r="F390" i="36" s="1"/>
  <c r="E389" i="36"/>
  <c r="F389" i="36" s="1"/>
  <c r="E388" i="36"/>
  <c r="F388" i="36" s="1"/>
  <c r="E387" i="36"/>
  <c r="F387" i="36" s="1"/>
  <c r="E386" i="36"/>
  <c r="F386" i="36" s="1"/>
  <c r="E385" i="36"/>
  <c r="F385" i="36" s="1"/>
  <c r="E384" i="36"/>
  <c r="F384" i="36" s="1"/>
  <c r="E383" i="36"/>
  <c r="F383" i="36" s="1"/>
  <c r="E382" i="36"/>
  <c r="F382" i="36" s="1"/>
  <c r="E381" i="36"/>
  <c r="F381" i="36" s="1"/>
  <c r="E380" i="36"/>
  <c r="F380" i="36" s="1"/>
  <c r="E379" i="36"/>
  <c r="F379" i="36" s="1"/>
  <c r="E378" i="36"/>
  <c r="F378" i="36" s="1"/>
  <c r="E377" i="36"/>
  <c r="F377" i="36" s="1"/>
  <c r="E376" i="36"/>
  <c r="F376" i="36" s="1"/>
  <c r="E375" i="36"/>
  <c r="F375" i="36" s="1"/>
  <c r="E374" i="36"/>
  <c r="F374" i="36" s="1"/>
  <c r="F367" i="36"/>
  <c r="E367" i="36"/>
  <c r="E366" i="36"/>
  <c r="F366" i="36" s="1"/>
  <c r="E365" i="36"/>
  <c r="F365" i="36" s="1"/>
  <c r="E364" i="36"/>
  <c r="F364" i="36" s="1"/>
  <c r="F363" i="36"/>
  <c r="E363" i="36"/>
  <c r="E362" i="36"/>
  <c r="F362" i="36" s="1"/>
  <c r="E361" i="36"/>
  <c r="F361" i="36" s="1"/>
  <c r="E360" i="36"/>
  <c r="F360" i="36" s="1"/>
  <c r="F359" i="36"/>
  <c r="E359" i="36"/>
  <c r="E358" i="36"/>
  <c r="F358" i="36" s="1"/>
  <c r="E357" i="36"/>
  <c r="F357" i="36" s="1"/>
  <c r="E356" i="36"/>
  <c r="F356" i="36" s="1"/>
  <c r="E355" i="36"/>
  <c r="F355" i="36" s="1"/>
  <c r="E354" i="36"/>
  <c r="F354" i="36" s="1"/>
  <c r="E353" i="36"/>
  <c r="F353" i="36" s="1"/>
  <c r="E352" i="36"/>
  <c r="F352" i="36" s="1"/>
  <c r="F351" i="36"/>
  <c r="E351" i="36"/>
  <c r="E350" i="36"/>
  <c r="F350" i="36" s="1"/>
  <c r="E349" i="36"/>
  <c r="F349" i="36" s="1"/>
  <c r="E348" i="36"/>
  <c r="F348" i="36" s="1"/>
  <c r="E347" i="36"/>
  <c r="F347" i="36" s="1"/>
  <c r="E346" i="36"/>
  <c r="F346" i="36" s="1"/>
  <c r="E345" i="36"/>
  <c r="F345" i="36" s="1"/>
  <c r="D344" i="36"/>
  <c r="C344" i="36"/>
  <c r="E344" i="36" s="1"/>
  <c r="M60" i="39"/>
  <c r="O65" i="39"/>
  <c r="P65" i="39" s="1"/>
  <c r="O64" i="39"/>
  <c r="P64" i="39" s="1"/>
  <c r="O63" i="39"/>
  <c r="P63" i="39" s="1"/>
  <c r="O62" i="39"/>
  <c r="P62" i="39" s="1"/>
  <c r="O61" i="39"/>
  <c r="P61" i="39" s="1"/>
  <c r="N60" i="39"/>
  <c r="O60" i="39"/>
  <c r="P91" i="33"/>
  <c r="O91" i="33"/>
  <c r="P90" i="33"/>
  <c r="O90" i="33"/>
  <c r="P89" i="33"/>
  <c r="O89" i="33"/>
  <c r="P88" i="33"/>
  <c r="O88" i="33"/>
  <c r="O87" i="33"/>
  <c r="N87" i="33"/>
  <c r="P87" i="33" s="1"/>
  <c r="M87" i="33"/>
  <c r="E91" i="33"/>
  <c r="F91" i="33" s="1"/>
  <c r="E90" i="33"/>
  <c r="F90" i="33" s="1"/>
  <c r="E89" i="33"/>
  <c r="F89" i="33" s="1"/>
  <c r="E88" i="33"/>
  <c r="F88" i="33" s="1"/>
  <c r="D87" i="33"/>
  <c r="C87" i="33"/>
  <c r="E87" i="33" s="1"/>
  <c r="F87" i="33" s="1"/>
  <c r="O29" i="35"/>
  <c r="P29" i="35" s="1"/>
  <c r="O28" i="35"/>
  <c r="P28" i="35" s="1"/>
  <c r="O27" i="35"/>
  <c r="P27" i="35" s="1"/>
  <c r="O26" i="35"/>
  <c r="P26" i="35" s="1"/>
  <c r="O25" i="35"/>
  <c r="P25" i="35" s="1"/>
  <c r="O24" i="35"/>
  <c r="P24" i="35" s="1"/>
  <c r="P23" i="35"/>
  <c r="O23" i="35"/>
  <c r="O22" i="35"/>
  <c r="P22" i="35" s="1"/>
  <c r="O21" i="35"/>
  <c r="P21" i="35" s="1"/>
  <c r="O20" i="35"/>
  <c r="P20" i="35" s="1"/>
  <c r="O19" i="35"/>
  <c r="P19" i="35" s="1"/>
  <c r="O18" i="35"/>
  <c r="P18" i="35" s="1"/>
  <c r="O17" i="35"/>
  <c r="P17" i="35" s="1"/>
  <c r="P16" i="35"/>
  <c r="O16" i="35"/>
  <c r="O15" i="35"/>
  <c r="P15" i="35" s="1"/>
  <c r="O14" i="35"/>
  <c r="P14" i="35" s="1"/>
  <c r="O13" i="35"/>
  <c r="P13" i="35" s="1"/>
  <c r="O12" i="35"/>
  <c r="P12" i="35" s="1"/>
  <c r="O11" i="35"/>
  <c r="P11" i="35" s="1"/>
  <c r="O10" i="35"/>
  <c r="P10" i="35" s="1"/>
  <c r="P9" i="35"/>
  <c r="O9" i="35"/>
  <c r="O8" i="35"/>
  <c r="P8" i="35" s="1"/>
  <c r="O7" i="35"/>
  <c r="P7" i="35" s="1"/>
  <c r="N6" i="35"/>
  <c r="M6" i="35"/>
  <c r="O6" i="35" s="1"/>
  <c r="P52" i="39"/>
  <c r="O52" i="39"/>
  <c r="O51" i="39"/>
  <c r="P51" i="39" s="1"/>
  <c r="P50" i="39"/>
  <c r="O50" i="39"/>
  <c r="O49" i="39"/>
  <c r="P49" i="39" s="1"/>
  <c r="P48" i="39"/>
  <c r="O48" i="39"/>
  <c r="O47" i="39"/>
  <c r="N47" i="39"/>
  <c r="P47" i="39" s="1"/>
  <c r="M47" i="39"/>
  <c r="E52" i="39"/>
  <c r="F52" i="39" s="1"/>
  <c r="E51" i="39"/>
  <c r="F51" i="39" s="1"/>
  <c r="E50" i="39"/>
  <c r="F50" i="39" s="1"/>
  <c r="E49" i="39"/>
  <c r="F49" i="39" s="1"/>
  <c r="F48" i="39"/>
  <c r="E48" i="39"/>
  <c r="D47" i="39"/>
  <c r="C47" i="39"/>
  <c r="E47" i="39" s="1"/>
  <c r="O57" i="35"/>
  <c r="P57" i="35" s="1"/>
  <c r="O56" i="35"/>
  <c r="P56" i="35" s="1"/>
  <c r="O55" i="35"/>
  <c r="P55" i="35" s="1"/>
  <c r="O54" i="35"/>
  <c r="P54" i="35" s="1"/>
  <c r="O53" i="35"/>
  <c r="P53" i="35" s="1"/>
  <c r="O52" i="35"/>
  <c r="P52" i="35" s="1"/>
  <c r="O51" i="35"/>
  <c r="P51" i="35" s="1"/>
  <c r="O50" i="35"/>
  <c r="P50" i="35" s="1"/>
  <c r="O49" i="35"/>
  <c r="P49" i="35" s="1"/>
  <c r="O48" i="35"/>
  <c r="P48" i="35" s="1"/>
  <c r="O47" i="35"/>
  <c r="P47" i="35" s="1"/>
  <c r="O46" i="35"/>
  <c r="P46" i="35" s="1"/>
  <c r="O45" i="35"/>
  <c r="P45" i="35" s="1"/>
  <c r="O44" i="35"/>
  <c r="P44" i="35" s="1"/>
  <c r="O43" i="35"/>
  <c r="P43" i="35" s="1"/>
  <c r="O42" i="35"/>
  <c r="P42" i="35" s="1"/>
  <c r="P41" i="35"/>
  <c r="O41" i="35"/>
  <c r="O40" i="35"/>
  <c r="P40" i="35" s="1"/>
  <c r="O39" i="35"/>
  <c r="P39" i="35" s="1"/>
  <c r="O38" i="35"/>
  <c r="P38" i="35" s="1"/>
  <c r="N37" i="35"/>
  <c r="M37" i="35"/>
  <c r="O37" i="35" s="1"/>
  <c r="P37" i="35" s="1"/>
  <c r="O79" i="33"/>
  <c r="P79" i="33" s="1"/>
  <c r="O78" i="33"/>
  <c r="P78" i="33" s="1"/>
  <c r="O77" i="33"/>
  <c r="P77" i="33" s="1"/>
  <c r="O76" i="33"/>
  <c r="P76" i="33" s="1"/>
  <c r="N75" i="33"/>
  <c r="P75" i="33" s="1"/>
  <c r="M75" i="33"/>
  <c r="O75" i="33" s="1"/>
  <c r="E79" i="33"/>
  <c r="F79" i="33" s="1"/>
  <c r="E78" i="33"/>
  <c r="F78" i="33" s="1"/>
  <c r="F77" i="33"/>
  <c r="E77" i="33"/>
  <c r="E76" i="33"/>
  <c r="F76" i="33" s="1"/>
  <c r="D75" i="33"/>
  <c r="C75" i="33"/>
  <c r="E75" i="33" s="1"/>
  <c r="F75" i="33" s="1"/>
  <c r="P67" i="33"/>
  <c r="O67" i="33"/>
  <c r="O66" i="33"/>
  <c r="P66" i="33" s="1"/>
  <c r="P65" i="33"/>
  <c r="O65" i="33"/>
  <c r="O64" i="33"/>
  <c r="P64" i="33" s="1"/>
  <c r="N63" i="33"/>
  <c r="M63" i="33"/>
  <c r="O63" i="33" s="1"/>
  <c r="P63" i="33" s="1"/>
  <c r="E67" i="33"/>
  <c r="F67" i="33" s="1"/>
  <c r="E66" i="33"/>
  <c r="F66" i="33" s="1"/>
  <c r="E65" i="33"/>
  <c r="F65" i="33" s="1"/>
  <c r="E64" i="33"/>
  <c r="F64" i="33" s="1"/>
  <c r="D63" i="33"/>
  <c r="C63" i="33"/>
  <c r="E63" i="33" s="1"/>
  <c r="O20" i="40"/>
  <c r="P20" i="40" s="1"/>
  <c r="O19" i="40"/>
  <c r="P19" i="40" s="1"/>
  <c r="O18" i="40"/>
  <c r="P18" i="40" s="1"/>
  <c r="N17" i="40"/>
  <c r="M17" i="40"/>
  <c r="O17" i="40" s="1"/>
  <c r="P17" i="40" s="1"/>
  <c r="O31" i="40"/>
  <c r="P31" i="40" s="1"/>
  <c r="E31" i="40"/>
  <c r="F31" i="40" s="1"/>
  <c r="O30" i="40"/>
  <c r="P30" i="40" s="1"/>
  <c r="F30" i="40"/>
  <c r="E30" i="40"/>
  <c r="O29" i="40"/>
  <c r="P29" i="40" s="1"/>
  <c r="E29" i="40"/>
  <c r="F29" i="40" s="1"/>
  <c r="O28" i="40"/>
  <c r="N28" i="40"/>
  <c r="P28" i="40" s="1"/>
  <c r="M28" i="40"/>
  <c r="E28" i="40"/>
  <c r="D28" i="40"/>
  <c r="F28" i="40" s="1"/>
  <c r="C28" i="40"/>
  <c r="O92" i="34"/>
  <c r="P92" i="34" s="1"/>
  <c r="O91" i="34"/>
  <c r="P91" i="34" s="1"/>
  <c r="O90" i="34"/>
  <c r="P90" i="34" s="1"/>
  <c r="O89" i="34"/>
  <c r="P89" i="34" s="1"/>
  <c r="O88" i="34"/>
  <c r="P88" i="34" s="1"/>
  <c r="O87" i="34"/>
  <c r="P87" i="34" s="1"/>
  <c r="O86" i="34"/>
  <c r="P86" i="34" s="1"/>
  <c r="O85" i="34"/>
  <c r="P85" i="34" s="1"/>
  <c r="O84" i="34"/>
  <c r="P84" i="34" s="1"/>
  <c r="O83" i="34"/>
  <c r="P83" i="34" s="1"/>
  <c r="O82" i="34"/>
  <c r="P82" i="34" s="1"/>
  <c r="N81" i="34"/>
  <c r="M81" i="34"/>
  <c r="O81" i="34" s="1"/>
  <c r="P81" i="34" s="1"/>
  <c r="E20" i="40"/>
  <c r="F20" i="40" s="1"/>
  <c r="E19" i="40"/>
  <c r="F19" i="40" s="1"/>
  <c r="E18" i="40"/>
  <c r="F18" i="40" s="1"/>
  <c r="D17" i="40"/>
  <c r="C17" i="40"/>
  <c r="E17" i="40" s="1"/>
  <c r="F17" i="40" s="1"/>
  <c r="O11" i="39"/>
  <c r="P11" i="39" s="1"/>
  <c r="O10" i="39"/>
  <c r="P10" i="39" s="1"/>
  <c r="O9" i="39"/>
  <c r="P9" i="39" s="1"/>
  <c r="O8" i="39"/>
  <c r="P8" i="39" s="1"/>
  <c r="O7" i="39"/>
  <c r="P7" i="39" s="1"/>
  <c r="N6" i="39"/>
  <c r="P6" i="39" s="1"/>
  <c r="M6" i="39"/>
  <c r="O6" i="39" s="1"/>
  <c r="O10" i="33"/>
  <c r="P10" i="33" s="1"/>
  <c r="O9" i="33"/>
  <c r="P9" i="33" s="1"/>
  <c r="O8" i="33"/>
  <c r="P8" i="33" s="1"/>
  <c r="P7" i="33"/>
  <c r="O7" i="33"/>
  <c r="N6" i="33"/>
  <c r="M6" i="33"/>
  <c r="O6" i="33" s="1"/>
  <c r="O334" i="36"/>
  <c r="P334" i="36" s="1"/>
  <c r="E334" i="36"/>
  <c r="F334" i="36" s="1"/>
  <c r="O333" i="36"/>
  <c r="P333" i="36" s="1"/>
  <c r="E333" i="36"/>
  <c r="F333" i="36" s="1"/>
  <c r="P332" i="36"/>
  <c r="O332" i="36"/>
  <c r="E332" i="36"/>
  <c r="F332" i="36" s="1"/>
  <c r="P331" i="36"/>
  <c r="O331" i="36"/>
  <c r="E331" i="36"/>
  <c r="F331" i="36" s="1"/>
  <c r="P330" i="36"/>
  <c r="O330" i="36"/>
  <c r="E330" i="36"/>
  <c r="F330" i="36" s="1"/>
  <c r="P329" i="36"/>
  <c r="O329" i="36"/>
  <c r="E329" i="36"/>
  <c r="F329" i="36" s="1"/>
  <c r="P328" i="36"/>
  <c r="O328" i="36"/>
  <c r="E328" i="36"/>
  <c r="F328" i="36" s="1"/>
  <c r="P327" i="36"/>
  <c r="O327" i="36"/>
  <c r="E327" i="36"/>
  <c r="F327" i="36" s="1"/>
  <c r="P326" i="36"/>
  <c r="O326" i="36"/>
  <c r="E326" i="36"/>
  <c r="F326" i="36" s="1"/>
  <c r="P325" i="36"/>
  <c r="O325" i="36"/>
  <c r="E325" i="36"/>
  <c r="F325" i="36" s="1"/>
  <c r="P324" i="36"/>
  <c r="O324" i="36"/>
  <c r="E324" i="36"/>
  <c r="F324" i="36" s="1"/>
  <c r="P323" i="36"/>
  <c r="O323" i="36"/>
  <c r="E323" i="36"/>
  <c r="F323" i="36" s="1"/>
  <c r="P319" i="36"/>
  <c r="O319" i="36"/>
  <c r="E319" i="36"/>
  <c r="F319" i="36" s="1"/>
  <c r="P318" i="36"/>
  <c r="O318" i="36"/>
  <c r="E318" i="36"/>
  <c r="F318" i="36" s="1"/>
  <c r="P317" i="36"/>
  <c r="O317" i="36"/>
  <c r="E317" i="36"/>
  <c r="F317" i="36" s="1"/>
  <c r="P316" i="36"/>
  <c r="O316" i="36"/>
  <c r="E316" i="36"/>
  <c r="F316" i="36" s="1"/>
  <c r="P315" i="36"/>
  <c r="O315" i="36"/>
  <c r="E315" i="36"/>
  <c r="F315" i="36" s="1"/>
  <c r="P314" i="36"/>
  <c r="O314" i="36"/>
  <c r="E314" i="36"/>
  <c r="F314" i="36" s="1"/>
  <c r="P313" i="36"/>
  <c r="O313" i="36"/>
  <c r="E313" i="36"/>
  <c r="F313" i="36" s="1"/>
  <c r="P312" i="36"/>
  <c r="O312" i="36"/>
  <c r="E312" i="36"/>
  <c r="F312" i="36" s="1"/>
  <c r="P311" i="36"/>
  <c r="O311" i="36"/>
  <c r="E311" i="36"/>
  <c r="F311" i="36" s="1"/>
  <c r="P310" i="36"/>
  <c r="O310" i="36"/>
  <c r="E310" i="36"/>
  <c r="F310" i="36" s="1"/>
  <c r="P309" i="36"/>
  <c r="O309" i="36"/>
  <c r="E309" i="36"/>
  <c r="F309" i="36" s="1"/>
  <c r="P308" i="36"/>
  <c r="O308" i="36"/>
  <c r="E308" i="36"/>
  <c r="F308" i="36" s="1"/>
  <c r="P307" i="36"/>
  <c r="O307" i="36"/>
  <c r="E307" i="36"/>
  <c r="F307" i="36" s="1"/>
  <c r="P306" i="36"/>
  <c r="O306" i="36"/>
  <c r="E306" i="36"/>
  <c r="F306" i="36" s="1"/>
  <c r="P305" i="36"/>
  <c r="O305" i="36"/>
  <c r="E305" i="36"/>
  <c r="F305" i="36" s="1"/>
  <c r="P304" i="36"/>
  <c r="O304" i="36"/>
  <c r="E304" i="36"/>
  <c r="F304" i="36" s="1"/>
  <c r="P303" i="36"/>
  <c r="O303" i="36"/>
  <c r="E303" i="36"/>
  <c r="F303" i="36" s="1"/>
  <c r="P302" i="36"/>
  <c r="O302" i="36"/>
  <c r="E302" i="36"/>
  <c r="F302" i="36" s="1"/>
  <c r="P301" i="36"/>
  <c r="O301" i="36"/>
  <c r="E301" i="36"/>
  <c r="F301" i="36" s="1"/>
  <c r="P300" i="36"/>
  <c r="O300" i="36"/>
  <c r="E300" i="36"/>
  <c r="F300" i="36" s="1"/>
  <c r="P299" i="36"/>
  <c r="O299" i="36"/>
  <c r="E299" i="36"/>
  <c r="F299" i="36" s="1"/>
  <c r="P298" i="36"/>
  <c r="O298" i="36"/>
  <c r="E298" i="36"/>
  <c r="F298" i="36" s="1"/>
  <c r="P297" i="36"/>
  <c r="O297" i="36"/>
  <c r="E297" i="36"/>
  <c r="F297" i="36" s="1"/>
  <c r="N296" i="36"/>
  <c r="M296" i="36"/>
  <c r="O296" i="36" s="1"/>
  <c r="P296" i="36" s="1"/>
  <c r="F296" i="36"/>
  <c r="E296" i="36"/>
  <c r="D296" i="36"/>
  <c r="C296" i="36"/>
  <c r="P286" i="36"/>
  <c r="O286" i="36"/>
  <c r="E286" i="36"/>
  <c r="F286" i="36" s="1"/>
  <c r="P285" i="36"/>
  <c r="O285" i="36"/>
  <c r="E285" i="36"/>
  <c r="F285" i="36" s="1"/>
  <c r="P284" i="36"/>
  <c r="O284" i="36"/>
  <c r="E284" i="36"/>
  <c r="F284" i="36" s="1"/>
  <c r="P283" i="36"/>
  <c r="O283" i="36"/>
  <c r="E283" i="36"/>
  <c r="F283" i="36" s="1"/>
  <c r="P282" i="36"/>
  <c r="O282" i="36"/>
  <c r="E282" i="36"/>
  <c r="F282" i="36" s="1"/>
  <c r="P281" i="36"/>
  <c r="O281" i="36"/>
  <c r="N281" i="36"/>
  <c r="M281" i="36"/>
  <c r="D281" i="36"/>
  <c r="C281" i="36"/>
  <c r="E281" i="36" s="1"/>
  <c r="F281" i="36" s="1"/>
  <c r="P270" i="36"/>
  <c r="O270" i="36"/>
  <c r="E270" i="36"/>
  <c r="F270" i="36" s="1"/>
  <c r="P269" i="36"/>
  <c r="O269" i="36"/>
  <c r="F269" i="36"/>
  <c r="E269" i="36"/>
  <c r="P268" i="36"/>
  <c r="O268" i="36"/>
  <c r="E268" i="36"/>
  <c r="F268" i="36" s="1"/>
  <c r="P267" i="36"/>
  <c r="O267" i="36"/>
  <c r="F267" i="36"/>
  <c r="E267" i="36"/>
  <c r="P266" i="36"/>
  <c r="O266" i="36"/>
  <c r="E266" i="36"/>
  <c r="F266" i="36" s="1"/>
  <c r="P265" i="36"/>
  <c r="O265" i="36"/>
  <c r="F265" i="36"/>
  <c r="E265" i="36"/>
  <c r="P264" i="36"/>
  <c r="O264" i="36"/>
  <c r="E264" i="36"/>
  <c r="F264" i="36" s="1"/>
  <c r="P263" i="36"/>
  <c r="O263" i="36"/>
  <c r="F263" i="36"/>
  <c r="E263" i="36"/>
  <c r="P262" i="36"/>
  <c r="O262" i="36"/>
  <c r="E262" i="36"/>
  <c r="F262" i="36" s="1"/>
  <c r="P261" i="36"/>
  <c r="O261" i="36"/>
  <c r="F261" i="36"/>
  <c r="E261" i="36"/>
  <c r="P260" i="36"/>
  <c r="O260" i="36"/>
  <c r="E260" i="36"/>
  <c r="F260" i="36" s="1"/>
  <c r="P259" i="36"/>
  <c r="O259" i="36"/>
  <c r="F259" i="36"/>
  <c r="E259" i="36"/>
  <c r="P254" i="36"/>
  <c r="O254" i="36"/>
  <c r="E254" i="36"/>
  <c r="F254" i="36" s="1"/>
  <c r="P253" i="36"/>
  <c r="O253" i="36"/>
  <c r="F253" i="36"/>
  <c r="E253" i="36"/>
  <c r="P252" i="36"/>
  <c r="O252" i="36"/>
  <c r="E252" i="36"/>
  <c r="F252" i="36" s="1"/>
  <c r="P251" i="36"/>
  <c r="O251" i="36"/>
  <c r="F251" i="36"/>
  <c r="E251" i="36"/>
  <c r="P250" i="36"/>
  <c r="O250" i="36"/>
  <c r="E250" i="36"/>
  <c r="F250" i="36" s="1"/>
  <c r="P249" i="36"/>
  <c r="O249" i="36"/>
  <c r="F249" i="36"/>
  <c r="E249" i="36"/>
  <c r="P248" i="36"/>
  <c r="O248" i="36"/>
  <c r="E248" i="36"/>
  <c r="F248" i="36" s="1"/>
  <c r="P247" i="36"/>
  <c r="O247" i="36"/>
  <c r="F247" i="36"/>
  <c r="E247" i="36"/>
  <c r="P246" i="36"/>
  <c r="O246" i="36"/>
  <c r="E246" i="36"/>
  <c r="F246" i="36" s="1"/>
  <c r="P245" i="36"/>
  <c r="O245" i="36"/>
  <c r="F245" i="36"/>
  <c r="E245" i="36"/>
  <c r="P244" i="36"/>
  <c r="O244" i="36"/>
  <c r="E244" i="36"/>
  <c r="F244" i="36" s="1"/>
  <c r="P243" i="36"/>
  <c r="O243" i="36"/>
  <c r="F243" i="36"/>
  <c r="E243" i="36"/>
  <c r="P242" i="36"/>
  <c r="O242" i="36"/>
  <c r="E242" i="36"/>
  <c r="F242" i="36" s="1"/>
  <c r="P241" i="36"/>
  <c r="O241" i="36"/>
  <c r="F241" i="36"/>
  <c r="E241" i="36"/>
  <c r="P240" i="36"/>
  <c r="O240" i="36"/>
  <c r="E240" i="36"/>
  <c r="F240" i="36" s="1"/>
  <c r="P239" i="36"/>
  <c r="O239" i="36"/>
  <c r="F239" i="36"/>
  <c r="E239" i="36"/>
  <c r="P238" i="36"/>
  <c r="O238" i="36"/>
  <c r="E238" i="36"/>
  <c r="F238" i="36" s="1"/>
  <c r="P237" i="36"/>
  <c r="O237" i="36"/>
  <c r="F237" i="36"/>
  <c r="E237" i="36"/>
  <c r="P236" i="36"/>
  <c r="O236" i="36"/>
  <c r="E236" i="36"/>
  <c r="F236" i="36" s="1"/>
  <c r="P235" i="36"/>
  <c r="O235" i="36"/>
  <c r="F235" i="36"/>
  <c r="E235" i="36"/>
  <c r="P234" i="36"/>
  <c r="O234" i="36"/>
  <c r="E234" i="36"/>
  <c r="F234" i="36" s="1"/>
  <c r="P233" i="36"/>
  <c r="O233" i="36"/>
  <c r="F233" i="36"/>
  <c r="E233" i="36"/>
  <c r="P232" i="36"/>
  <c r="O232" i="36"/>
  <c r="E232" i="36"/>
  <c r="F232" i="36" s="1"/>
  <c r="M231" i="36"/>
  <c r="O231" i="36" s="1"/>
  <c r="P231" i="36" s="1"/>
  <c r="F231" i="36"/>
  <c r="E231" i="36"/>
  <c r="C231" i="36"/>
  <c r="O221" i="36"/>
  <c r="P221" i="36" s="1"/>
  <c r="F221" i="36"/>
  <c r="E221" i="36"/>
  <c r="P220" i="36"/>
  <c r="O220" i="36"/>
  <c r="F220" i="36"/>
  <c r="E220" i="36"/>
  <c r="O219" i="36"/>
  <c r="N219" i="36"/>
  <c r="P219" i="36" s="1"/>
  <c r="M219" i="36"/>
  <c r="F219" i="36"/>
  <c r="E219" i="36"/>
  <c r="D219" i="36"/>
  <c r="C219" i="36"/>
  <c r="P210" i="36"/>
  <c r="O210" i="36"/>
  <c r="O209" i="36"/>
  <c r="P209" i="36" s="1"/>
  <c r="P208" i="36"/>
  <c r="O208" i="36"/>
  <c r="O207" i="36"/>
  <c r="P207" i="36" s="1"/>
  <c r="P206" i="36"/>
  <c r="O206" i="36"/>
  <c r="O205" i="36"/>
  <c r="P205" i="36" s="1"/>
  <c r="P204" i="36"/>
  <c r="O204" i="36"/>
  <c r="O203" i="36"/>
  <c r="P203" i="36" s="1"/>
  <c r="P202" i="36"/>
  <c r="O202" i="36"/>
  <c r="O201" i="36"/>
  <c r="P201" i="36" s="1"/>
  <c r="P200" i="36"/>
  <c r="O200" i="36"/>
  <c r="O199" i="36"/>
  <c r="P199" i="36" s="1"/>
  <c r="P198" i="36"/>
  <c r="O198" i="36"/>
  <c r="O197" i="36"/>
  <c r="P197" i="36" s="1"/>
  <c r="P196" i="36"/>
  <c r="O196" i="36"/>
  <c r="O195" i="36"/>
  <c r="P195" i="36" s="1"/>
  <c r="P194" i="36"/>
  <c r="O194" i="36"/>
  <c r="O193" i="36"/>
  <c r="P193" i="36" s="1"/>
  <c r="P192" i="36"/>
  <c r="O192" i="36"/>
  <c r="P191" i="36"/>
  <c r="O191" i="36"/>
  <c r="E191" i="36"/>
  <c r="F191" i="36" s="1"/>
  <c r="P190" i="36"/>
  <c r="O190" i="36"/>
  <c r="E190" i="36"/>
  <c r="F190" i="36" s="1"/>
  <c r="P189" i="36"/>
  <c r="O189" i="36"/>
  <c r="E189" i="36"/>
  <c r="F189" i="36" s="1"/>
  <c r="P188" i="36"/>
  <c r="O188" i="36"/>
  <c r="E188" i="36"/>
  <c r="F188" i="36" s="1"/>
  <c r="N187" i="36"/>
  <c r="M187" i="36"/>
  <c r="O187" i="36" s="1"/>
  <c r="P187" i="36" s="1"/>
  <c r="F187" i="36"/>
  <c r="E187" i="36"/>
  <c r="E186" i="36"/>
  <c r="F186" i="36" s="1"/>
  <c r="F185" i="36"/>
  <c r="E185" i="36"/>
  <c r="E184" i="36"/>
  <c r="F184" i="36" s="1"/>
  <c r="F183" i="36"/>
  <c r="E183" i="36"/>
  <c r="E182" i="36"/>
  <c r="F182" i="36" s="1"/>
  <c r="F181" i="36"/>
  <c r="E181" i="36"/>
  <c r="E180" i="36"/>
  <c r="F180" i="36" s="1"/>
  <c r="F177" i="36"/>
  <c r="E177" i="36"/>
  <c r="E176" i="36"/>
  <c r="F176" i="36" s="1"/>
  <c r="F175" i="36"/>
  <c r="E175" i="36"/>
  <c r="E174" i="36"/>
  <c r="F174" i="36" s="1"/>
  <c r="F173" i="36"/>
  <c r="E173" i="36"/>
  <c r="E172" i="36"/>
  <c r="F172" i="36" s="1"/>
  <c r="F171" i="36"/>
  <c r="E171" i="36"/>
  <c r="E170" i="36"/>
  <c r="F170" i="36" s="1"/>
  <c r="F169" i="36"/>
  <c r="E169" i="36"/>
  <c r="E168" i="36"/>
  <c r="F168" i="36" s="1"/>
  <c r="F167" i="36"/>
  <c r="E167" i="36"/>
  <c r="E166" i="36"/>
  <c r="F166" i="36" s="1"/>
  <c r="F165" i="36"/>
  <c r="E165" i="36"/>
  <c r="E164" i="36"/>
  <c r="F164" i="36" s="1"/>
  <c r="F163" i="36"/>
  <c r="E163" i="36"/>
  <c r="E162" i="36"/>
  <c r="F162" i="36" s="1"/>
  <c r="F161" i="36"/>
  <c r="E161" i="36"/>
  <c r="E160" i="36"/>
  <c r="F160" i="36" s="1"/>
  <c r="F159" i="36"/>
  <c r="E159" i="36"/>
  <c r="E158" i="36"/>
  <c r="F158" i="36" s="1"/>
  <c r="F157" i="36"/>
  <c r="E157" i="36"/>
  <c r="E156" i="36"/>
  <c r="F156" i="36" s="1"/>
  <c r="F155" i="36"/>
  <c r="E155" i="36"/>
  <c r="E154" i="36"/>
  <c r="E192" i="36" s="1"/>
  <c r="D154" i="36"/>
  <c r="F154" i="36" s="1"/>
  <c r="C154" i="36"/>
  <c r="E185" i="35"/>
  <c r="F185" i="35" s="1"/>
  <c r="E184" i="35"/>
  <c r="F184" i="35" s="1"/>
  <c r="E183" i="35"/>
  <c r="F183" i="35" s="1"/>
  <c r="E182" i="35"/>
  <c r="F182" i="35" s="1"/>
  <c r="E181" i="35"/>
  <c r="F181" i="35" s="1"/>
  <c r="E180" i="35"/>
  <c r="F180" i="35" s="1"/>
  <c r="E179" i="35"/>
  <c r="F179" i="35" s="1"/>
  <c r="E178" i="35"/>
  <c r="F178" i="35" s="1"/>
  <c r="E177" i="35"/>
  <c r="F177" i="35" s="1"/>
  <c r="E176" i="35"/>
  <c r="F176" i="35" s="1"/>
  <c r="E175" i="35"/>
  <c r="F175" i="35" s="1"/>
  <c r="E174" i="35"/>
  <c r="F174" i="35" s="1"/>
  <c r="E173" i="35"/>
  <c r="F173" i="35" s="1"/>
  <c r="E172" i="35"/>
  <c r="F172" i="35" s="1"/>
  <c r="E171" i="35"/>
  <c r="F171" i="35" s="1"/>
  <c r="E170" i="35"/>
  <c r="F170" i="35" s="1"/>
  <c r="E169" i="35"/>
  <c r="F169" i="35" s="1"/>
  <c r="E168" i="35"/>
  <c r="F168" i="35" s="1"/>
  <c r="E167" i="35"/>
  <c r="F167" i="35" s="1"/>
  <c r="E166" i="35"/>
  <c r="F166" i="35" s="1"/>
  <c r="E165" i="35"/>
  <c r="F165" i="35" s="1"/>
  <c r="E164" i="35"/>
  <c r="F164" i="35" s="1"/>
  <c r="E163" i="35"/>
  <c r="F163" i="35" s="1"/>
  <c r="D162" i="35"/>
  <c r="C162" i="35"/>
  <c r="E162" i="35" s="1"/>
  <c r="P271" i="31"/>
  <c r="O271" i="31"/>
  <c r="E271" i="31"/>
  <c r="F271" i="31" s="1"/>
  <c r="O270" i="31"/>
  <c r="P270" i="31" s="1"/>
  <c r="E270" i="31"/>
  <c r="F270" i="31" s="1"/>
  <c r="O269" i="31"/>
  <c r="P269" i="31" s="1"/>
  <c r="E269" i="31"/>
  <c r="F269" i="31" s="1"/>
  <c r="O268" i="31"/>
  <c r="P268" i="31" s="1"/>
  <c r="E268" i="31"/>
  <c r="F268" i="31" s="1"/>
  <c r="O267" i="31"/>
  <c r="P267" i="31" s="1"/>
  <c r="E267" i="31"/>
  <c r="F267" i="31" s="1"/>
  <c r="O266" i="31"/>
  <c r="P266" i="31" s="1"/>
  <c r="E266" i="31"/>
  <c r="F266" i="31" s="1"/>
  <c r="O265" i="31"/>
  <c r="P265" i="31" s="1"/>
  <c r="E265" i="31"/>
  <c r="F265" i="31" s="1"/>
  <c r="O264" i="31"/>
  <c r="P264" i="31" s="1"/>
  <c r="E264" i="31"/>
  <c r="F264" i="31" s="1"/>
  <c r="O263" i="31"/>
  <c r="P263" i="31" s="1"/>
  <c r="E263" i="31"/>
  <c r="F263" i="31" s="1"/>
  <c r="M262" i="31"/>
  <c r="O262" i="31" s="1"/>
  <c r="P262" i="31" s="1"/>
  <c r="E262" i="31"/>
  <c r="F262" i="31" s="1"/>
  <c r="C262" i="31"/>
  <c r="O38" i="39"/>
  <c r="P38" i="39" s="1"/>
  <c r="E38" i="39"/>
  <c r="F38" i="39" s="1"/>
  <c r="O37" i="39"/>
  <c r="P37" i="39" s="1"/>
  <c r="E37" i="39"/>
  <c r="F37" i="39" s="1"/>
  <c r="O36" i="39"/>
  <c r="P36" i="39" s="1"/>
  <c r="F36" i="39"/>
  <c r="E36" i="39"/>
  <c r="P35" i="39"/>
  <c r="O35" i="39"/>
  <c r="E35" i="39"/>
  <c r="F35" i="39" s="1"/>
  <c r="O34" i="39"/>
  <c r="P34" i="39" s="1"/>
  <c r="F34" i="39"/>
  <c r="E34" i="39"/>
  <c r="N33" i="39"/>
  <c r="M33" i="39"/>
  <c r="O33" i="39" s="1"/>
  <c r="E33" i="39"/>
  <c r="D33" i="39"/>
  <c r="F33" i="39" s="1"/>
  <c r="C33" i="39"/>
  <c r="O54" i="33"/>
  <c r="P54" i="33" s="1"/>
  <c r="E54" i="33"/>
  <c r="F54" i="33" s="1"/>
  <c r="O53" i="33"/>
  <c r="P53" i="33" s="1"/>
  <c r="E53" i="33"/>
  <c r="F53" i="33" s="1"/>
  <c r="O52" i="33"/>
  <c r="P52" i="33" s="1"/>
  <c r="E52" i="33"/>
  <c r="F52" i="33" s="1"/>
  <c r="P51" i="33"/>
  <c r="O51" i="33"/>
  <c r="E51" i="33"/>
  <c r="F51" i="33" s="1"/>
  <c r="O50" i="33"/>
  <c r="P50" i="33" s="1"/>
  <c r="E50" i="33"/>
  <c r="F50" i="33" s="1"/>
  <c r="P49" i="33"/>
  <c r="O49" i="33"/>
  <c r="E49" i="33"/>
  <c r="F49" i="33" s="1"/>
  <c r="O48" i="33"/>
  <c r="P48" i="33" s="1"/>
  <c r="E48" i="33"/>
  <c r="F48" i="33" s="1"/>
  <c r="O47" i="33"/>
  <c r="P47" i="33" s="1"/>
  <c r="E47" i="33"/>
  <c r="F47" i="33" s="1"/>
  <c r="O46" i="33"/>
  <c r="P46" i="33" s="1"/>
  <c r="E46" i="33"/>
  <c r="F46" i="33" s="1"/>
  <c r="O45" i="33"/>
  <c r="P45" i="33" s="1"/>
  <c r="E45" i="33"/>
  <c r="F45" i="33" s="1"/>
  <c r="O44" i="33"/>
  <c r="P44" i="33" s="1"/>
  <c r="E44" i="33"/>
  <c r="F44" i="33" s="1"/>
  <c r="N43" i="33"/>
  <c r="M43" i="33"/>
  <c r="O43" i="33" s="1"/>
  <c r="D43" i="33"/>
  <c r="C43" i="33"/>
  <c r="E43" i="33" s="1"/>
  <c r="P282" i="34"/>
  <c r="O282" i="34"/>
  <c r="E282" i="34"/>
  <c r="F282" i="34" s="1"/>
  <c r="O281" i="34"/>
  <c r="P281" i="34" s="1"/>
  <c r="E281" i="34"/>
  <c r="F281" i="34" s="1"/>
  <c r="O280" i="34"/>
  <c r="P280" i="34" s="1"/>
  <c r="E280" i="34"/>
  <c r="F280" i="34" s="1"/>
  <c r="O279" i="34"/>
  <c r="P279" i="34" s="1"/>
  <c r="E279" i="34"/>
  <c r="F279" i="34" s="1"/>
  <c r="O278" i="34"/>
  <c r="P278" i="34" s="1"/>
  <c r="E278" i="34"/>
  <c r="F278" i="34" s="1"/>
  <c r="P277" i="34"/>
  <c r="O277" i="34"/>
  <c r="E277" i="34"/>
  <c r="F277" i="34" s="1"/>
  <c r="O276" i="34"/>
  <c r="P276" i="34" s="1"/>
  <c r="E276" i="34"/>
  <c r="F276" i="34" s="1"/>
  <c r="O275" i="34"/>
  <c r="P275" i="34" s="1"/>
  <c r="E275" i="34"/>
  <c r="F275" i="34" s="1"/>
  <c r="O274" i="34"/>
  <c r="P274" i="34" s="1"/>
  <c r="E274" i="34"/>
  <c r="F274" i="34" s="1"/>
  <c r="P273" i="34"/>
  <c r="F273" i="34"/>
  <c r="O272" i="34"/>
  <c r="P272" i="34" s="1"/>
  <c r="E272" i="34"/>
  <c r="F272" i="34" s="1"/>
  <c r="N271" i="34"/>
  <c r="M271" i="34"/>
  <c r="O271" i="34" s="1"/>
  <c r="E271" i="34"/>
  <c r="F271" i="34" s="1"/>
  <c r="D271" i="34"/>
  <c r="C271" i="34"/>
  <c r="O253" i="31"/>
  <c r="P253" i="31" s="1"/>
  <c r="E253" i="31"/>
  <c r="F253" i="31" s="1"/>
  <c r="O252" i="31"/>
  <c r="P252" i="31" s="1"/>
  <c r="E252" i="31"/>
  <c r="F252" i="31" s="1"/>
  <c r="O251" i="31"/>
  <c r="P251" i="31" s="1"/>
  <c r="E251" i="31"/>
  <c r="F251" i="31" s="1"/>
  <c r="O250" i="31"/>
  <c r="P250" i="31" s="1"/>
  <c r="E250" i="31"/>
  <c r="F250" i="31" s="1"/>
  <c r="O249" i="31"/>
  <c r="P249" i="31" s="1"/>
  <c r="E249" i="31"/>
  <c r="F249" i="31" s="1"/>
  <c r="O248" i="31"/>
  <c r="P248" i="31" s="1"/>
  <c r="E248" i="31"/>
  <c r="F248" i="31" s="1"/>
  <c r="O247" i="31"/>
  <c r="P247" i="31" s="1"/>
  <c r="E247" i="31"/>
  <c r="F247" i="31" s="1"/>
  <c r="P246" i="31"/>
  <c r="F246" i="31"/>
  <c r="O245" i="31"/>
  <c r="P245" i="31" s="1"/>
  <c r="F245" i="31"/>
  <c r="E245" i="31"/>
  <c r="N244" i="31"/>
  <c r="M244" i="31"/>
  <c r="O244" i="31" s="1"/>
  <c r="D244" i="31"/>
  <c r="C244" i="31"/>
  <c r="E244" i="31" s="1"/>
  <c r="F244" i="31" s="1"/>
  <c r="O24" i="39"/>
  <c r="P24" i="39" s="1"/>
  <c r="E24" i="39"/>
  <c r="F24" i="39" s="1"/>
  <c r="O23" i="39"/>
  <c r="P23" i="39" s="1"/>
  <c r="E23" i="39"/>
  <c r="F23" i="39" s="1"/>
  <c r="O22" i="39"/>
  <c r="P22" i="39" s="1"/>
  <c r="E22" i="39"/>
  <c r="F22" i="39" s="1"/>
  <c r="O21" i="39"/>
  <c r="P21" i="39" s="1"/>
  <c r="E21" i="39"/>
  <c r="F21" i="39" s="1"/>
  <c r="O20" i="39"/>
  <c r="P20" i="39" s="1"/>
  <c r="E20" i="39"/>
  <c r="F20" i="39" s="1"/>
  <c r="N19" i="39"/>
  <c r="M19" i="39"/>
  <c r="O19" i="39" s="1"/>
  <c r="D19" i="39"/>
  <c r="C19" i="39"/>
  <c r="E19" i="39" s="1"/>
  <c r="O263" i="34"/>
  <c r="P263" i="34" s="1"/>
  <c r="N263" i="34"/>
  <c r="E263" i="34"/>
  <c r="F263" i="34" s="1"/>
  <c r="D263" i="34"/>
  <c r="O262" i="34"/>
  <c r="P262" i="34" s="1"/>
  <c r="N262" i="34"/>
  <c r="E262" i="34"/>
  <c r="F262" i="34" s="1"/>
  <c r="D262" i="34"/>
  <c r="O261" i="34"/>
  <c r="P261" i="34" s="1"/>
  <c r="N261" i="34"/>
  <c r="E261" i="34"/>
  <c r="F261" i="34" s="1"/>
  <c r="D261" i="34"/>
  <c r="O260" i="34"/>
  <c r="P260" i="34" s="1"/>
  <c r="N260" i="34"/>
  <c r="E260" i="34"/>
  <c r="F260" i="34" s="1"/>
  <c r="D260" i="34"/>
  <c r="O259" i="34"/>
  <c r="P259" i="34" s="1"/>
  <c r="N259" i="34"/>
  <c r="E259" i="34"/>
  <c r="F259" i="34" s="1"/>
  <c r="D259" i="34"/>
  <c r="O258" i="34"/>
  <c r="P258" i="34" s="1"/>
  <c r="N258" i="34"/>
  <c r="E258" i="34"/>
  <c r="F258" i="34" s="1"/>
  <c r="D258" i="34"/>
  <c r="O257" i="34"/>
  <c r="P257" i="34" s="1"/>
  <c r="N257" i="34"/>
  <c r="E257" i="34"/>
  <c r="F257" i="34" s="1"/>
  <c r="D257" i="34"/>
  <c r="O256" i="34"/>
  <c r="P256" i="34" s="1"/>
  <c r="N256" i="34"/>
  <c r="E256" i="34"/>
  <c r="F256" i="34" s="1"/>
  <c r="D256" i="34"/>
  <c r="O255" i="34"/>
  <c r="P255" i="34" s="1"/>
  <c r="N255" i="34"/>
  <c r="E255" i="34"/>
  <c r="F255" i="34" s="1"/>
  <c r="D255" i="34"/>
  <c r="O254" i="34"/>
  <c r="P254" i="34" s="1"/>
  <c r="N254" i="34"/>
  <c r="F254" i="34"/>
  <c r="E254" i="34"/>
  <c r="D254" i="34"/>
  <c r="O253" i="34"/>
  <c r="P253" i="34" s="1"/>
  <c r="N253" i="34"/>
  <c r="E253" i="34"/>
  <c r="F253" i="34" s="1"/>
  <c r="D253" i="34"/>
  <c r="N252" i="34"/>
  <c r="M252" i="34"/>
  <c r="O252" i="34" s="1"/>
  <c r="P252" i="34" s="1"/>
  <c r="D252" i="34"/>
  <c r="C252" i="34"/>
  <c r="E252" i="34" s="1"/>
  <c r="F252" i="34" s="1"/>
  <c r="O244" i="34"/>
  <c r="P244" i="34" s="1"/>
  <c r="E244" i="34"/>
  <c r="F244" i="34" s="1"/>
  <c r="O243" i="34"/>
  <c r="P243" i="34" s="1"/>
  <c r="E243" i="34"/>
  <c r="F243" i="34" s="1"/>
  <c r="O242" i="34"/>
  <c r="P242" i="34" s="1"/>
  <c r="E242" i="34"/>
  <c r="F242" i="34" s="1"/>
  <c r="O241" i="34"/>
  <c r="P241" i="34" s="1"/>
  <c r="E241" i="34"/>
  <c r="F241" i="34" s="1"/>
  <c r="O240" i="34"/>
  <c r="P240" i="34" s="1"/>
  <c r="E240" i="34"/>
  <c r="F240" i="34" s="1"/>
  <c r="P239" i="34"/>
  <c r="O239" i="34"/>
  <c r="E239" i="34"/>
  <c r="F239" i="34" s="1"/>
  <c r="O238" i="34"/>
  <c r="P238" i="34" s="1"/>
  <c r="E238" i="34"/>
  <c r="F238" i="34" s="1"/>
  <c r="P237" i="34"/>
  <c r="O237" i="34"/>
  <c r="E237" i="34"/>
  <c r="F237" i="34" s="1"/>
  <c r="O236" i="34"/>
  <c r="P236" i="34" s="1"/>
  <c r="E236" i="34"/>
  <c r="F236" i="34" s="1"/>
  <c r="O235" i="34"/>
  <c r="P235" i="34" s="1"/>
  <c r="E235" i="34"/>
  <c r="F235" i="34" s="1"/>
  <c r="O234" i="34"/>
  <c r="P234" i="34" s="1"/>
  <c r="E234" i="34"/>
  <c r="F234" i="34" s="1"/>
  <c r="N233" i="34"/>
  <c r="M233" i="34"/>
  <c r="O233" i="34" s="1"/>
  <c r="D233" i="34"/>
  <c r="C233" i="34"/>
  <c r="E233" i="34" s="1"/>
  <c r="O224" i="34"/>
  <c r="P224" i="34" s="1"/>
  <c r="E224" i="34"/>
  <c r="F224" i="34" s="1"/>
  <c r="O223" i="34"/>
  <c r="P223" i="34" s="1"/>
  <c r="E223" i="34"/>
  <c r="F223" i="34" s="1"/>
  <c r="O222" i="34"/>
  <c r="P222" i="34" s="1"/>
  <c r="F222" i="34"/>
  <c r="E222" i="34"/>
  <c r="O221" i="34"/>
  <c r="P221" i="34" s="1"/>
  <c r="E221" i="34"/>
  <c r="F221" i="34" s="1"/>
  <c r="O220" i="34"/>
  <c r="P220" i="34" s="1"/>
  <c r="E220" i="34"/>
  <c r="F220" i="34" s="1"/>
  <c r="O219" i="34"/>
  <c r="P219" i="34" s="1"/>
  <c r="E219" i="34"/>
  <c r="F219" i="34" s="1"/>
  <c r="O218" i="34"/>
  <c r="P218" i="34" s="1"/>
  <c r="E218" i="34"/>
  <c r="F218" i="34" s="1"/>
  <c r="O217" i="34"/>
  <c r="P217" i="34" s="1"/>
  <c r="E217" i="34"/>
  <c r="F217" i="34" s="1"/>
  <c r="O216" i="34"/>
  <c r="P216" i="34" s="1"/>
  <c r="E216" i="34"/>
  <c r="F216" i="34" s="1"/>
  <c r="P215" i="34"/>
  <c r="F215" i="34"/>
  <c r="O214" i="34"/>
  <c r="P214" i="34" s="1"/>
  <c r="E214" i="34"/>
  <c r="F214" i="34" s="1"/>
  <c r="N213" i="34"/>
  <c r="P213" i="34" s="1"/>
  <c r="M213" i="34"/>
  <c r="O213" i="34" s="1"/>
  <c r="D213" i="34"/>
  <c r="C213" i="34"/>
  <c r="E213" i="34" s="1"/>
  <c r="O205" i="34"/>
  <c r="P205" i="34" s="1"/>
  <c r="E205" i="34"/>
  <c r="F205" i="34" s="1"/>
  <c r="O204" i="34"/>
  <c r="P204" i="34" s="1"/>
  <c r="E204" i="34"/>
  <c r="F204" i="34" s="1"/>
  <c r="O203" i="34"/>
  <c r="P203" i="34" s="1"/>
  <c r="E203" i="34"/>
  <c r="F203" i="34" s="1"/>
  <c r="O202" i="34"/>
  <c r="P202" i="34" s="1"/>
  <c r="F202" i="34"/>
  <c r="E202" i="34"/>
  <c r="O201" i="34"/>
  <c r="P201" i="34" s="1"/>
  <c r="E201" i="34"/>
  <c r="F201" i="34" s="1"/>
  <c r="O200" i="34"/>
  <c r="P200" i="34" s="1"/>
  <c r="E200" i="34"/>
  <c r="F200" i="34" s="1"/>
  <c r="O199" i="34"/>
  <c r="P199" i="34" s="1"/>
  <c r="E199" i="34"/>
  <c r="F199" i="34" s="1"/>
  <c r="O198" i="34"/>
  <c r="P198" i="34" s="1"/>
  <c r="F198" i="34"/>
  <c r="E198" i="34"/>
  <c r="O197" i="34"/>
  <c r="P197" i="34" s="1"/>
  <c r="E197" i="34"/>
  <c r="F197" i="34" s="1"/>
  <c r="O196" i="34"/>
  <c r="P196" i="34" s="1"/>
  <c r="E196" i="34"/>
  <c r="F196" i="34" s="1"/>
  <c r="O195" i="34"/>
  <c r="P195" i="34" s="1"/>
  <c r="E195" i="34"/>
  <c r="F195" i="34" s="1"/>
  <c r="N194" i="34"/>
  <c r="M194" i="34"/>
  <c r="O194" i="34" s="1"/>
  <c r="D194" i="34"/>
  <c r="C194" i="34"/>
  <c r="E194" i="34" s="1"/>
  <c r="E186" i="34"/>
  <c r="F186" i="34" s="1"/>
  <c r="E185" i="34"/>
  <c r="F185" i="34" s="1"/>
  <c r="E184" i="34"/>
  <c r="F184" i="34" s="1"/>
  <c r="E183" i="34"/>
  <c r="F183" i="34" s="1"/>
  <c r="E182" i="34"/>
  <c r="F182" i="34" s="1"/>
  <c r="E181" i="34"/>
  <c r="F181" i="34" s="1"/>
  <c r="E180" i="34"/>
  <c r="F180" i="34" s="1"/>
  <c r="F179" i="34"/>
  <c r="E179" i="34"/>
  <c r="E178" i="34"/>
  <c r="F178" i="34" s="1"/>
  <c r="E177" i="34"/>
  <c r="F177" i="34" s="1"/>
  <c r="E176" i="34"/>
  <c r="F176" i="34" s="1"/>
  <c r="D175" i="34"/>
  <c r="C175" i="34"/>
  <c r="E175" i="34" s="1"/>
  <c r="E167" i="34"/>
  <c r="F167" i="34" s="1"/>
  <c r="D167" i="34"/>
  <c r="E166" i="34"/>
  <c r="F166" i="34" s="1"/>
  <c r="D166" i="34"/>
  <c r="E165" i="34"/>
  <c r="F165" i="34" s="1"/>
  <c r="D165" i="34"/>
  <c r="E164" i="34"/>
  <c r="F164" i="34" s="1"/>
  <c r="D164" i="34"/>
  <c r="E163" i="34"/>
  <c r="F163" i="34" s="1"/>
  <c r="D163" i="34"/>
  <c r="E162" i="34"/>
  <c r="F162" i="34" s="1"/>
  <c r="D162" i="34"/>
  <c r="F161" i="34"/>
  <c r="E161" i="34"/>
  <c r="D161" i="34"/>
  <c r="E160" i="34"/>
  <c r="F160" i="34" s="1"/>
  <c r="D160" i="34"/>
  <c r="E159" i="34"/>
  <c r="F159" i="34" s="1"/>
  <c r="D159" i="34"/>
  <c r="E158" i="34"/>
  <c r="F158" i="34" s="1"/>
  <c r="D158" i="34"/>
  <c r="E157" i="34"/>
  <c r="F157" i="34" s="1"/>
  <c r="D157" i="34"/>
  <c r="D156" i="34"/>
  <c r="C156" i="34"/>
  <c r="E156" i="34" s="1"/>
  <c r="F156" i="34" s="1"/>
  <c r="P9" i="40"/>
  <c r="O9" i="40"/>
  <c r="E9" i="40"/>
  <c r="F9" i="40" s="1"/>
  <c r="P8" i="40"/>
  <c r="O8" i="40"/>
  <c r="E8" i="40"/>
  <c r="F8" i="40" s="1"/>
  <c r="P7" i="40"/>
  <c r="O7" i="40"/>
  <c r="F7" i="40"/>
  <c r="E7" i="40"/>
  <c r="N6" i="40"/>
  <c r="M6" i="40"/>
  <c r="O6" i="40" s="1"/>
  <c r="P6" i="40" s="1"/>
  <c r="D6" i="40"/>
  <c r="F6" i="40" s="1"/>
  <c r="C6" i="40"/>
  <c r="E6" i="40" s="1"/>
  <c r="O149" i="34"/>
  <c r="P149" i="34" s="1"/>
  <c r="E149" i="34"/>
  <c r="F149" i="34" s="1"/>
  <c r="O148" i="34"/>
  <c r="P148" i="34" s="1"/>
  <c r="E148" i="34"/>
  <c r="F148" i="34" s="1"/>
  <c r="O147" i="34"/>
  <c r="P147" i="34" s="1"/>
  <c r="E147" i="34"/>
  <c r="F147" i="34" s="1"/>
  <c r="O146" i="34"/>
  <c r="P146" i="34" s="1"/>
  <c r="E146" i="34"/>
  <c r="F146" i="34" s="1"/>
  <c r="O145" i="34"/>
  <c r="P145" i="34" s="1"/>
  <c r="E145" i="34"/>
  <c r="F145" i="34" s="1"/>
  <c r="O144" i="34"/>
  <c r="P144" i="34" s="1"/>
  <c r="E144" i="34"/>
  <c r="F144" i="34" s="1"/>
  <c r="O143" i="34"/>
  <c r="P143" i="34" s="1"/>
  <c r="E143" i="34"/>
  <c r="F143" i="34" s="1"/>
  <c r="O142" i="34"/>
  <c r="P142" i="34" s="1"/>
  <c r="E142" i="34"/>
  <c r="F142" i="34" s="1"/>
  <c r="O141" i="34"/>
  <c r="P141" i="34" s="1"/>
  <c r="E141" i="34"/>
  <c r="F141" i="34" s="1"/>
  <c r="P140" i="34"/>
  <c r="F140" i="34"/>
  <c r="O139" i="34"/>
  <c r="P139" i="34" s="1"/>
  <c r="E139" i="34"/>
  <c r="F139" i="34" s="1"/>
  <c r="N138" i="34"/>
  <c r="M138" i="34"/>
  <c r="O138" i="34" s="1"/>
  <c r="D138" i="34"/>
  <c r="C138" i="34"/>
  <c r="E138" i="34" s="1"/>
  <c r="C119" i="34"/>
  <c r="E119" i="34" s="1"/>
  <c r="D119" i="34"/>
  <c r="M119" i="34"/>
  <c r="O119" i="34" s="1"/>
  <c r="P119" i="34" s="1"/>
  <c r="N119" i="34"/>
  <c r="E120" i="34"/>
  <c r="F120" i="34"/>
  <c r="P120" i="34"/>
  <c r="E121" i="34"/>
  <c r="F121" i="34" s="1"/>
  <c r="P121" i="34"/>
  <c r="E122" i="34"/>
  <c r="F122" i="34"/>
  <c r="P122" i="34"/>
  <c r="E123" i="34"/>
  <c r="F123" i="34" s="1"/>
  <c r="P123" i="34"/>
  <c r="E124" i="34"/>
  <c r="F124" i="34" s="1"/>
  <c r="P124" i="34"/>
  <c r="E125" i="34"/>
  <c r="F125" i="34" s="1"/>
  <c r="P125" i="34"/>
  <c r="E126" i="34"/>
  <c r="F126" i="34" s="1"/>
  <c r="P126" i="34"/>
  <c r="E127" i="34"/>
  <c r="F127" i="34" s="1"/>
  <c r="P127" i="34"/>
  <c r="E128" i="34"/>
  <c r="F128" i="34" s="1"/>
  <c r="P128" i="34"/>
  <c r="E129" i="34"/>
  <c r="F129" i="34" s="1"/>
  <c r="P129" i="34"/>
  <c r="E130" i="34"/>
  <c r="F130" i="34" s="1"/>
  <c r="P130" i="34"/>
  <c r="C100" i="34"/>
  <c r="E100" i="34" s="1"/>
  <c r="D100" i="34"/>
  <c r="M100" i="34"/>
  <c r="O100" i="34" s="1"/>
  <c r="N100" i="34"/>
  <c r="E101" i="34"/>
  <c r="F101" i="34" s="1"/>
  <c r="O101" i="34"/>
  <c r="P101" i="34" s="1"/>
  <c r="E102" i="34"/>
  <c r="F102" i="34"/>
  <c r="O102" i="34"/>
  <c r="P102" i="34" s="1"/>
  <c r="E103" i="34"/>
  <c r="F103" i="34" s="1"/>
  <c r="O103" i="34"/>
  <c r="P103" i="34" s="1"/>
  <c r="E104" i="34"/>
  <c r="F104" i="34" s="1"/>
  <c r="O104" i="34"/>
  <c r="P104" i="34"/>
  <c r="E105" i="34"/>
  <c r="F105" i="34" s="1"/>
  <c r="O105" i="34"/>
  <c r="P105" i="34" s="1"/>
  <c r="E106" i="34"/>
  <c r="F106" i="34" s="1"/>
  <c r="O106" i="34"/>
  <c r="P106" i="34"/>
  <c r="E107" i="34"/>
  <c r="F107" i="34" s="1"/>
  <c r="O107" i="34"/>
  <c r="P107" i="34" s="1"/>
  <c r="E108" i="34"/>
  <c r="F108" i="34" s="1"/>
  <c r="O108" i="34"/>
  <c r="P108" i="34" s="1"/>
  <c r="E109" i="34"/>
  <c r="F109" i="34"/>
  <c r="O109" i="34"/>
  <c r="P109" i="34" s="1"/>
  <c r="E110" i="34"/>
  <c r="F110" i="34" s="1"/>
  <c r="O110" i="34"/>
  <c r="P110" i="34" s="1"/>
  <c r="E111" i="34"/>
  <c r="F111" i="34"/>
  <c r="O111" i="34"/>
  <c r="P111" i="34" s="1"/>
  <c r="C81" i="34"/>
  <c r="E81" i="34" s="1"/>
  <c r="D81" i="34"/>
  <c r="E82" i="34"/>
  <c r="F82" i="34" s="1"/>
  <c r="E83" i="34"/>
  <c r="F83" i="34" s="1"/>
  <c r="E84" i="34"/>
  <c r="F84" i="34" s="1"/>
  <c r="E85" i="34"/>
  <c r="F85" i="34" s="1"/>
  <c r="E86" i="34"/>
  <c r="F86" i="34" s="1"/>
  <c r="E87" i="34"/>
  <c r="F87" i="34" s="1"/>
  <c r="E88" i="34"/>
  <c r="F88" i="34"/>
  <c r="E89" i="34"/>
  <c r="F89" i="34" s="1"/>
  <c r="E90" i="34"/>
  <c r="F90" i="34" s="1"/>
  <c r="E91" i="34"/>
  <c r="F91" i="34" s="1"/>
  <c r="E92" i="34"/>
  <c r="F92" i="34"/>
  <c r="C131" i="35"/>
  <c r="E131" i="35" s="1"/>
  <c r="D131" i="35"/>
  <c r="M131" i="35"/>
  <c r="O131" i="35" s="1"/>
  <c r="N131" i="35"/>
  <c r="E132" i="35"/>
  <c r="O132" i="35"/>
  <c r="E133" i="35"/>
  <c r="O133" i="35"/>
  <c r="E134" i="35"/>
  <c r="O134" i="35"/>
  <c r="E135" i="35"/>
  <c r="O135" i="35"/>
  <c r="D136" i="35"/>
  <c r="E136" i="35"/>
  <c r="O136" i="35"/>
  <c r="E137" i="35"/>
  <c r="O137" i="35"/>
  <c r="E138" i="35"/>
  <c r="N138" i="35"/>
  <c r="O138" i="35"/>
  <c r="E139" i="35"/>
  <c r="O139" i="35"/>
  <c r="E140" i="35"/>
  <c r="O140" i="35"/>
  <c r="D141" i="35"/>
  <c r="F141" i="35" s="1"/>
  <c r="E141" i="35"/>
  <c r="O141" i="35"/>
  <c r="E142" i="35"/>
  <c r="O142" i="35"/>
  <c r="D143" i="35"/>
  <c r="F143" i="35" s="1"/>
  <c r="E143" i="35"/>
  <c r="O143" i="35"/>
  <c r="E144" i="35"/>
  <c r="O144" i="35"/>
  <c r="D145" i="35"/>
  <c r="E145" i="35"/>
  <c r="O145" i="35"/>
  <c r="E146" i="35"/>
  <c r="O146" i="35"/>
  <c r="D147" i="35"/>
  <c r="F147" i="35" s="1"/>
  <c r="E147" i="35"/>
  <c r="O147" i="35"/>
  <c r="E148" i="35"/>
  <c r="O148" i="35"/>
  <c r="D149" i="35"/>
  <c r="E149" i="35"/>
  <c r="O149" i="35"/>
  <c r="E150" i="35"/>
  <c r="O150" i="35"/>
  <c r="D151" i="35"/>
  <c r="E151" i="35"/>
  <c r="O151" i="35"/>
  <c r="E152" i="35"/>
  <c r="N152" i="35"/>
  <c r="O152" i="35"/>
  <c r="E153" i="35"/>
  <c r="O153" i="35"/>
  <c r="E154" i="35"/>
  <c r="F154" i="35" s="1"/>
  <c r="O154" i="35"/>
  <c r="P154" i="35" s="1"/>
  <c r="O32" i="31"/>
  <c r="P32" i="31" s="1"/>
  <c r="O31" i="31"/>
  <c r="P31" i="31" s="1"/>
  <c r="O30" i="31"/>
  <c r="P30" i="31" s="1"/>
  <c r="O29" i="31"/>
  <c r="P29" i="31" s="1"/>
  <c r="O28" i="31"/>
  <c r="P28" i="31" s="1"/>
  <c r="O27" i="31"/>
  <c r="P27" i="31" s="1"/>
  <c r="O26" i="31"/>
  <c r="P26" i="31" s="1"/>
  <c r="O25" i="31"/>
  <c r="P25" i="31" s="1"/>
  <c r="O24" i="31"/>
  <c r="P24" i="31" s="1"/>
  <c r="N23" i="31"/>
  <c r="M23" i="31"/>
  <c r="O23" i="31" s="1"/>
  <c r="G122" i="35"/>
  <c r="E121" i="35"/>
  <c r="F121" i="35" s="1"/>
  <c r="E120" i="35"/>
  <c r="F120" i="35" s="1"/>
  <c r="E119" i="35"/>
  <c r="F119" i="35" s="1"/>
  <c r="E118" i="35"/>
  <c r="F118" i="35" s="1"/>
  <c r="E117" i="35"/>
  <c r="F117" i="35" s="1"/>
  <c r="E116" i="35"/>
  <c r="F116" i="35" s="1"/>
  <c r="E115" i="35"/>
  <c r="F115" i="35" s="1"/>
  <c r="E114" i="35"/>
  <c r="F114" i="35" s="1"/>
  <c r="E113" i="35"/>
  <c r="F113" i="35" s="1"/>
  <c r="E112" i="35"/>
  <c r="F112" i="35" s="1"/>
  <c r="E111" i="35"/>
  <c r="F111" i="35" s="1"/>
  <c r="E110" i="35"/>
  <c r="F110" i="35" s="1"/>
  <c r="E109" i="35"/>
  <c r="F109" i="35" s="1"/>
  <c r="E108" i="35"/>
  <c r="F108" i="35" s="1"/>
  <c r="E107" i="35"/>
  <c r="F107" i="35" s="1"/>
  <c r="E106" i="35"/>
  <c r="F106" i="35" s="1"/>
  <c r="E105" i="35"/>
  <c r="F105" i="35" s="1"/>
  <c r="E104" i="35"/>
  <c r="F104" i="35" s="1"/>
  <c r="E103" i="35"/>
  <c r="F103" i="35" s="1"/>
  <c r="E102" i="35"/>
  <c r="E101" i="35"/>
  <c r="F101" i="35" s="1"/>
  <c r="E100" i="35"/>
  <c r="F100" i="35" s="1"/>
  <c r="E99" i="35"/>
  <c r="F99" i="35" s="1"/>
  <c r="D98" i="35"/>
  <c r="D122" i="35" s="1"/>
  <c r="C98" i="35"/>
  <c r="E98" i="35" s="1"/>
  <c r="G18" i="34"/>
  <c r="E90" i="35"/>
  <c r="F90" i="35" s="1"/>
  <c r="E89" i="35"/>
  <c r="F89" i="35" s="1"/>
  <c r="E88" i="35"/>
  <c r="F88" i="35" s="1"/>
  <c r="E87" i="35"/>
  <c r="F87" i="35" s="1"/>
  <c r="E86" i="35"/>
  <c r="F86" i="35" s="1"/>
  <c r="E85" i="35"/>
  <c r="F85" i="35" s="1"/>
  <c r="E84" i="35"/>
  <c r="F84" i="35" s="1"/>
  <c r="E83" i="35"/>
  <c r="F83" i="35" s="1"/>
  <c r="E82" i="35"/>
  <c r="F82" i="35" s="1"/>
  <c r="E81" i="35"/>
  <c r="F81" i="35" s="1"/>
  <c r="E80" i="35"/>
  <c r="F80" i="35" s="1"/>
  <c r="E79" i="35"/>
  <c r="F79" i="35" s="1"/>
  <c r="E78" i="35"/>
  <c r="F78" i="35" s="1"/>
  <c r="E77" i="35"/>
  <c r="F77" i="35" s="1"/>
  <c r="E76" i="35"/>
  <c r="F76" i="35" s="1"/>
  <c r="E75" i="35"/>
  <c r="F75" i="35" s="1"/>
  <c r="E74" i="35"/>
  <c r="F74" i="35" s="1"/>
  <c r="E73" i="35"/>
  <c r="F73" i="35" s="1"/>
  <c r="E72" i="35"/>
  <c r="F72" i="35" s="1"/>
  <c r="E71" i="35"/>
  <c r="F71" i="35" s="1"/>
  <c r="E70" i="35"/>
  <c r="F70" i="35" s="1"/>
  <c r="E69" i="35"/>
  <c r="F69" i="35" s="1"/>
  <c r="E68" i="35"/>
  <c r="F68" i="35" s="1"/>
  <c r="D67" i="35"/>
  <c r="D91" i="35" s="1"/>
  <c r="C67" i="35"/>
  <c r="E67" i="35" s="1"/>
  <c r="E145" i="36"/>
  <c r="F145" i="36" s="1"/>
  <c r="E144" i="36"/>
  <c r="F144" i="36" s="1"/>
  <c r="E143" i="36"/>
  <c r="F143" i="36" s="1"/>
  <c r="E142" i="36"/>
  <c r="F142" i="36" s="1"/>
  <c r="E141" i="36"/>
  <c r="F141" i="36" s="1"/>
  <c r="E140" i="36"/>
  <c r="F140" i="36" s="1"/>
  <c r="E139" i="36"/>
  <c r="F139" i="36" s="1"/>
  <c r="E138" i="36"/>
  <c r="F138" i="36" s="1"/>
  <c r="E137" i="36"/>
  <c r="F137" i="36" s="1"/>
  <c r="E136" i="36"/>
  <c r="F136" i="36" s="1"/>
  <c r="E135" i="36"/>
  <c r="F135" i="36" s="1"/>
  <c r="E134" i="36"/>
  <c r="F134" i="36" s="1"/>
  <c r="E128" i="36"/>
  <c r="F128" i="36" s="1"/>
  <c r="E127" i="36"/>
  <c r="F127" i="36" s="1"/>
  <c r="E126" i="36"/>
  <c r="F126" i="36" s="1"/>
  <c r="E125" i="36"/>
  <c r="F125" i="36" s="1"/>
  <c r="E124" i="36"/>
  <c r="F124" i="36" s="1"/>
  <c r="F123" i="36"/>
  <c r="E123" i="36"/>
  <c r="E122" i="36"/>
  <c r="F122" i="36" s="1"/>
  <c r="E121" i="36"/>
  <c r="F121" i="36" s="1"/>
  <c r="E120" i="36"/>
  <c r="E119" i="36"/>
  <c r="F119" i="36" s="1"/>
  <c r="E118" i="36"/>
  <c r="F118" i="36" s="1"/>
  <c r="E117" i="36"/>
  <c r="F117" i="36" s="1"/>
  <c r="E116" i="36"/>
  <c r="F116" i="36" s="1"/>
  <c r="E115" i="36"/>
  <c r="F115" i="36" s="1"/>
  <c r="E114" i="36"/>
  <c r="F114" i="36" s="1"/>
  <c r="E113" i="36"/>
  <c r="F113" i="36" s="1"/>
  <c r="E112" i="36"/>
  <c r="F112" i="36" s="1"/>
  <c r="E111" i="36"/>
  <c r="F111" i="36" s="1"/>
  <c r="E110" i="36"/>
  <c r="E109" i="36"/>
  <c r="F109" i="36" s="1"/>
  <c r="E108" i="36"/>
  <c r="F108" i="36" s="1"/>
  <c r="E107" i="36"/>
  <c r="F107" i="36" s="1"/>
  <c r="E106" i="36"/>
  <c r="F106" i="36" s="1"/>
  <c r="D105" i="36"/>
  <c r="C105" i="36"/>
  <c r="E105" i="36" s="1"/>
  <c r="O96" i="36"/>
  <c r="P96" i="36" s="1"/>
  <c r="E96" i="36"/>
  <c r="F96" i="36" s="1"/>
  <c r="O95" i="36"/>
  <c r="P95" i="36" s="1"/>
  <c r="E95" i="36"/>
  <c r="F95" i="36" s="1"/>
  <c r="O94" i="36"/>
  <c r="P94" i="36" s="1"/>
  <c r="E94" i="36"/>
  <c r="F94" i="36" s="1"/>
  <c r="O93" i="36"/>
  <c r="P93" i="36" s="1"/>
  <c r="E93" i="36"/>
  <c r="F93" i="36" s="1"/>
  <c r="O92" i="36"/>
  <c r="P92" i="36" s="1"/>
  <c r="E92" i="36"/>
  <c r="F92" i="36" s="1"/>
  <c r="O91" i="36"/>
  <c r="P91" i="36" s="1"/>
  <c r="E91" i="36"/>
  <c r="F91" i="36" s="1"/>
  <c r="O90" i="36"/>
  <c r="P90" i="36" s="1"/>
  <c r="E90" i="36"/>
  <c r="F90" i="36" s="1"/>
  <c r="O89" i="36"/>
  <c r="P89" i="36" s="1"/>
  <c r="F89" i="36"/>
  <c r="E89" i="36"/>
  <c r="O88" i="36"/>
  <c r="P88" i="36" s="1"/>
  <c r="E88" i="36"/>
  <c r="F88" i="36" s="1"/>
  <c r="O87" i="36"/>
  <c r="P87" i="36" s="1"/>
  <c r="E87" i="36"/>
  <c r="F87" i="36" s="1"/>
  <c r="O86" i="36"/>
  <c r="P86" i="36" s="1"/>
  <c r="E86" i="36"/>
  <c r="F86" i="36" s="1"/>
  <c r="O85" i="36"/>
  <c r="P85" i="36" s="1"/>
  <c r="E85" i="36"/>
  <c r="F85" i="36" s="1"/>
  <c r="O77" i="36"/>
  <c r="P77" i="36" s="1"/>
  <c r="E77" i="36"/>
  <c r="F77" i="36" s="1"/>
  <c r="O76" i="36"/>
  <c r="P76" i="36" s="1"/>
  <c r="E76" i="36"/>
  <c r="F76" i="36" s="1"/>
  <c r="O75" i="36"/>
  <c r="P75" i="36" s="1"/>
  <c r="E75" i="36"/>
  <c r="F75" i="36" s="1"/>
  <c r="O74" i="36"/>
  <c r="P74" i="36" s="1"/>
  <c r="E74" i="36"/>
  <c r="F74" i="36" s="1"/>
  <c r="O73" i="36"/>
  <c r="P73" i="36" s="1"/>
  <c r="E73" i="36"/>
  <c r="F73" i="36" s="1"/>
  <c r="O72" i="36"/>
  <c r="P72" i="36" s="1"/>
  <c r="E72" i="36"/>
  <c r="F72" i="36" s="1"/>
  <c r="O71" i="36"/>
  <c r="P71" i="36" s="1"/>
  <c r="F71" i="36"/>
  <c r="E71" i="36"/>
  <c r="O70" i="36"/>
  <c r="P70" i="36" s="1"/>
  <c r="E70" i="36"/>
  <c r="F70" i="36" s="1"/>
  <c r="O69" i="36"/>
  <c r="P69" i="36" s="1"/>
  <c r="E69" i="36"/>
  <c r="F69" i="36" s="1"/>
  <c r="O68" i="36"/>
  <c r="P68" i="36" s="1"/>
  <c r="E68" i="36"/>
  <c r="F68" i="36" s="1"/>
  <c r="O67" i="36"/>
  <c r="P67" i="36" s="1"/>
  <c r="E67" i="36"/>
  <c r="F67" i="36" s="1"/>
  <c r="O66" i="36"/>
  <c r="P66" i="36" s="1"/>
  <c r="E66" i="36"/>
  <c r="F66" i="36" s="1"/>
  <c r="O65" i="36"/>
  <c r="P65" i="36" s="1"/>
  <c r="E65" i="36"/>
  <c r="F65" i="36" s="1"/>
  <c r="O64" i="36"/>
  <c r="P64" i="36" s="1"/>
  <c r="E64" i="36"/>
  <c r="F64" i="36" s="1"/>
  <c r="O63" i="36"/>
  <c r="P63" i="36" s="1"/>
  <c r="E63" i="36"/>
  <c r="F63" i="36" s="1"/>
  <c r="O62" i="36"/>
  <c r="P62" i="36" s="1"/>
  <c r="E62" i="36"/>
  <c r="F62" i="36" s="1"/>
  <c r="O61" i="36"/>
  <c r="P61" i="36" s="1"/>
  <c r="E61" i="36"/>
  <c r="F61" i="36" s="1"/>
  <c r="O60" i="36"/>
  <c r="P60" i="36" s="1"/>
  <c r="E60" i="36"/>
  <c r="F60" i="36" s="1"/>
  <c r="O59" i="36"/>
  <c r="P59" i="36" s="1"/>
  <c r="F59" i="36"/>
  <c r="E59" i="36"/>
  <c r="O58" i="36"/>
  <c r="P58" i="36" s="1"/>
  <c r="E58" i="36"/>
  <c r="F58" i="36" s="1"/>
  <c r="O57" i="36"/>
  <c r="P57" i="36" s="1"/>
  <c r="E57" i="36"/>
  <c r="F57" i="36" s="1"/>
  <c r="O56" i="36"/>
  <c r="P56" i="36" s="1"/>
  <c r="E56" i="36"/>
  <c r="F56" i="36" s="1"/>
  <c r="O55" i="36"/>
  <c r="P55" i="36" s="1"/>
  <c r="E55" i="36"/>
  <c r="F55" i="36" s="1"/>
  <c r="N54" i="36"/>
  <c r="M54" i="36"/>
  <c r="O54" i="36" s="1"/>
  <c r="D54" i="36"/>
  <c r="C54" i="36"/>
  <c r="E54" i="36" s="1"/>
  <c r="F54" i="36" s="1"/>
  <c r="O60" i="35"/>
  <c r="P60" i="35" s="1"/>
  <c r="E60" i="35"/>
  <c r="F60" i="35" s="1"/>
  <c r="O59" i="35"/>
  <c r="P59" i="35" s="1"/>
  <c r="E59" i="35"/>
  <c r="F59" i="35" s="1"/>
  <c r="O58" i="35"/>
  <c r="P58" i="35" s="1"/>
  <c r="E58" i="35"/>
  <c r="F58" i="35" s="1"/>
  <c r="E57" i="35"/>
  <c r="F57" i="35" s="1"/>
  <c r="E56" i="35"/>
  <c r="F56" i="35" s="1"/>
  <c r="E55" i="35"/>
  <c r="F55" i="35" s="1"/>
  <c r="E54" i="35"/>
  <c r="F54" i="35" s="1"/>
  <c r="E53" i="35"/>
  <c r="F53" i="35" s="1"/>
  <c r="F52" i="35"/>
  <c r="E52" i="35"/>
  <c r="E51" i="35"/>
  <c r="F51" i="35" s="1"/>
  <c r="E50" i="35"/>
  <c r="F50" i="35" s="1"/>
  <c r="E49" i="35"/>
  <c r="F49" i="35" s="1"/>
  <c r="E48" i="35"/>
  <c r="F48" i="35" s="1"/>
  <c r="E47" i="35"/>
  <c r="F47" i="35" s="1"/>
  <c r="E46" i="35"/>
  <c r="F46" i="35" s="1"/>
  <c r="E45" i="35"/>
  <c r="F45" i="35" s="1"/>
  <c r="E44" i="35"/>
  <c r="F44" i="35" s="1"/>
  <c r="E43" i="35"/>
  <c r="F43" i="35" s="1"/>
  <c r="E42" i="35"/>
  <c r="F42" i="35" s="1"/>
  <c r="E41" i="35"/>
  <c r="F41" i="35" s="1"/>
  <c r="E40" i="35"/>
  <c r="F40" i="35" s="1"/>
  <c r="E39" i="35"/>
  <c r="F39" i="35" s="1"/>
  <c r="E38" i="35"/>
  <c r="F38" i="35" s="1"/>
  <c r="D37" i="35"/>
  <c r="C37" i="35"/>
  <c r="E37" i="35" s="1"/>
  <c r="O46" i="36"/>
  <c r="P46" i="36" s="1"/>
  <c r="O45" i="36"/>
  <c r="P45" i="36" s="1"/>
  <c r="P44" i="36"/>
  <c r="O44" i="36"/>
  <c r="O43" i="36"/>
  <c r="P43" i="36" s="1"/>
  <c r="O42" i="36"/>
  <c r="P42" i="36" s="1"/>
  <c r="O41" i="36"/>
  <c r="P41" i="36" s="1"/>
  <c r="O40" i="36"/>
  <c r="P40" i="36" s="1"/>
  <c r="O39" i="36"/>
  <c r="P39" i="36" s="1"/>
  <c r="O38" i="36"/>
  <c r="P38" i="36" s="1"/>
  <c r="O37" i="36"/>
  <c r="P37" i="36" s="1"/>
  <c r="O36" i="36"/>
  <c r="P36" i="36" s="1"/>
  <c r="O35" i="36"/>
  <c r="P35" i="36" s="1"/>
  <c r="O29" i="36"/>
  <c r="P29" i="36" s="1"/>
  <c r="O28" i="36"/>
  <c r="P28" i="36" s="1"/>
  <c r="O27" i="36"/>
  <c r="P27" i="36" s="1"/>
  <c r="O26" i="36"/>
  <c r="P26" i="36" s="1"/>
  <c r="O25" i="36"/>
  <c r="P25" i="36" s="1"/>
  <c r="O24" i="36"/>
  <c r="P24" i="36" s="1"/>
  <c r="O23" i="36"/>
  <c r="P23" i="36" s="1"/>
  <c r="O22" i="36"/>
  <c r="P22" i="36" s="1"/>
  <c r="O21" i="36"/>
  <c r="P21" i="36" s="1"/>
  <c r="O20" i="36"/>
  <c r="P20" i="36" s="1"/>
  <c r="O19" i="36"/>
  <c r="P19" i="36" s="1"/>
  <c r="O18" i="36"/>
  <c r="P18" i="36" s="1"/>
  <c r="O17" i="36"/>
  <c r="P17" i="36" s="1"/>
  <c r="O16" i="36"/>
  <c r="P16" i="36" s="1"/>
  <c r="O15" i="36"/>
  <c r="P15" i="36" s="1"/>
  <c r="O14" i="36"/>
  <c r="P14" i="36" s="1"/>
  <c r="O13" i="36"/>
  <c r="P13" i="36" s="1"/>
  <c r="O12" i="36"/>
  <c r="P12" i="36" s="1"/>
  <c r="O11" i="36"/>
  <c r="P11" i="36" s="1"/>
  <c r="O10" i="36"/>
  <c r="P10" i="36" s="1"/>
  <c r="O9" i="36"/>
  <c r="P9" i="36" s="1"/>
  <c r="O8" i="36"/>
  <c r="P8" i="36" s="1"/>
  <c r="O7" i="36"/>
  <c r="P7" i="36" s="1"/>
  <c r="N6" i="36"/>
  <c r="M6" i="36"/>
  <c r="O6" i="36" s="1"/>
  <c r="E46" i="36"/>
  <c r="F46" i="36" s="1"/>
  <c r="E45" i="36"/>
  <c r="F45" i="36" s="1"/>
  <c r="E44" i="36"/>
  <c r="F44" i="36" s="1"/>
  <c r="E43" i="36"/>
  <c r="F43" i="36" s="1"/>
  <c r="E42" i="36"/>
  <c r="F42" i="36" s="1"/>
  <c r="E41" i="36"/>
  <c r="F41" i="36" s="1"/>
  <c r="E40" i="36"/>
  <c r="F40" i="36" s="1"/>
  <c r="E39" i="36"/>
  <c r="F39" i="36" s="1"/>
  <c r="E38" i="36"/>
  <c r="F38" i="36" s="1"/>
  <c r="E37" i="36"/>
  <c r="F37" i="36" s="1"/>
  <c r="E36" i="36"/>
  <c r="F36" i="36" s="1"/>
  <c r="E35" i="36"/>
  <c r="F35" i="36" s="1"/>
  <c r="E29" i="36"/>
  <c r="F29" i="36" s="1"/>
  <c r="E28" i="36"/>
  <c r="F28" i="36" s="1"/>
  <c r="E27" i="36"/>
  <c r="F27" i="36" s="1"/>
  <c r="E26" i="36"/>
  <c r="F26" i="36" s="1"/>
  <c r="E25" i="36"/>
  <c r="F25" i="36" s="1"/>
  <c r="E24" i="36"/>
  <c r="F24" i="36" s="1"/>
  <c r="E23" i="36"/>
  <c r="F23" i="36" s="1"/>
  <c r="E22" i="36"/>
  <c r="F22" i="36" s="1"/>
  <c r="E21" i="36"/>
  <c r="F21" i="36" s="1"/>
  <c r="E20" i="36"/>
  <c r="F20" i="36" s="1"/>
  <c r="E19" i="36"/>
  <c r="F19" i="36" s="1"/>
  <c r="E18" i="36"/>
  <c r="F18" i="36" s="1"/>
  <c r="E17" i="36"/>
  <c r="F17" i="36" s="1"/>
  <c r="E16" i="36"/>
  <c r="F16" i="36" s="1"/>
  <c r="E15" i="36"/>
  <c r="F15" i="36" s="1"/>
  <c r="E14" i="36"/>
  <c r="F14" i="36" s="1"/>
  <c r="E13" i="36"/>
  <c r="F13" i="36" s="1"/>
  <c r="E12" i="36"/>
  <c r="F12" i="36" s="1"/>
  <c r="E11" i="36"/>
  <c r="F11" i="36" s="1"/>
  <c r="E10" i="36"/>
  <c r="F10" i="36" s="1"/>
  <c r="E9" i="36"/>
  <c r="F9" i="36" s="1"/>
  <c r="E8" i="36"/>
  <c r="F8" i="36" s="1"/>
  <c r="E7" i="36"/>
  <c r="F7" i="36" s="1"/>
  <c r="D6" i="36"/>
  <c r="C6" i="36"/>
  <c r="E6" i="36" s="1"/>
  <c r="E32" i="31"/>
  <c r="F32" i="31" s="1"/>
  <c r="E31" i="31"/>
  <c r="F31" i="31" s="1"/>
  <c r="E30" i="31"/>
  <c r="F30" i="31" s="1"/>
  <c r="E29" i="31"/>
  <c r="F29" i="31" s="1"/>
  <c r="E28" i="31"/>
  <c r="F28" i="31" s="1"/>
  <c r="E27" i="31"/>
  <c r="F27" i="31" s="1"/>
  <c r="F26" i="31"/>
  <c r="E26" i="31"/>
  <c r="E25" i="31"/>
  <c r="F25" i="31" s="1"/>
  <c r="E24" i="31"/>
  <c r="F24" i="31" s="1"/>
  <c r="D23" i="31"/>
  <c r="C23" i="31"/>
  <c r="E23" i="31" s="1"/>
  <c r="E29" i="35"/>
  <c r="F29" i="35" s="1"/>
  <c r="E28" i="35"/>
  <c r="F28" i="35" s="1"/>
  <c r="E27" i="35"/>
  <c r="F27" i="35" s="1"/>
  <c r="E26" i="35"/>
  <c r="F26" i="35" s="1"/>
  <c r="F25" i="35"/>
  <c r="E25" i="35"/>
  <c r="E24" i="35"/>
  <c r="F24" i="35" s="1"/>
  <c r="E23" i="35"/>
  <c r="F23" i="35" s="1"/>
  <c r="E22" i="35"/>
  <c r="F22" i="35" s="1"/>
  <c r="E21" i="35"/>
  <c r="F21" i="35" s="1"/>
  <c r="E20" i="35"/>
  <c r="F20" i="35" s="1"/>
  <c r="E19" i="35"/>
  <c r="F19" i="35" s="1"/>
  <c r="E18" i="35"/>
  <c r="F18" i="35" s="1"/>
  <c r="E17" i="35"/>
  <c r="F17" i="35" s="1"/>
  <c r="E16" i="35"/>
  <c r="F16" i="35" s="1"/>
  <c r="E15" i="35"/>
  <c r="F15" i="35" s="1"/>
  <c r="E14" i="35"/>
  <c r="F14" i="35" s="1"/>
  <c r="E13" i="35"/>
  <c r="F13" i="35" s="1"/>
  <c r="E12" i="35"/>
  <c r="F12" i="35" s="1"/>
  <c r="E11" i="35"/>
  <c r="F11" i="35" s="1"/>
  <c r="E10" i="35"/>
  <c r="F10" i="35" s="1"/>
  <c r="E9" i="35"/>
  <c r="F9" i="35" s="1"/>
  <c r="E8" i="35"/>
  <c r="F8" i="35" s="1"/>
  <c r="E7" i="35"/>
  <c r="F7" i="35" s="1"/>
  <c r="D6" i="35"/>
  <c r="C6" i="35"/>
  <c r="E6" i="35" s="1"/>
  <c r="O74" i="34"/>
  <c r="P74" i="34" s="1"/>
  <c r="E74" i="34"/>
  <c r="F74" i="34" s="1"/>
  <c r="O73" i="34"/>
  <c r="P73" i="34" s="1"/>
  <c r="F73" i="34"/>
  <c r="E73" i="34"/>
  <c r="O72" i="34"/>
  <c r="P72" i="34" s="1"/>
  <c r="E72" i="34"/>
  <c r="F72" i="34" s="1"/>
  <c r="O71" i="34"/>
  <c r="P71" i="34" s="1"/>
  <c r="E71" i="34"/>
  <c r="F71" i="34" s="1"/>
  <c r="O70" i="34"/>
  <c r="P70" i="34" s="1"/>
  <c r="F70" i="34"/>
  <c r="E70" i="34"/>
  <c r="O69" i="34"/>
  <c r="P69" i="34" s="1"/>
  <c r="E69" i="34"/>
  <c r="F69" i="34" s="1"/>
  <c r="P68" i="34"/>
  <c r="O68" i="34"/>
  <c r="E68" i="34"/>
  <c r="F68" i="34" s="1"/>
  <c r="O67" i="34"/>
  <c r="P67" i="34" s="1"/>
  <c r="E67" i="34"/>
  <c r="F67" i="34" s="1"/>
  <c r="O66" i="34"/>
  <c r="P66" i="34" s="1"/>
  <c r="E66" i="34"/>
  <c r="F66" i="34" s="1"/>
  <c r="O65" i="34"/>
  <c r="P65" i="34" s="1"/>
  <c r="E65" i="34"/>
  <c r="F65" i="34" s="1"/>
  <c r="O64" i="34"/>
  <c r="P64" i="34" s="1"/>
  <c r="F64" i="34"/>
  <c r="E64" i="34"/>
  <c r="N63" i="34"/>
  <c r="M63" i="34"/>
  <c r="O63" i="34" s="1"/>
  <c r="D63" i="34"/>
  <c r="C63" i="34"/>
  <c r="E63" i="34" s="1"/>
  <c r="O55" i="34"/>
  <c r="P55" i="34" s="1"/>
  <c r="E55" i="34"/>
  <c r="F55" i="34" s="1"/>
  <c r="O54" i="34"/>
  <c r="P54" i="34" s="1"/>
  <c r="E54" i="34"/>
  <c r="F54" i="34" s="1"/>
  <c r="O53" i="34"/>
  <c r="P53" i="34" s="1"/>
  <c r="E53" i="34"/>
  <c r="F53" i="34" s="1"/>
  <c r="O52" i="34"/>
  <c r="P52" i="34" s="1"/>
  <c r="E52" i="34"/>
  <c r="F52" i="34" s="1"/>
  <c r="O51" i="34"/>
  <c r="P51" i="34" s="1"/>
  <c r="E51" i="34"/>
  <c r="F51" i="34" s="1"/>
  <c r="O50" i="34"/>
  <c r="P50" i="34" s="1"/>
  <c r="E50" i="34"/>
  <c r="F50" i="34" s="1"/>
  <c r="O49" i="34"/>
  <c r="P49" i="34" s="1"/>
  <c r="E49" i="34"/>
  <c r="F49" i="34" s="1"/>
  <c r="O48" i="34"/>
  <c r="P48" i="34" s="1"/>
  <c r="E48" i="34"/>
  <c r="F48" i="34" s="1"/>
  <c r="O47" i="34"/>
  <c r="P47" i="34" s="1"/>
  <c r="E47" i="34"/>
  <c r="F47" i="34" s="1"/>
  <c r="O46" i="34"/>
  <c r="P46" i="34" s="1"/>
  <c r="E46" i="34"/>
  <c r="F46" i="34" s="1"/>
  <c r="O45" i="34"/>
  <c r="P45" i="34" s="1"/>
  <c r="E45" i="34"/>
  <c r="F45" i="34" s="1"/>
  <c r="N44" i="34"/>
  <c r="M44" i="34"/>
  <c r="O44" i="34" s="1"/>
  <c r="D44" i="34"/>
  <c r="C44" i="34"/>
  <c r="E44" i="34" s="1"/>
  <c r="F44" i="34" s="1"/>
  <c r="E34" i="33"/>
  <c r="F34" i="33" s="1"/>
  <c r="E33" i="33"/>
  <c r="F33" i="33" s="1"/>
  <c r="E32" i="33"/>
  <c r="F32" i="33" s="1"/>
  <c r="E31" i="33"/>
  <c r="F31" i="33" s="1"/>
  <c r="D30" i="33"/>
  <c r="C30" i="33"/>
  <c r="E30" i="33" s="1"/>
  <c r="O36" i="34"/>
  <c r="P36" i="34" s="1"/>
  <c r="E36" i="34"/>
  <c r="F36" i="34" s="1"/>
  <c r="O35" i="34"/>
  <c r="P35" i="34" s="1"/>
  <c r="E35" i="34"/>
  <c r="F35" i="34" s="1"/>
  <c r="O34" i="34"/>
  <c r="P34" i="34" s="1"/>
  <c r="E34" i="34"/>
  <c r="F34" i="34" s="1"/>
  <c r="O33" i="34"/>
  <c r="P33" i="34" s="1"/>
  <c r="E33" i="34"/>
  <c r="F33" i="34" s="1"/>
  <c r="O32" i="34"/>
  <c r="P32" i="34" s="1"/>
  <c r="E32" i="34"/>
  <c r="F32" i="34" s="1"/>
  <c r="O31" i="34"/>
  <c r="P31" i="34" s="1"/>
  <c r="E31" i="34"/>
  <c r="F31" i="34" s="1"/>
  <c r="O30" i="34"/>
  <c r="P30" i="34" s="1"/>
  <c r="E30" i="34"/>
  <c r="F30" i="34" s="1"/>
  <c r="O29" i="34"/>
  <c r="P29" i="34" s="1"/>
  <c r="E29" i="34"/>
  <c r="F29" i="34" s="1"/>
  <c r="O28" i="34"/>
  <c r="P28" i="34" s="1"/>
  <c r="E28" i="34"/>
  <c r="F28" i="34" s="1"/>
  <c r="O27" i="34"/>
  <c r="P27" i="34" s="1"/>
  <c r="E27" i="34"/>
  <c r="F27" i="34" s="1"/>
  <c r="O26" i="34"/>
  <c r="P26" i="34" s="1"/>
  <c r="E26" i="34"/>
  <c r="F26" i="34" s="1"/>
  <c r="O25" i="34"/>
  <c r="N25" i="34"/>
  <c r="M25" i="34"/>
  <c r="D25" i="34"/>
  <c r="C25" i="34"/>
  <c r="E25" i="34" s="1"/>
  <c r="F25" i="34" s="1"/>
  <c r="O28" i="37"/>
  <c r="P28" i="37" s="1"/>
  <c r="E28" i="37"/>
  <c r="F28" i="37" s="1"/>
  <c r="O27" i="37"/>
  <c r="P27" i="37" s="1"/>
  <c r="E27" i="37"/>
  <c r="F27" i="37" s="1"/>
  <c r="N26" i="37"/>
  <c r="P26" i="37" s="1"/>
  <c r="M26" i="37"/>
  <c r="O26" i="37" s="1"/>
  <c r="D26" i="37"/>
  <c r="C26" i="37"/>
  <c r="E26" i="37" s="1"/>
  <c r="E11" i="39"/>
  <c r="F11" i="39" s="1"/>
  <c r="E10" i="39"/>
  <c r="F10" i="39" s="1"/>
  <c r="E9" i="39"/>
  <c r="F9" i="39" s="1"/>
  <c r="E8" i="39"/>
  <c r="F8" i="39" s="1"/>
  <c r="E7" i="39"/>
  <c r="F7" i="39" s="1"/>
  <c r="D6" i="39"/>
  <c r="C6" i="39"/>
  <c r="E6" i="39" s="1"/>
  <c r="O22" i="33"/>
  <c r="P22" i="33" s="1"/>
  <c r="E22" i="33"/>
  <c r="F22" i="33" s="1"/>
  <c r="O21" i="33"/>
  <c r="P21" i="33" s="1"/>
  <c r="E21" i="33"/>
  <c r="F21" i="33" s="1"/>
  <c r="P20" i="33"/>
  <c r="O20" i="33"/>
  <c r="F20" i="33"/>
  <c r="E20" i="33"/>
  <c r="P19" i="33"/>
  <c r="O19" i="33"/>
  <c r="E19" i="33"/>
  <c r="F19" i="33" s="1"/>
  <c r="N18" i="33"/>
  <c r="M18" i="33"/>
  <c r="O18" i="33" s="1"/>
  <c r="P18" i="33" s="1"/>
  <c r="D18" i="33"/>
  <c r="C18" i="33"/>
  <c r="E18" i="33" s="1"/>
  <c r="F18" i="33" s="1"/>
  <c r="O17" i="34"/>
  <c r="P17" i="34" s="1"/>
  <c r="E17" i="34"/>
  <c r="F17" i="34" s="1"/>
  <c r="O16" i="34"/>
  <c r="P16" i="34" s="1"/>
  <c r="E16" i="34"/>
  <c r="F16" i="34" s="1"/>
  <c r="O15" i="34"/>
  <c r="P15" i="34" s="1"/>
  <c r="E15" i="34"/>
  <c r="F15" i="34" s="1"/>
  <c r="O14" i="34"/>
  <c r="P14" i="34" s="1"/>
  <c r="E14" i="34"/>
  <c r="F14" i="34" s="1"/>
  <c r="O13" i="34"/>
  <c r="P13" i="34" s="1"/>
  <c r="F13" i="34"/>
  <c r="E13" i="34"/>
  <c r="O12" i="34"/>
  <c r="P12" i="34" s="1"/>
  <c r="E12" i="34"/>
  <c r="F12" i="34" s="1"/>
  <c r="O11" i="34"/>
  <c r="P11" i="34" s="1"/>
  <c r="E11" i="34"/>
  <c r="F11" i="34" s="1"/>
  <c r="O10" i="34"/>
  <c r="P10" i="34" s="1"/>
  <c r="E10" i="34"/>
  <c r="F10" i="34" s="1"/>
  <c r="O9" i="34"/>
  <c r="P9" i="34" s="1"/>
  <c r="E9" i="34"/>
  <c r="F9" i="34" s="1"/>
  <c r="O8" i="34"/>
  <c r="P8" i="34" s="1"/>
  <c r="E8" i="34"/>
  <c r="F8" i="34" s="1"/>
  <c r="O7" i="34"/>
  <c r="P7" i="34" s="1"/>
  <c r="E7" i="34"/>
  <c r="F7" i="34" s="1"/>
  <c r="N6" i="34"/>
  <c r="M6" i="34"/>
  <c r="O6" i="34" s="1"/>
  <c r="D6" i="34"/>
  <c r="C6" i="34"/>
  <c r="E6" i="34" s="1"/>
  <c r="O18" i="37"/>
  <c r="P18" i="37" s="1"/>
  <c r="E18" i="37"/>
  <c r="F18" i="37" s="1"/>
  <c r="O17" i="37"/>
  <c r="P17" i="37" s="1"/>
  <c r="E17" i="37"/>
  <c r="F17" i="37" s="1"/>
  <c r="N16" i="37"/>
  <c r="M16" i="37"/>
  <c r="O16" i="37" s="1"/>
  <c r="D16" i="37"/>
  <c r="C16" i="37"/>
  <c r="E16" i="37" s="1"/>
  <c r="E8" i="37"/>
  <c r="F8" i="37" s="1"/>
  <c r="E7" i="37"/>
  <c r="F7" i="37" s="1"/>
  <c r="D6" i="37"/>
  <c r="F6" i="37" s="1"/>
  <c r="C6" i="37"/>
  <c r="E6" i="37" s="1"/>
  <c r="E10" i="33"/>
  <c r="F10" i="33" s="1"/>
  <c r="E9" i="33"/>
  <c r="F9" i="33" s="1"/>
  <c r="E8" i="33"/>
  <c r="F8" i="33" s="1"/>
  <c r="E7" i="33"/>
  <c r="F7" i="33" s="1"/>
  <c r="D6" i="33"/>
  <c r="C6" i="33"/>
  <c r="E6" i="33" s="1"/>
  <c r="O465" i="31"/>
  <c r="P465" i="31" s="1"/>
  <c r="O464" i="31"/>
  <c r="P464" i="31" s="1"/>
  <c r="O463" i="31"/>
  <c r="P463" i="31" s="1"/>
  <c r="O462" i="31"/>
  <c r="P462" i="31" s="1"/>
  <c r="O461" i="31"/>
  <c r="P461" i="31" s="1"/>
  <c r="O460" i="31"/>
  <c r="P460" i="31" s="1"/>
  <c r="O459" i="31"/>
  <c r="P459" i="31" s="1"/>
  <c r="O458" i="31"/>
  <c r="P458" i="31" s="1"/>
  <c r="O457" i="31"/>
  <c r="P457" i="31" s="1"/>
  <c r="M456" i="31"/>
  <c r="O456" i="31" s="1"/>
  <c r="P456" i="31" s="1"/>
  <c r="F81" i="34" l="1"/>
  <c r="E18" i="34"/>
  <c r="F233" i="34"/>
  <c r="P233" i="34"/>
  <c r="F63" i="34"/>
  <c r="F23" i="31"/>
  <c r="F100" i="34"/>
  <c r="F138" i="34"/>
  <c r="P271" i="34"/>
  <c r="P100" i="34"/>
  <c r="F213" i="34"/>
  <c r="P244" i="31"/>
  <c r="P44" i="34"/>
  <c r="P138" i="34"/>
  <c r="F194" i="34"/>
  <c r="P63" i="34"/>
  <c r="E187" i="34"/>
  <c r="F119" i="34"/>
  <c r="N150" i="35"/>
  <c r="N148" i="35"/>
  <c r="P148" i="35" s="1"/>
  <c r="N146" i="35"/>
  <c r="N144" i="35"/>
  <c r="N142" i="35"/>
  <c r="D138" i="35"/>
  <c r="N133" i="35"/>
  <c r="P133" i="35" s="1"/>
  <c r="D152" i="35"/>
  <c r="D140" i="35"/>
  <c r="D148" i="35"/>
  <c r="F148" i="35" s="1"/>
  <c r="D144" i="35"/>
  <c r="D133" i="35"/>
  <c r="N153" i="35"/>
  <c r="N139" i="35"/>
  <c r="P139" i="35" s="1"/>
  <c r="D137" i="35"/>
  <c r="D135" i="35"/>
  <c r="F135" i="35" s="1"/>
  <c r="D150" i="35"/>
  <c r="F150" i="35" s="1"/>
  <c r="D146" i="35"/>
  <c r="F146" i="35" s="1"/>
  <c r="D142" i="35"/>
  <c r="N151" i="35"/>
  <c r="P151" i="35" s="1"/>
  <c r="N149" i="35"/>
  <c r="P149" i="35" s="1"/>
  <c r="N147" i="35"/>
  <c r="P147" i="35" s="1"/>
  <c r="N145" i="35"/>
  <c r="N143" i="35"/>
  <c r="N141" i="35"/>
  <c r="P141" i="35" s="1"/>
  <c r="P136" i="35"/>
  <c r="F6" i="35"/>
  <c r="D153" i="35"/>
  <c r="F151" i="35"/>
  <c r="N136" i="35"/>
  <c r="N134" i="35"/>
  <c r="E91" i="35"/>
  <c r="P152" i="35"/>
  <c r="P134" i="35"/>
  <c r="F142" i="35"/>
  <c r="F153" i="35"/>
  <c r="P131" i="35"/>
  <c r="F137" i="35"/>
  <c r="P145" i="35"/>
  <c r="F162" i="35"/>
  <c r="P150" i="35"/>
  <c r="F136" i="35"/>
  <c r="P143" i="35"/>
  <c r="F152" i="35"/>
  <c r="F138" i="35"/>
  <c r="P6" i="35"/>
  <c r="F140" i="35"/>
  <c r="P138" i="35"/>
  <c r="F37" i="35"/>
  <c r="P153" i="35"/>
  <c r="F145" i="35"/>
  <c r="P146" i="35"/>
  <c r="P144" i="35"/>
  <c r="F133" i="35"/>
  <c r="F144" i="35"/>
  <c r="P142" i="35"/>
  <c r="N137" i="35"/>
  <c r="P137" i="35" s="1"/>
  <c r="D132" i="35"/>
  <c r="F132" i="35" s="1"/>
  <c r="F149" i="35"/>
  <c r="N140" i="35"/>
  <c r="P140" i="35" s="1"/>
  <c r="D139" i="35"/>
  <c r="F139" i="35" s="1"/>
  <c r="N135" i="35"/>
  <c r="P135" i="35" s="1"/>
  <c r="D134" i="35"/>
  <c r="F134" i="35" s="1"/>
  <c r="F398" i="36"/>
  <c r="F344" i="36"/>
  <c r="P60" i="39"/>
  <c r="F47" i="39"/>
  <c r="F63" i="33"/>
  <c r="P6" i="33"/>
  <c r="F271" i="36"/>
  <c r="F192" i="36"/>
  <c r="P211" i="36"/>
  <c r="E47" i="36"/>
  <c r="E146" i="36"/>
  <c r="F272" i="31"/>
  <c r="P33" i="39"/>
  <c r="F43" i="33"/>
  <c r="P43" i="33"/>
  <c r="P19" i="39"/>
  <c r="F19" i="39"/>
  <c r="P194" i="34"/>
  <c r="F175" i="34"/>
  <c r="F131" i="35"/>
  <c r="N132" i="35"/>
  <c r="P132" i="35" s="1"/>
  <c r="P23" i="31"/>
  <c r="E122" i="35"/>
  <c r="F102" i="35"/>
  <c r="F98" i="35"/>
  <c r="F122" i="35" s="1"/>
  <c r="P6" i="36"/>
  <c r="P30" i="36" s="1"/>
  <c r="F67" i="35"/>
  <c r="F120" i="36"/>
  <c r="F110" i="36"/>
  <c r="F105" i="36"/>
  <c r="P54" i="36"/>
  <c r="F6" i="36"/>
  <c r="F30" i="36" s="1"/>
  <c r="P25" i="34"/>
  <c r="F30" i="33"/>
  <c r="F6" i="34"/>
  <c r="F18" i="34" s="1"/>
  <c r="F26" i="37"/>
  <c r="F6" i="39"/>
  <c r="P6" i="34"/>
  <c r="F6" i="33"/>
  <c r="F16" i="37"/>
  <c r="P16" i="37"/>
  <c r="O302" i="31"/>
  <c r="P302" i="31" s="1"/>
  <c r="O301" i="31"/>
  <c r="P301" i="31" s="1"/>
  <c r="P300" i="31"/>
  <c r="O300" i="31"/>
  <c r="O299" i="31"/>
  <c r="P299" i="31" s="1"/>
  <c r="N298" i="31"/>
  <c r="M298" i="31"/>
  <c r="O298" i="31" s="1"/>
  <c r="P298" i="31" l="1"/>
  <c r="O520" i="31" l="1"/>
  <c r="P520" i="31" s="1"/>
  <c r="O519" i="31"/>
  <c r="P519" i="31" s="1"/>
  <c r="O518" i="31"/>
  <c r="P518" i="31" s="1"/>
  <c r="O517" i="31"/>
  <c r="P517" i="31" s="1"/>
  <c r="O516" i="31"/>
  <c r="P516" i="31" s="1"/>
  <c r="O515" i="31"/>
  <c r="P515" i="31" s="1"/>
  <c r="O514" i="31"/>
  <c r="P514" i="31" s="1"/>
  <c r="O513" i="31"/>
  <c r="P513" i="31" s="1"/>
  <c r="O512" i="31"/>
  <c r="P512" i="31" s="1"/>
  <c r="O511" i="31"/>
  <c r="P511" i="31" s="1"/>
  <c r="O510" i="31"/>
  <c r="P510" i="31" s="1"/>
  <c r="N509" i="31"/>
  <c r="M509" i="31"/>
  <c r="O509" i="31" s="1"/>
  <c r="O619" i="31"/>
  <c r="P619" i="31" s="1"/>
  <c r="O618" i="31"/>
  <c r="P618" i="31" s="1"/>
  <c r="O617" i="31"/>
  <c r="P617" i="31" s="1"/>
  <c r="O616" i="31"/>
  <c r="P616" i="31" s="1"/>
  <c r="O615" i="31"/>
  <c r="P615" i="31" s="1"/>
  <c r="O614" i="31"/>
  <c r="P614" i="31" s="1"/>
  <c r="O613" i="31"/>
  <c r="P613" i="31" s="1"/>
  <c r="O612" i="31"/>
  <c r="P612" i="31" s="1"/>
  <c r="O611" i="31"/>
  <c r="P611" i="31" s="1"/>
  <c r="O610" i="31"/>
  <c r="P610" i="31" s="1"/>
  <c r="O609" i="31"/>
  <c r="P609" i="31" s="1"/>
  <c r="N608" i="31"/>
  <c r="M608" i="31"/>
  <c r="O608" i="31" s="1"/>
  <c r="E622" i="31"/>
  <c r="F622" i="31" s="1"/>
  <c r="E621" i="31"/>
  <c r="F621" i="31" s="1"/>
  <c r="E620" i="31"/>
  <c r="F620" i="31" s="1"/>
  <c r="E619" i="31"/>
  <c r="F619" i="31" s="1"/>
  <c r="E618" i="31"/>
  <c r="F618" i="31" s="1"/>
  <c r="E617" i="31"/>
  <c r="F617" i="31" s="1"/>
  <c r="E616" i="31"/>
  <c r="F616" i="31" s="1"/>
  <c r="E615" i="31"/>
  <c r="F615" i="31" s="1"/>
  <c r="E614" i="31"/>
  <c r="F614" i="31" s="1"/>
  <c r="E613" i="31"/>
  <c r="F613" i="31" s="1"/>
  <c r="E612" i="31"/>
  <c r="F612" i="31" s="1"/>
  <c r="E611" i="31"/>
  <c r="F611" i="31" s="1"/>
  <c r="E610" i="31"/>
  <c r="F610" i="31" s="1"/>
  <c r="E609" i="31"/>
  <c r="F609" i="31" s="1"/>
  <c r="D608" i="31"/>
  <c r="C608" i="31"/>
  <c r="E608" i="31" s="1"/>
  <c r="O600" i="31"/>
  <c r="P600" i="31" s="1"/>
  <c r="O599" i="31"/>
  <c r="P599" i="31" s="1"/>
  <c r="O598" i="31"/>
  <c r="P598" i="31" s="1"/>
  <c r="O597" i="31"/>
  <c r="P597" i="31" s="1"/>
  <c r="O596" i="31"/>
  <c r="P596" i="31" s="1"/>
  <c r="O595" i="31"/>
  <c r="P595" i="31" s="1"/>
  <c r="O594" i="31"/>
  <c r="P594" i="31" s="1"/>
  <c r="O593" i="31"/>
  <c r="P593" i="31" s="1"/>
  <c r="O592" i="31"/>
  <c r="P592" i="31" s="1"/>
  <c r="O591" i="31"/>
  <c r="P591" i="31" s="1"/>
  <c r="O590" i="31"/>
  <c r="P590" i="31" s="1"/>
  <c r="O589" i="31"/>
  <c r="P589" i="31" s="1"/>
  <c r="O588" i="31"/>
  <c r="P588" i="31" s="1"/>
  <c r="O587" i="31"/>
  <c r="P587" i="31" s="1"/>
  <c r="O586" i="31"/>
  <c r="P586" i="31" s="1"/>
  <c r="O585" i="31"/>
  <c r="P585" i="31" s="1"/>
  <c r="O584" i="31"/>
  <c r="P584" i="31" s="1"/>
  <c r="O583" i="31"/>
  <c r="P583" i="31" s="1"/>
  <c r="O582" i="31"/>
  <c r="P582" i="31" s="1"/>
  <c r="O581" i="31"/>
  <c r="P581" i="31" s="1"/>
  <c r="O580" i="31"/>
  <c r="P580" i="31" s="1"/>
  <c r="O579" i="31"/>
  <c r="P579" i="31" s="1"/>
  <c r="O578" i="31"/>
  <c r="P578" i="31" s="1"/>
  <c r="N577" i="31"/>
  <c r="O577" i="31"/>
  <c r="P577" i="31" s="1"/>
  <c r="E600" i="31"/>
  <c r="F600" i="31" s="1"/>
  <c r="E599" i="31"/>
  <c r="F599" i="31" s="1"/>
  <c r="E598" i="31"/>
  <c r="F598" i="31" s="1"/>
  <c r="E597" i="31"/>
  <c r="F597" i="31" s="1"/>
  <c r="E596" i="31"/>
  <c r="F596" i="31" s="1"/>
  <c r="E595" i="31"/>
  <c r="F595" i="31" s="1"/>
  <c r="E594" i="31"/>
  <c r="F594" i="31" s="1"/>
  <c r="E593" i="31"/>
  <c r="F593" i="31" s="1"/>
  <c r="E592" i="31"/>
  <c r="F592" i="31" s="1"/>
  <c r="E591" i="31"/>
  <c r="F591" i="31" s="1"/>
  <c r="F590" i="31"/>
  <c r="E590" i="31"/>
  <c r="E589" i="31"/>
  <c r="F589" i="31" s="1"/>
  <c r="E588" i="31"/>
  <c r="F588" i="31" s="1"/>
  <c r="E587" i="31"/>
  <c r="F587" i="31" s="1"/>
  <c r="E586" i="31"/>
  <c r="F586" i="31" s="1"/>
  <c r="E585" i="31"/>
  <c r="F585" i="31" s="1"/>
  <c r="E584" i="31"/>
  <c r="F584" i="31" s="1"/>
  <c r="E583" i="31"/>
  <c r="F583" i="31" s="1"/>
  <c r="E582" i="31"/>
  <c r="F582" i="31" s="1"/>
  <c r="E581" i="31"/>
  <c r="F581" i="31" s="1"/>
  <c r="F580" i="31"/>
  <c r="E580" i="31"/>
  <c r="E579" i="31"/>
  <c r="F579" i="31" s="1"/>
  <c r="E578" i="31"/>
  <c r="F578" i="31" s="1"/>
  <c r="D577" i="31"/>
  <c r="C577" i="31"/>
  <c r="E577" i="31" s="1"/>
  <c r="O569" i="31"/>
  <c r="P569" i="31" s="1"/>
  <c r="O568" i="31"/>
  <c r="P568" i="31" s="1"/>
  <c r="O567" i="31"/>
  <c r="P567" i="31" s="1"/>
  <c r="O566" i="31"/>
  <c r="P566" i="31" s="1"/>
  <c r="O565" i="31"/>
  <c r="P565" i="31" s="1"/>
  <c r="P564" i="31"/>
  <c r="O564" i="31"/>
  <c r="O563" i="31"/>
  <c r="P563" i="31" s="1"/>
  <c r="O562" i="31"/>
  <c r="P562" i="31" s="1"/>
  <c r="O561" i="31"/>
  <c r="P561" i="31" s="1"/>
  <c r="O560" i="31"/>
  <c r="P560" i="31" s="1"/>
  <c r="O559" i="31"/>
  <c r="P559" i="31" s="1"/>
  <c r="O558" i="31"/>
  <c r="P558" i="31" s="1"/>
  <c r="O557" i="31"/>
  <c r="P557" i="31" s="1"/>
  <c r="O556" i="31"/>
  <c r="P556" i="31" s="1"/>
  <c r="O555" i="31"/>
  <c r="P555" i="31" s="1"/>
  <c r="O554" i="31"/>
  <c r="P554" i="31" s="1"/>
  <c r="O553" i="31"/>
  <c r="P553" i="31" s="1"/>
  <c r="O552" i="31"/>
  <c r="P552" i="31" s="1"/>
  <c r="O551" i="31"/>
  <c r="P551" i="31" s="1"/>
  <c r="O550" i="31"/>
  <c r="P550" i="31" s="1"/>
  <c r="O549" i="31"/>
  <c r="P549" i="31" s="1"/>
  <c r="O548" i="31"/>
  <c r="P548" i="31" s="1"/>
  <c r="O547" i="31"/>
  <c r="P547" i="31" s="1"/>
  <c r="N546" i="31"/>
  <c r="M546" i="31"/>
  <c r="O546" i="31" s="1"/>
  <c r="E569" i="31"/>
  <c r="F569" i="31" s="1"/>
  <c r="E568" i="31"/>
  <c r="F568" i="31" s="1"/>
  <c r="E567" i="31"/>
  <c r="F567" i="31" s="1"/>
  <c r="F566" i="31"/>
  <c r="E566" i="31"/>
  <c r="E565" i="31"/>
  <c r="F565" i="31" s="1"/>
  <c r="E564" i="31"/>
  <c r="F564" i="31" s="1"/>
  <c r="E563" i="31"/>
  <c r="F563" i="31" s="1"/>
  <c r="E562" i="31"/>
  <c r="F562" i="31" s="1"/>
  <c r="E561" i="31"/>
  <c r="F561" i="31" s="1"/>
  <c r="E560" i="31"/>
  <c r="F560" i="31" s="1"/>
  <c r="E559" i="31"/>
  <c r="F559" i="31" s="1"/>
  <c r="E558" i="31"/>
  <c r="F558" i="31" s="1"/>
  <c r="E557" i="31"/>
  <c r="F557" i="31" s="1"/>
  <c r="E556" i="31"/>
  <c r="F556" i="31" s="1"/>
  <c r="E555" i="31"/>
  <c r="F555" i="31" s="1"/>
  <c r="E554" i="31"/>
  <c r="F554" i="31" s="1"/>
  <c r="E553" i="31"/>
  <c r="F553" i="31" s="1"/>
  <c r="E552" i="31"/>
  <c r="F552" i="31" s="1"/>
  <c r="E551" i="31"/>
  <c r="F551" i="31" s="1"/>
  <c r="E550" i="31"/>
  <c r="F550" i="31" s="1"/>
  <c r="E549" i="31"/>
  <c r="F549" i="31" s="1"/>
  <c r="E548" i="31"/>
  <c r="F548" i="31" s="1"/>
  <c r="E547" i="31"/>
  <c r="F547" i="31" s="1"/>
  <c r="D546" i="31"/>
  <c r="C546" i="31"/>
  <c r="E546" i="31" s="1"/>
  <c r="P538" i="31"/>
  <c r="O538" i="31"/>
  <c r="O537" i="31"/>
  <c r="P537" i="31" s="1"/>
  <c r="O536" i="31"/>
  <c r="P536" i="31" s="1"/>
  <c r="O535" i="31"/>
  <c r="P535" i="31" s="1"/>
  <c r="O534" i="31"/>
  <c r="P534" i="31" s="1"/>
  <c r="O533" i="31"/>
  <c r="P533" i="31" s="1"/>
  <c r="P532" i="31"/>
  <c r="O532" i="31"/>
  <c r="O531" i="31"/>
  <c r="P531" i="31" s="1"/>
  <c r="O530" i="31"/>
  <c r="P530" i="31" s="1"/>
  <c r="N529" i="31"/>
  <c r="M529" i="31"/>
  <c r="O529" i="31" s="1"/>
  <c r="E538" i="31"/>
  <c r="F538" i="31" s="1"/>
  <c r="F537" i="31"/>
  <c r="E537" i="31"/>
  <c r="E536" i="31"/>
  <c r="F536" i="31" s="1"/>
  <c r="E535" i="31"/>
  <c r="F535" i="31" s="1"/>
  <c r="E534" i="31"/>
  <c r="F534" i="31" s="1"/>
  <c r="F533" i="31"/>
  <c r="E533" i="31"/>
  <c r="E532" i="31"/>
  <c r="F532" i="31" s="1"/>
  <c r="E531" i="31"/>
  <c r="F531" i="31" s="1"/>
  <c r="E530" i="31"/>
  <c r="F530" i="31" s="1"/>
  <c r="D529" i="31"/>
  <c r="C529" i="31"/>
  <c r="E529" i="31" s="1"/>
  <c r="F529" i="31" s="1"/>
  <c r="F546" i="31" l="1"/>
  <c r="E570" i="31"/>
  <c r="P509" i="31"/>
  <c r="P546" i="31"/>
  <c r="F570" i="31"/>
  <c r="P608" i="31"/>
  <c r="P620" i="31" s="1"/>
  <c r="F608" i="31"/>
  <c r="F623" i="31" s="1"/>
  <c r="P601" i="31"/>
  <c r="F577" i="31"/>
  <c r="F601" i="31" s="1"/>
  <c r="P529" i="31"/>
  <c r="E520" i="31" l="1"/>
  <c r="F520" i="31" s="1"/>
  <c r="E519" i="31"/>
  <c r="F519" i="31" s="1"/>
  <c r="E518" i="31"/>
  <c r="F518" i="31" s="1"/>
  <c r="E517" i="31"/>
  <c r="F517" i="31" s="1"/>
  <c r="E516" i="31"/>
  <c r="F516" i="31" s="1"/>
  <c r="E515" i="31"/>
  <c r="F515" i="31" s="1"/>
  <c r="E514" i="31"/>
  <c r="F514" i="31" s="1"/>
  <c r="E513" i="31"/>
  <c r="F513" i="31" s="1"/>
  <c r="E512" i="31"/>
  <c r="F512" i="31" s="1"/>
  <c r="E511" i="31"/>
  <c r="F511" i="31" s="1"/>
  <c r="E510" i="31"/>
  <c r="F510" i="31" s="1"/>
  <c r="D509" i="31"/>
  <c r="F509" i="31" s="1"/>
  <c r="C509" i="31"/>
  <c r="E509" i="31" s="1"/>
  <c r="F521" i="31" l="1"/>
  <c r="O492" i="31"/>
  <c r="P492" i="31" s="1"/>
  <c r="O491" i="31"/>
  <c r="P491" i="31" s="1"/>
  <c r="O490" i="31"/>
  <c r="P490" i="31" s="1"/>
  <c r="O489" i="31"/>
  <c r="P489" i="31" s="1"/>
  <c r="N488" i="31"/>
  <c r="M488" i="31"/>
  <c r="O488" i="31" s="1"/>
  <c r="P488" i="31" s="1"/>
  <c r="E492" i="31"/>
  <c r="F492" i="31" s="1"/>
  <c r="E491" i="31"/>
  <c r="F491" i="31" s="1"/>
  <c r="E490" i="31"/>
  <c r="F490" i="31" s="1"/>
  <c r="E489" i="31"/>
  <c r="F489" i="31" s="1"/>
  <c r="D488" i="31"/>
  <c r="C488" i="31"/>
  <c r="E488" i="31" s="1"/>
  <c r="F463" i="31"/>
  <c r="E465" i="31"/>
  <c r="F465" i="31" s="1"/>
  <c r="E464" i="31"/>
  <c r="F464" i="31" s="1"/>
  <c r="E463" i="31"/>
  <c r="E462" i="31"/>
  <c r="F462" i="31" s="1"/>
  <c r="E461" i="31"/>
  <c r="F461" i="31" s="1"/>
  <c r="E460" i="31"/>
  <c r="F460" i="31" s="1"/>
  <c r="E459" i="31"/>
  <c r="F459" i="31" s="1"/>
  <c r="E458" i="31"/>
  <c r="F458" i="31" s="1"/>
  <c r="E457" i="31"/>
  <c r="F457" i="31" s="1"/>
  <c r="C456" i="31"/>
  <c r="E456" i="31" s="1"/>
  <c r="F456" i="31" s="1"/>
  <c r="O439" i="31"/>
  <c r="P439" i="31" s="1"/>
  <c r="O438" i="31"/>
  <c r="P438" i="31" s="1"/>
  <c r="O437" i="31"/>
  <c r="P437" i="31" s="1"/>
  <c r="O436" i="31"/>
  <c r="P436" i="31" s="1"/>
  <c r="O435" i="31"/>
  <c r="P435" i="31" s="1"/>
  <c r="O434" i="31"/>
  <c r="P434" i="31" s="1"/>
  <c r="O433" i="31"/>
  <c r="P433" i="31" s="1"/>
  <c r="O432" i="31"/>
  <c r="P432" i="31" s="1"/>
  <c r="O431" i="31"/>
  <c r="P431" i="31" s="1"/>
  <c r="O430" i="31"/>
  <c r="P430" i="31" s="1"/>
  <c r="O429" i="31"/>
  <c r="P429" i="31" s="1"/>
  <c r="O428" i="31"/>
  <c r="P428" i="31" s="1"/>
  <c r="O427" i="31"/>
  <c r="P427" i="31" s="1"/>
  <c r="O426" i="31"/>
  <c r="P426" i="31" s="1"/>
  <c r="N425" i="31"/>
  <c r="M425" i="31"/>
  <c r="O425" i="31" s="1"/>
  <c r="E439" i="31"/>
  <c r="F439" i="31" s="1"/>
  <c r="E438" i="31"/>
  <c r="F438" i="31" s="1"/>
  <c r="E437" i="31"/>
  <c r="E436" i="31"/>
  <c r="F436" i="31" s="1"/>
  <c r="E435" i="31"/>
  <c r="F435" i="31" s="1"/>
  <c r="E434" i="31"/>
  <c r="F434" i="31" s="1"/>
  <c r="E433" i="31"/>
  <c r="E432" i="31"/>
  <c r="F432" i="31" s="1"/>
  <c r="E431" i="31"/>
  <c r="F431" i="31" s="1"/>
  <c r="E430" i="31"/>
  <c r="F430" i="31" s="1"/>
  <c r="E429" i="31"/>
  <c r="F429" i="31" s="1"/>
  <c r="E428" i="31"/>
  <c r="F428" i="31" s="1"/>
  <c r="E427" i="31"/>
  <c r="F427" i="31" s="1"/>
  <c r="E426" i="31"/>
  <c r="F426" i="31" s="1"/>
  <c r="D425" i="31"/>
  <c r="C425" i="31"/>
  <c r="E425" i="31" s="1"/>
  <c r="O408" i="31"/>
  <c r="P408" i="31" s="1"/>
  <c r="O407" i="31"/>
  <c r="P407" i="31" s="1"/>
  <c r="O406" i="31"/>
  <c r="P406" i="31" s="1"/>
  <c r="O405" i="31"/>
  <c r="P405" i="31" s="1"/>
  <c r="O404" i="31"/>
  <c r="P404" i="31" s="1"/>
  <c r="O403" i="31"/>
  <c r="P403" i="31" s="1"/>
  <c r="O402" i="31"/>
  <c r="P402" i="31" s="1"/>
  <c r="O401" i="31"/>
  <c r="P401" i="31" s="1"/>
  <c r="O400" i="31"/>
  <c r="P400" i="31" s="1"/>
  <c r="O399" i="31"/>
  <c r="P399" i="31" s="1"/>
  <c r="O398" i="31"/>
  <c r="P398" i="31" s="1"/>
  <c r="O397" i="31"/>
  <c r="P397" i="31" s="1"/>
  <c r="O396" i="31"/>
  <c r="P396" i="31" s="1"/>
  <c r="O395" i="31"/>
  <c r="P395" i="31" s="1"/>
  <c r="N394" i="31"/>
  <c r="M394" i="31"/>
  <c r="O394" i="31" s="1"/>
  <c r="E408" i="31"/>
  <c r="F408" i="31" s="1"/>
  <c r="E407" i="31"/>
  <c r="F407" i="31" s="1"/>
  <c r="E406" i="31"/>
  <c r="F406" i="31" s="1"/>
  <c r="E405" i="31"/>
  <c r="F405" i="31" s="1"/>
  <c r="E404" i="31"/>
  <c r="F404" i="31" s="1"/>
  <c r="E403" i="31"/>
  <c r="F403" i="31" s="1"/>
  <c r="E402" i="31"/>
  <c r="F402" i="31" s="1"/>
  <c r="E401" i="31"/>
  <c r="F401" i="31" s="1"/>
  <c r="E400" i="31"/>
  <c r="F400" i="31" s="1"/>
  <c r="E399" i="31"/>
  <c r="F399" i="31" s="1"/>
  <c r="E398" i="31"/>
  <c r="F398" i="31" s="1"/>
  <c r="E397" i="31"/>
  <c r="F397" i="31" s="1"/>
  <c r="E396" i="31"/>
  <c r="F396" i="31" s="1"/>
  <c r="E395" i="31"/>
  <c r="F395" i="31" s="1"/>
  <c r="D394" i="31"/>
  <c r="C394" i="31"/>
  <c r="E394" i="31" s="1"/>
  <c r="O363" i="31"/>
  <c r="P363" i="31" s="1"/>
  <c r="N362" i="31"/>
  <c r="M362" i="31"/>
  <c r="O362" i="31" s="1"/>
  <c r="E363" i="31"/>
  <c r="F363" i="31" s="1"/>
  <c r="D362" i="31"/>
  <c r="C362" i="31"/>
  <c r="E362" i="31" s="1"/>
  <c r="F362" i="31" s="1"/>
  <c r="O340" i="31"/>
  <c r="P340" i="31" s="1"/>
  <c r="N340" i="31"/>
  <c r="O339" i="31"/>
  <c r="P339" i="31" s="1"/>
  <c r="N339" i="31"/>
  <c r="O338" i="31"/>
  <c r="P338" i="31" s="1"/>
  <c r="N338" i="31"/>
  <c r="O337" i="31"/>
  <c r="P337" i="31" s="1"/>
  <c r="N337" i="31"/>
  <c r="O336" i="31"/>
  <c r="P336" i="31" s="1"/>
  <c r="N336" i="31"/>
  <c r="O335" i="31"/>
  <c r="P335" i="31" s="1"/>
  <c r="N335" i="31"/>
  <c r="O334" i="31"/>
  <c r="P334" i="31" s="1"/>
  <c r="N334" i="31"/>
  <c r="O333" i="31"/>
  <c r="P333" i="31" s="1"/>
  <c r="N333" i="31"/>
  <c r="O332" i="31"/>
  <c r="P332" i="31" s="1"/>
  <c r="N332" i="31"/>
  <c r="O331" i="31"/>
  <c r="P331" i="31" s="1"/>
  <c r="N331" i="31"/>
  <c r="O330" i="31"/>
  <c r="P330" i="31" s="1"/>
  <c r="N330" i="31"/>
  <c r="N329" i="31"/>
  <c r="M329" i="31"/>
  <c r="O329" i="31" s="1"/>
  <c r="P329" i="31" s="1"/>
  <c r="E340" i="31"/>
  <c r="F340" i="31" s="1"/>
  <c r="D340" i="31"/>
  <c r="E339" i="31"/>
  <c r="F339" i="31" s="1"/>
  <c r="D339" i="31"/>
  <c r="E338" i="31"/>
  <c r="F338" i="31" s="1"/>
  <c r="D338" i="31"/>
  <c r="E337" i="31"/>
  <c r="F337" i="31" s="1"/>
  <c r="D337" i="31"/>
  <c r="E336" i="31"/>
  <c r="F336" i="31" s="1"/>
  <c r="D336" i="31"/>
  <c r="E335" i="31"/>
  <c r="F335" i="31" s="1"/>
  <c r="D335" i="31"/>
  <c r="E334" i="31"/>
  <c r="F334" i="31" s="1"/>
  <c r="D334" i="31"/>
  <c r="E333" i="31"/>
  <c r="F333" i="31" s="1"/>
  <c r="D333" i="31"/>
  <c r="E332" i="31"/>
  <c r="F332" i="31" s="1"/>
  <c r="D332" i="31"/>
  <c r="E331" i="31"/>
  <c r="F331" i="31" s="1"/>
  <c r="D331" i="31"/>
  <c r="E330" i="31"/>
  <c r="F330" i="31" s="1"/>
  <c r="D330" i="31"/>
  <c r="D329" i="31"/>
  <c r="C329" i="31"/>
  <c r="E329" i="31" s="1"/>
  <c r="F329" i="31" s="1"/>
  <c r="E302" i="31"/>
  <c r="F302" i="31" s="1"/>
  <c r="E301" i="31"/>
  <c r="F301" i="31" s="1"/>
  <c r="E300" i="31"/>
  <c r="F300" i="31" s="1"/>
  <c r="E299" i="31"/>
  <c r="F299" i="31" s="1"/>
  <c r="D298" i="31"/>
  <c r="C298" i="31"/>
  <c r="E298" i="31" s="1"/>
  <c r="F298" i="31" s="1"/>
  <c r="N6" i="31"/>
  <c r="M6" i="31"/>
  <c r="O6" i="31" s="1"/>
  <c r="O15" i="31"/>
  <c r="P15" i="31" s="1"/>
  <c r="E15" i="31"/>
  <c r="F15" i="31" s="1"/>
  <c r="O14" i="31"/>
  <c r="P14" i="31" s="1"/>
  <c r="E14" i="31"/>
  <c r="F14" i="31" s="1"/>
  <c r="O13" i="31"/>
  <c r="P13" i="31" s="1"/>
  <c r="E13" i="31"/>
  <c r="F13" i="31" s="1"/>
  <c r="O12" i="31"/>
  <c r="P12" i="31" s="1"/>
  <c r="E12" i="31"/>
  <c r="F12" i="31" s="1"/>
  <c r="O11" i="31"/>
  <c r="P11" i="31" s="1"/>
  <c r="E11" i="31"/>
  <c r="F11" i="31" s="1"/>
  <c r="O10" i="31"/>
  <c r="P10" i="31" s="1"/>
  <c r="E10" i="31"/>
  <c r="F10" i="31" s="1"/>
  <c r="O9" i="31"/>
  <c r="P9" i="31" s="1"/>
  <c r="E9" i="31"/>
  <c r="F9" i="31" s="1"/>
  <c r="O8" i="31"/>
  <c r="P8" i="31" s="1"/>
  <c r="E8" i="31"/>
  <c r="F8" i="31" s="1"/>
  <c r="O7" i="31"/>
  <c r="P7" i="31" s="1"/>
  <c r="E7" i="31"/>
  <c r="F7" i="31" s="1"/>
  <c r="D6" i="31"/>
  <c r="C6" i="31"/>
  <c r="E6" i="31" s="1"/>
  <c r="F6" i="31" s="1"/>
  <c r="P425" i="31" l="1"/>
  <c r="P6" i="31"/>
  <c r="F488" i="31"/>
  <c r="P394" i="31"/>
  <c r="F437" i="31"/>
  <c r="F433" i="31"/>
  <c r="F425" i="31"/>
  <c r="F394" i="31"/>
  <c r="F409" i="31" s="1"/>
  <c r="P362" i="31"/>
  <c r="O65" i="10" l="1"/>
  <c r="P65" i="10" s="1"/>
  <c r="O64" i="10"/>
  <c r="P64" i="10" s="1"/>
  <c r="O63" i="10"/>
  <c r="P63" i="10" s="1"/>
  <c r="O62" i="10"/>
  <c r="P62" i="10" s="1"/>
  <c r="O61" i="10"/>
  <c r="P61" i="10" s="1"/>
  <c r="O60" i="10"/>
  <c r="P60" i="10" s="1"/>
  <c r="O59" i="10"/>
  <c r="P59" i="10" s="1"/>
  <c r="O58" i="10"/>
  <c r="P58" i="10" s="1"/>
  <c r="O57" i="10"/>
  <c r="P57" i="10" s="1"/>
  <c r="O56" i="10"/>
  <c r="P56" i="10" s="1"/>
  <c r="O55" i="10"/>
  <c r="P55" i="10" s="1"/>
  <c r="O54" i="10"/>
  <c r="P54" i="10" s="1"/>
  <c r="O53" i="10"/>
  <c r="P53" i="10" s="1"/>
  <c r="O52" i="10"/>
  <c r="P52" i="10" s="1"/>
  <c r="P51" i="10"/>
  <c r="O51" i="10"/>
  <c r="O50" i="10"/>
  <c r="P50" i="10" s="1"/>
  <c r="O49" i="10"/>
  <c r="P49" i="10" s="1"/>
  <c r="O48" i="10"/>
  <c r="P48" i="10" s="1"/>
  <c r="O47" i="10"/>
  <c r="P47" i="10" s="1"/>
  <c r="O46" i="10"/>
  <c r="P46" i="10" s="1"/>
  <c r="O45" i="10"/>
  <c r="P45" i="10" s="1"/>
  <c r="O44" i="10"/>
  <c r="P44" i="10" s="1"/>
  <c r="O43" i="10"/>
  <c r="P43" i="10" s="1"/>
  <c r="N42" i="10"/>
  <c r="M42" i="10"/>
  <c r="O42" i="10" s="1"/>
  <c r="P42" i="10" s="1"/>
  <c r="E65" i="10"/>
  <c r="F65" i="10" s="1"/>
  <c r="D65" i="10"/>
  <c r="E64" i="10"/>
  <c r="F64" i="10" s="1"/>
  <c r="D64" i="10"/>
  <c r="E63" i="10"/>
  <c r="F63" i="10" s="1"/>
  <c r="D63" i="10"/>
  <c r="E62" i="10"/>
  <c r="F62" i="10" s="1"/>
  <c r="D62" i="10"/>
  <c r="E61" i="10"/>
  <c r="F61" i="10" s="1"/>
  <c r="D61" i="10"/>
  <c r="E60" i="10"/>
  <c r="F60" i="10" s="1"/>
  <c r="D60" i="10"/>
  <c r="E59" i="10"/>
  <c r="F59" i="10" s="1"/>
  <c r="D59" i="10"/>
  <c r="E58" i="10"/>
  <c r="F58" i="10" s="1"/>
  <c r="D58" i="10"/>
  <c r="E57" i="10"/>
  <c r="F57" i="10" s="1"/>
  <c r="D57" i="10"/>
  <c r="E56" i="10"/>
  <c r="F56" i="10" s="1"/>
  <c r="D56" i="10"/>
  <c r="E55" i="10"/>
  <c r="F55" i="10" s="1"/>
  <c r="D55" i="10"/>
  <c r="F54" i="10"/>
  <c r="E54" i="10"/>
  <c r="D54" i="10"/>
  <c r="E53" i="10"/>
  <c r="F53" i="10" s="1"/>
  <c r="D53" i="10"/>
  <c r="E52" i="10"/>
  <c r="F52" i="10" s="1"/>
  <c r="D52" i="10"/>
  <c r="E51" i="10"/>
  <c r="F51" i="10" s="1"/>
  <c r="D51" i="10"/>
  <c r="E50" i="10"/>
  <c r="F50" i="10" s="1"/>
  <c r="D50" i="10"/>
  <c r="E49" i="10"/>
  <c r="F49" i="10" s="1"/>
  <c r="D49" i="10"/>
  <c r="E48" i="10"/>
  <c r="F48" i="10" s="1"/>
  <c r="D48" i="10"/>
  <c r="F47" i="10"/>
  <c r="E47" i="10"/>
  <c r="D47" i="10"/>
  <c r="E46" i="10"/>
  <c r="F46" i="10" s="1"/>
  <c r="D46" i="10"/>
  <c r="E45" i="10"/>
  <c r="F45" i="10" s="1"/>
  <c r="D45" i="10"/>
  <c r="E44" i="10"/>
  <c r="F44" i="10" s="1"/>
  <c r="D44" i="10"/>
  <c r="E43" i="10"/>
  <c r="F43" i="10" s="1"/>
  <c r="D43" i="10"/>
  <c r="D42" i="10"/>
  <c r="C42" i="10"/>
  <c r="E42" i="10" s="1"/>
  <c r="F42" i="10" s="1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C7" i="8"/>
  <c r="E57" i="8" s="1"/>
  <c r="P28" i="10"/>
  <c r="P25" i="10"/>
  <c r="P24" i="10"/>
  <c r="P20" i="10"/>
  <c r="P17" i="10"/>
  <c r="P16" i="10"/>
  <c r="P12" i="10"/>
  <c r="P9" i="10"/>
  <c r="P8" i="10"/>
  <c r="O8" i="10"/>
  <c r="M8" i="10"/>
  <c r="N8" i="10"/>
  <c r="N9" i="10"/>
  <c r="O9" i="10"/>
  <c r="N10" i="10"/>
  <c r="O10" i="10"/>
  <c r="P10" i="10" s="1"/>
  <c r="N11" i="10"/>
  <c r="O11" i="10"/>
  <c r="P11" i="10" s="1"/>
  <c r="N12" i="10"/>
  <c r="O12" i="10"/>
  <c r="N13" i="10"/>
  <c r="O13" i="10"/>
  <c r="P13" i="10" s="1"/>
  <c r="N14" i="10"/>
  <c r="O14" i="10"/>
  <c r="P14" i="10" s="1"/>
  <c r="N15" i="10"/>
  <c r="O15" i="10"/>
  <c r="P15" i="10" s="1"/>
  <c r="N16" i="10"/>
  <c r="O16" i="10"/>
  <c r="N17" i="10"/>
  <c r="O17" i="10"/>
  <c r="N18" i="10"/>
  <c r="O18" i="10"/>
  <c r="P18" i="10" s="1"/>
  <c r="N19" i="10"/>
  <c r="O19" i="10"/>
  <c r="P19" i="10" s="1"/>
  <c r="N20" i="10"/>
  <c r="O20" i="10"/>
  <c r="N21" i="10"/>
  <c r="O21" i="10"/>
  <c r="P21" i="10" s="1"/>
  <c r="N22" i="10"/>
  <c r="O22" i="10"/>
  <c r="P22" i="10" s="1"/>
  <c r="N23" i="10"/>
  <c r="O23" i="10"/>
  <c r="P23" i="10" s="1"/>
  <c r="N24" i="10"/>
  <c r="O24" i="10"/>
  <c r="N25" i="10"/>
  <c r="O25" i="10"/>
  <c r="N26" i="10"/>
  <c r="O26" i="10"/>
  <c r="P26" i="10" s="1"/>
  <c r="N27" i="10"/>
  <c r="O27" i="10"/>
  <c r="P27" i="10" s="1"/>
  <c r="N28" i="10"/>
  <c r="O28" i="10"/>
  <c r="N29" i="10"/>
  <c r="O29" i="10"/>
  <c r="P29" i="10" s="1"/>
  <c r="N30" i="10"/>
  <c r="O30" i="10"/>
  <c r="P30" i="10" s="1"/>
  <c r="N31" i="10"/>
  <c r="O31" i="10"/>
  <c r="P31" i="10" s="1"/>
  <c r="E31" i="10"/>
  <c r="F31" i="10" s="1"/>
  <c r="E30" i="10"/>
  <c r="F30" i="10" s="1"/>
  <c r="E29" i="10"/>
  <c r="F29" i="10" s="1"/>
  <c r="E28" i="10"/>
  <c r="F28" i="10" s="1"/>
  <c r="E27" i="10"/>
  <c r="F27" i="10" s="1"/>
  <c r="E26" i="10"/>
  <c r="F26" i="10" s="1"/>
  <c r="E25" i="10"/>
  <c r="F25" i="10" s="1"/>
  <c r="E24" i="10"/>
  <c r="F24" i="10" s="1"/>
  <c r="E23" i="10"/>
  <c r="F23" i="10" s="1"/>
  <c r="E22" i="10"/>
  <c r="F22" i="10" s="1"/>
  <c r="E21" i="10"/>
  <c r="F21" i="10" s="1"/>
  <c r="E20" i="10"/>
  <c r="F20" i="10" s="1"/>
  <c r="E19" i="10"/>
  <c r="F19" i="10" s="1"/>
  <c r="E18" i="10"/>
  <c r="F18" i="10" s="1"/>
  <c r="E17" i="10"/>
  <c r="F17" i="10" s="1"/>
  <c r="E16" i="10"/>
  <c r="F16" i="10" s="1"/>
  <c r="E15" i="10"/>
  <c r="F15" i="10" s="1"/>
  <c r="E14" i="10"/>
  <c r="F14" i="10" s="1"/>
  <c r="E13" i="10"/>
  <c r="F13" i="10" s="1"/>
  <c r="E12" i="10"/>
  <c r="F12" i="10" s="1"/>
  <c r="E11" i="10"/>
  <c r="F11" i="10" s="1"/>
  <c r="E10" i="10"/>
  <c r="F10" i="10" s="1"/>
  <c r="F9" i="10"/>
  <c r="E9" i="10"/>
  <c r="D8" i="10"/>
  <c r="C8" i="10"/>
  <c r="E8" i="10" s="1"/>
  <c r="F8" i="10" s="1"/>
  <c r="D50" i="2"/>
  <c r="E50" i="2" s="1"/>
  <c r="C50" i="2"/>
  <c r="D49" i="2"/>
  <c r="E49" i="2" s="1"/>
  <c r="C49" i="2"/>
  <c r="D48" i="2"/>
  <c r="E48" i="2" s="1"/>
  <c r="C48" i="2"/>
  <c r="E47" i="2"/>
  <c r="D47" i="2"/>
  <c r="C47" i="2"/>
  <c r="D46" i="2"/>
  <c r="E46" i="2" s="1"/>
  <c r="C46" i="2"/>
  <c r="D45" i="2"/>
  <c r="E45" i="2" s="1"/>
  <c r="C45" i="2"/>
  <c r="D44" i="2"/>
  <c r="E44" i="2" s="1"/>
  <c r="C44" i="2"/>
  <c r="E43" i="2"/>
  <c r="D43" i="2"/>
  <c r="C43" i="2"/>
  <c r="E42" i="2"/>
  <c r="D42" i="2"/>
  <c r="C42" i="2"/>
  <c r="D41" i="2"/>
  <c r="E41" i="2" s="1"/>
  <c r="C41" i="2"/>
  <c r="B41" i="2"/>
  <c r="E30" i="17"/>
  <c r="E31" i="17"/>
  <c r="E32" i="17"/>
  <c r="E33" i="17"/>
  <c r="E34" i="17"/>
  <c r="E35" i="17"/>
  <c r="E36" i="17"/>
  <c r="E37" i="17"/>
  <c r="E38" i="17"/>
  <c r="E39" i="17"/>
  <c r="E40" i="17"/>
  <c r="E41" i="17"/>
  <c r="D63" i="13"/>
  <c r="D62" i="13"/>
  <c r="D61" i="13"/>
  <c r="D60" i="13"/>
  <c r="D59" i="13"/>
  <c r="D58" i="13"/>
  <c r="D57" i="13"/>
  <c r="D56" i="13"/>
  <c r="D55" i="13"/>
  <c r="D54" i="13"/>
  <c r="D53" i="13"/>
  <c r="C52" i="13"/>
  <c r="B52" i="13"/>
  <c r="D52" i="13" s="1"/>
  <c r="D17" i="13"/>
  <c r="D16" i="13"/>
  <c r="D15" i="13"/>
  <c r="D14" i="13"/>
  <c r="D13" i="13"/>
  <c r="D12" i="13"/>
  <c r="D11" i="13"/>
  <c r="D10" i="13"/>
  <c r="D9" i="13"/>
  <c r="D8" i="13"/>
  <c r="D7" i="13"/>
  <c r="C6" i="13"/>
  <c r="B6" i="13"/>
  <c r="D6" i="13" s="1"/>
  <c r="D98" i="24"/>
  <c r="E98" i="24" s="1"/>
  <c r="D97" i="24"/>
  <c r="E97" i="24" s="1"/>
  <c r="C96" i="24"/>
  <c r="B96" i="24"/>
  <c r="D96" i="24" s="1"/>
  <c r="E167" i="8"/>
  <c r="E171" i="8"/>
  <c r="E175" i="8"/>
  <c r="E180" i="8"/>
  <c r="D182" i="8"/>
  <c r="E182" i="8" s="1"/>
  <c r="D181" i="8"/>
  <c r="E181" i="8" s="1"/>
  <c r="D180" i="8"/>
  <c r="D179" i="8"/>
  <c r="E179" i="8" s="1"/>
  <c r="D178" i="8"/>
  <c r="E178" i="8" s="1"/>
  <c r="D177" i="8"/>
  <c r="E177" i="8" s="1"/>
  <c r="D176" i="8"/>
  <c r="E176" i="8" s="1"/>
  <c r="D175" i="8"/>
  <c r="D174" i="8"/>
  <c r="E174" i="8" s="1"/>
  <c r="D173" i="8"/>
  <c r="E173" i="8" s="1"/>
  <c r="D172" i="8"/>
  <c r="E172" i="8" s="1"/>
  <c r="D171" i="8"/>
  <c r="D170" i="8"/>
  <c r="E170" i="8" s="1"/>
  <c r="D169" i="8"/>
  <c r="E169" i="8" s="1"/>
  <c r="D168" i="8"/>
  <c r="E168" i="8" s="1"/>
  <c r="D167" i="8"/>
  <c r="D166" i="8"/>
  <c r="E166" i="8" s="1"/>
  <c r="D165" i="8"/>
  <c r="E165" i="8" s="1"/>
  <c r="D164" i="8"/>
  <c r="E164" i="8" s="1"/>
  <c r="D163" i="8"/>
  <c r="E163" i="8" s="1"/>
  <c r="D162" i="8"/>
  <c r="E162" i="8" s="1"/>
  <c r="D161" i="8"/>
  <c r="E161" i="8" s="1"/>
  <c r="D160" i="8"/>
  <c r="E160" i="8" s="1"/>
  <c r="C159" i="8"/>
  <c r="B159" i="8"/>
  <c r="D159" i="8" s="1"/>
  <c r="E159" i="8" s="1"/>
  <c r="E132" i="8"/>
  <c r="D132" i="8"/>
  <c r="C132" i="8"/>
  <c r="D131" i="8"/>
  <c r="E131" i="8" s="1"/>
  <c r="C131" i="8"/>
  <c r="D130" i="8"/>
  <c r="E130" i="8" s="1"/>
  <c r="C130" i="8"/>
  <c r="D129" i="8"/>
  <c r="E129" i="8" s="1"/>
  <c r="C129" i="8"/>
  <c r="D128" i="8"/>
  <c r="E128" i="8" s="1"/>
  <c r="C128" i="8"/>
  <c r="E127" i="8"/>
  <c r="D127" i="8"/>
  <c r="C127" i="8"/>
  <c r="D126" i="8"/>
  <c r="E126" i="8" s="1"/>
  <c r="C126" i="8"/>
  <c r="D125" i="8"/>
  <c r="E125" i="8" s="1"/>
  <c r="C125" i="8"/>
  <c r="E124" i="8"/>
  <c r="D124" i="8"/>
  <c r="C124" i="8"/>
  <c r="D123" i="8"/>
  <c r="E123" i="8" s="1"/>
  <c r="C123" i="8"/>
  <c r="D122" i="8"/>
  <c r="E122" i="8" s="1"/>
  <c r="C122" i="8"/>
  <c r="D121" i="8"/>
  <c r="E121" i="8" s="1"/>
  <c r="C121" i="8"/>
  <c r="E120" i="8"/>
  <c r="D120" i="8"/>
  <c r="C120" i="8"/>
  <c r="D119" i="8"/>
  <c r="E119" i="8" s="1"/>
  <c r="C119" i="8"/>
  <c r="D118" i="8"/>
  <c r="E118" i="8" s="1"/>
  <c r="C118" i="8"/>
  <c r="E117" i="8"/>
  <c r="D117" i="8"/>
  <c r="C117" i="8"/>
  <c r="D116" i="8"/>
  <c r="E116" i="8" s="1"/>
  <c r="C116" i="8"/>
  <c r="D115" i="8"/>
  <c r="E115" i="8" s="1"/>
  <c r="C115" i="8"/>
  <c r="D114" i="8"/>
  <c r="E114" i="8" s="1"/>
  <c r="C114" i="8"/>
  <c r="D113" i="8"/>
  <c r="E113" i="8" s="1"/>
  <c r="C113" i="8"/>
  <c r="D112" i="8"/>
  <c r="E112" i="8" s="1"/>
  <c r="C112" i="8"/>
  <c r="E111" i="8"/>
  <c r="D111" i="8"/>
  <c r="C111" i="8"/>
  <c r="D110" i="8"/>
  <c r="E110" i="8" s="1"/>
  <c r="C110" i="8"/>
  <c r="C109" i="8"/>
  <c r="B109" i="8"/>
  <c r="D109" i="8" s="1"/>
  <c r="E109" i="8" s="1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C57" i="8"/>
  <c r="B57" i="8"/>
  <c r="D57" i="8" s="1"/>
  <c r="E48" i="12"/>
  <c r="E49" i="12"/>
  <c r="E50" i="12"/>
  <c r="E51" i="12"/>
  <c r="E52" i="12"/>
  <c r="E53" i="12"/>
  <c r="E63" i="12"/>
  <c r="E64" i="12"/>
  <c r="E65" i="12"/>
  <c r="E66" i="12"/>
  <c r="E67" i="12"/>
  <c r="E68" i="12"/>
  <c r="D68" i="12"/>
  <c r="D67" i="12"/>
  <c r="D66" i="12"/>
  <c r="D65" i="12"/>
  <c r="D64" i="12"/>
  <c r="C63" i="12"/>
  <c r="B63" i="12"/>
  <c r="D63" i="12" s="1"/>
  <c r="D53" i="12"/>
  <c r="D52" i="12"/>
  <c r="D51" i="12"/>
  <c r="D50" i="12"/>
  <c r="D49" i="12"/>
  <c r="C48" i="12"/>
  <c r="B48" i="12"/>
  <c r="D48" i="12" s="1"/>
  <c r="D41" i="12"/>
  <c r="E41" i="12" s="1"/>
  <c r="C41" i="12"/>
  <c r="D40" i="12"/>
  <c r="E40" i="12" s="1"/>
  <c r="C40" i="12"/>
  <c r="D39" i="12"/>
  <c r="E39" i="12" s="1"/>
  <c r="C39" i="12"/>
  <c r="D38" i="12"/>
  <c r="E38" i="12" s="1"/>
  <c r="C38" i="12"/>
  <c r="E37" i="12"/>
  <c r="D37" i="12"/>
  <c r="D36" i="12"/>
  <c r="E36" i="12" s="1"/>
  <c r="C36" i="12"/>
  <c r="B36" i="12"/>
  <c r="E21" i="12"/>
  <c r="E22" i="12"/>
  <c r="E23" i="12"/>
  <c r="E24" i="12"/>
  <c r="E25" i="12"/>
  <c r="E26" i="12"/>
  <c r="D26" i="12"/>
  <c r="D25" i="12"/>
  <c r="D24" i="12"/>
  <c r="D23" i="12"/>
  <c r="D22" i="12"/>
  <c r="C21" i="12"/>
  <c r="B21" i="12"/>
  <c r="D21" i="12" s="1"/>
  <c r="D111" i="24"/>
  <c r="E111" i="24" s="1"/>
  <c r="D110" i="24"/>
  <c r="E110" i="24" s="1"/>
  <c r="C109" i="24"/>
  <c r="B109" i="24"/>
  <c r="D109" i="24" s="1"/>
  <c r="D76" i="24"/>
  <c r="E76" i="24" s="1"/>
  <c r="D75" i="24"/>
  <c r="E75" i="24" s="1"/>
  <c r="C74" i="24"/>
  <c r="E74" i="24" s="1"/>
  <c r="B74" i="24"/>
  <c r="D74" i="24" s="1"/>
  <c r="D64" i="24"/>
  <c r="D63" i="24"/>
  <c r="E63" i="24" s="1"/>
  <c r="C62" i="24"/>
  <c r="B62" i="24"/>
  <c r="D62" i="24" s="1"/>
  <c r="E62" i="24" s="1"/>
  <c r="D52" i="24"/>
  <c r="D51" i="24"/>
  <c r="C50" i="24"/>
  <c r="B50" i="24"/>
  <c r="D50" i="24" s="1"/>
  <c r="D109" i="14"/>
  <c r="C109" i="14"/>
  <c r="D108" i="14"/>
  <c r="D107" i="14"/>
  <c r="D106" i="14"/>
  <c r="C106" i="14"/>
  <c r="D105" i="14"/>
  <c r="E105" i="14" s="1"/>
  <c r="D104" i="14"/>
  <c r="D103" i="14"/>
  <c r="D102" i="14"/>
  <c r="C102" i="14"/>
  <c r="D101" i="14"/>
  <c r="D100" i="14"/>
  <c r="D99" i="14"/>
  <c r="C98" i="14"/>
  <c r="B98" i="14"/>
  <c r="D98" i="14" s="1"/>
  <c r="B53" i="14"/>
  <c r="D53" i="14" s="1"/>
  <c r="C53" i="14"/>
  <c r="D54" i="14"/>
  <c r="D55" i="14"/>
  <c r="E55" i="14"/>
  <c r="C56" i="14"/>
  <c r="D56" i="14"/>
  <c r="D57" i="14"/>
  <c r="D58" i="14"/>
  <c r="E58" i="14" s="1"/>
  <c r="C59" i="14"/>
  <c r="D59" i="14"/>
  <c r="D60" i="14"/>
  <c r="D61" i="14"/>
  <c r="E61" i="14"/>
  <c r="D62" i="14"/>
  <c r="D63" i="14"/>
  <c r="D64" i="14"/>
  <c r="E64" i="14"/>
  <c r="B77" i="14"/>
  <c r="D77" i="14" s="1"/>
  <c r="C77" i="14"/>
  <c r="D78" i="14"/>
  <c r="D79" i="14"/>
  <c r="E79" i="14" s="1"/>
  <c r="C80" i="14"/>
  <c r="D80" i="14"/>
  <c r="D81" i="14"/>
  <c r="D82" i="14"/>
  <c r="E82" i="14"/>
  <c r="D83" i="14"/>
  <c r="D84" i="14"/>
  <c r="D85" i="14"/>
  <c r="E85" i="14"/>
  <c r="D86" i="14"/>
  <c r="D87" i="14"/>
  <c r="D88" i="14"/>
  <c r="E88" i="14"/>
  <c r="C42" i="18"/>
  <c r="B42" i="18"/>
  <c r="D42" i="18" s="1"/>
  <c r="E42" i="18" s="1"/>
  <c r="C35" i="18"/>
  <c r="B35" i="18"/>
  <c r="D35" i="18" s="1"/>
  <c r="C26" i="18"/>
  <c r="B26" i="18"/>
  <c r="D26" i="18" s="1"/>
  <c r="B42" i="21"/>
  <c r="D42" i="21" s="1"/>
  <c r="E42" i="21" s="1"/>
  <c r="C42" i="21"/>
  <c r="C43" i="21"/>
  <c r="D43" i="21"/>
  <c r="D44" i="21"/>
  <c r="D45" i="21"/>
  <c r="C46" i="21"/>
  <c r="D46" i="21"/>
  <c r="D47" i="21"/>
  <c r="D48" i="21"/>
  <c r="C49" i="21"/>
  <c r="D49" i="21"/>
  <c r="D50" i="21"/>
  <c r="C51" i="21"/>
  <c r="D51" i="21"/>
  <c r="D34" i="21"/>
  <c r="E34" i="21" s="1"/>
  <c r="D33" i="21"/>
  <c r="D32" i="21"/>
  <c r="E31" i="21"/>
  <c r="D31" i="21"/>
  <c r="C31" i="21"/>
  <c r="D30" i="21"/>
  <c r="D29" i="21"/>
  <c r="D28" i="21"/>
  <c r="C28" i="21"/>
  <c r="D27" i="21"/>
  <c r="D26" i="21"/>
  <c r="C25" i="21"/>
  <c r="B25" i="21"/>
  <c r="D25" i="21" s="1"/>
  <c r="E25" i="21" s="1"/>
  <c r="D52" i="23"/>
  <c r="C52" i="23"/>
  <c r="D51" i="23"/>
  <c r="C51" i="23"/>
  <c r="D50" i="23"/>
  <c r="E50" i="23" s="1"/>
  <c r="C50" i="23"/>
  <c r="D49" i="23"/>
  <c r="D48" i="23"/>
  <c r="E48" i="23" s="1"/>
  <c r="D47" i="23"/>
  <c r="E47" i="23" s="1"/>
  <c r="C47" i="23"/>
  <c r="D46" i="23"/>
  <c r="E46" i="23" s="1"/>
  <c r="D45" i="23"/>
  <c r="C45" i="23"/>
  <c r="D44" i="23"/>
  <c r="C44" i="23"/>
  <c r="D43" i="23"/>
  <c r="E43" i="23" s="1"/>
  <c r="C43" i="23"/>
  <c r="B43" i="23"/>
  <c r="D17" i="28"/>
  <c r="D16" i="28"/>
  <c r="D15" i="28"/>
  <c r="D14" i="28"/>
  <c r="D13" i="28"/>
  <c r="D12" i="28"/>
  <c r="D11" i="28"/>
  <c r="D10" i="28"/>
  <c r="D9" i="28"/>
  <c r="D8" i="28"/>
  <c r="D7" i="28"/>
  <c r="C6" i="28"/>
  <c r="B6" i="28"/>
  <c r="D6" i="28" s="1"/>
  <c r="D38" i="13"/>
  <c r="D37" i="13"/>
  <c r="D36" i="13"/>
  <c r="D35" i="13"/>
  <c r="D34" i="13"/>
  <c r="D33" i="13"/>
  <c r="D32" i="13"/>
  <c r="D31" i="13"/>
  <c r="D30" i="13"/>
  <c r="D29" i="13"/>
  <c r="D28" i="13"/>
  <c r="C27" i="13"/>
  <c r="B27" i="13"/>
  <c r="D27" i="13" s="1"/>
  <c r="N50" i="2"/>
  <c r="O50" i="2" s="1"/>
  <c r="M50" i="2"/>
  <c r="N49" i="2"/>
  <c r="O49" i="2" s="1"/>
  <c r="M49" i="2"/>
  <c r="N48" i="2"/>
  <c r="O48" i="2" s="1"/>
  <c r="M48" i="2"/>
  <c r="N47" i="2"/>
  <c r="O47" i="2" s="1"/>
  <c r="M47" i="2"/>
  <c r="O46" i="2"/>
  <c r="N46" i="2"/>
  <c r="M46" i="2"/>
  <c r="N45" i="2"/>
  <c r="O45" i="2" s="1"/>
  <c r="M45" i="2"/>
  <c r="N44" i="2"/>
  <c r="O44" i="2" s="1"/>
  <c r="M44" i="2"/>
  <c r="N43" i="2"/>
  <c r="O43" i="2" s="1"/>
  <c r="M43" i="2"/>
  <c r="O42" i="2"/>
  <c r="N42" i="2"/>
  <c r="M42" i="2"/>
  <c r="N41" i="2"/>
  <c r="O41" i="2" s="1"/>
  <c r="M41" i="2"/>
  <c r="L41" i="2"/>
  <c r="D10" i="27"/>
  <c r="E10" i="27" s="1"/>
  <c r="C10" i="27"/>
  <c r="D9" i="27"/>
  <c r="E9" i="27" s="1"/>
  <c r="C9" i="27"/>
  <c r="E8" i="27"/>
  <c r="D8" i="27"/>
  <c r="C8" i="27"/>
  <c r="D7" i="27"/>
  <c r="E7" i="27" s="1"/>
  <c r="D6" i="27"/>
  <c r="E6" i="27" s="1"/>
  <c r="C6" i="27"/>
  <c r="B6" i="27"/>
  <c r="D38" i="15"/>
  <c r="C38" i="15"/>
  <c r="D37" i="15"/>
  <c r="E37" i="15" s="1"/>
  <c r="D36" i="15"/>
  <c r="D35" i="15"/>
  <c r="D34" i="15"/>
  <c r="E34" i="15" s="1"/>
  <c r="C34" i="15"/>
  <c r="D33" i="15"/>
  <c r="D32" i="15"/>
  <c r="D31" i="15"/>
  <c r="C31" i="15"/>
  <c r="D30" i="15"/>
  <c r="D29" i="15"/>
  <c r="D28" i="15"/>
  <c r="C27" i="15"/>
  <c r="B27" i="15"/>
  <c r="D27" i="15" s="1"/>
  <c r="E27" i="15" s="1"/>
  <c r="C17" i="18"/>
  <c r="B17" i="18"/>
  <c r="D17" i="18" s="1"/>
  <c r="C6" i="26"/>
  <c r="B6" i="26"/>
  <c r="D6" i="26" s="1"/>
  <c r="E6" i="26" s="1"/>
  <c r="D35" i="24"/>
  <c r="D34" i="24"/>
  <c r="E34" i="24" s="1"/>
  <c r="C33" i="24"/>
  <c r="B33" i="24"/>
  <c r="D33" i="24" s="1"/>
  <c r="E33" i="24" s="1"/>
  <c r="D22" i="24"/>
  <c r="D21" i="24"/>
  <c r="C21" i="24"/>
  <c r="C20" i="24"/>
  <c r="B20" i="24"/>
  <c r="D20" i="24" s="1"/>
  <c r="E20" i="24" s="1"/>
  <c r="N15" i="2"/>
  <c r="O15" i="2" s="1"/>
  <c r="M15" i="2"/>
  <c r="N14" i="2"/>
  <c r="O14" i="2" s="1"/>
  <c r="M14" i="2"/>
  <c r="O13" i="2"/>
  <c r="N13" i="2"/>
  <c r="M13" i="2"/>
  <c r="N12" i="2"/>
  <c r="O12" i="2" s="1"/>
  <c r="M12" i="2"/>
  <c r="N11" i="2"/>
  <c r="O11" i="2" s="1"/>
  <c r="M11" i="2"/>
  <c r="N10" i="2"/>
  <c r="O10" i="2" s="1"/>
  <c r="M10" i="2"/>
  <c r="N9" i="2"/>
  <c r="O9" i="2" s="1"/>
  <c r="M9" i="2"/>
  <c r="N8" i="2"/>
  <c r="O8" i="2" s="1"/>
  <c r="M8" i="2"/>
  <c r="N7" i="2"/>
  <c r="O7" i="2" s="1"/>
  <c r="M7" i="2"/>
  <c r="M6" i="2"/>
  <c r="L6" i="2"/>
  <c r="N6" i="2" s="1"/>
  <c r="O6" i="2" s="1"/>
  <c r="D15" i="25"/>
  <c r="D14" i="25"/>
  <c r="D13" i="25"/>
  <c r="D12" i="25"/>
  <c r="D11" i="25"/>
  <c r="D10" i="25"/>
  <c r="D9" i="25"/>
  <c r="D8" i="25"/>
  <c r="D7" i="25"/>
  <c r="B6" i="25"/>
  <c r="D6" i="25" s="1"/>
  <c r="B51" i="17"/>
  <c r="D51" i="17" s="1"/>
  <c r="E51" i="17" s="1"/>
  <c r="C51" i="17"/>
  <c r="C52" i="17"/>
  <c r="D52" i="17"/>
  <c r="E52" i="17" s="1"/>
  <c r="C53" i="17"/>
  <c r="D53" i="17"/>
  <c r="E53" i="17"/>
  <c r="C54" i="17"/>
  <c r="D54" i="17"/>
  <c r="E54" i="17"/>
  <c r="C55" i="17"/>
  <c r="D55" i="17"/>
  <c r="E55" i="17"/>
  <c r="C56" i="17"/>
  <c r="D56" i="17"/>
  <c r="E56" i="17" s="1"/>
  <c r="C57" i="17"/>
  <c r="D57" i="17"/>
  <c r="E57" i="17"/>
  <c r="C58" i="17"/>
  <c r="D58" i="17"/>
  <c r="E58" i="17"/>
  <c r="C59" i="17"/>
  <c r="D59" i="17"/>
  <c r="E59" i="17"/>
  <c r="C60" i="17"/>
  <c r="D60" i="17"/>
  <c r="E60" i="17" s="1"/>
  <c r="C61" i="17"/>
  <c r="D61" i="17"/>
  <c r="E61" i="17"/>
  <c r="C62" i="17"/>
  <c r="D62" i="17"/>
  <c r="E62" i="17"/>
  <c r="D9" i="24"/>
  <c r="D8" i="24"/>
  <c r="C7" i="24"/>
  <c r="C52" i="24" s="1"/>
  <c r="B7" i="24"/>
  <c r="D7" i="24" s="1"/>
  <c r="D41" i="17"/>
  <c r="C41" i="17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31" i="17"/>
  <c r="C31" i="17"/>
  <c r="C30" i="17"/>
  <c r="B30" i="17"/>
  <c r="D30" i="17" s="1"/>
  <c r="D35" i="23"/>
  <c r="D34" i="23"/>
  <c r="D33" i="23"/>
  <c r="D32" i="23"/>
  <c r="D31" i="23"/>
  <c r="D30" i="23"/>
  <c r="D29" i="23"/>
  <c r="D28" i="23"/>
  <c r="D27" i="23"/>
  <c r="C26" i="23"/>
  <c r="B26" i="23"/>
  <c r="D26" i="23" s="1"/>
  <c r="D15" i="23"/>
  <c r="D14" i="23"/>
  <c r="D13" i="23"/>
  <c r="D12" i="23"/>
  <c r="D11" i="23"/>
  <c r="D10" i="23"/>
  <c r="D9" i="23"/>
  <c r="D8" i="23"/>
  <c r="D7" i="23"/>
  <c r="C6" i="23"/>
  <c r="C35" i="23" s="1"/>
  <c r="B6" i="23"/>
  <c r="D6" i="23" s="1"/>
  <c r="D35" i="22"/>
  <c r="D34" i="22"/>
  <c r="D33" i="22"/>
  <c r="D32" i="22"/>
  <c r="D31" i="22"/>
  <c r="D30" i="22"/>
  <c r="D29" i="22"/>
  <c r="D28" i="22"/>
  <c r="D27" i="22"/>
  <c r="B26" i="22"/>
  <c r="D26" i="22" s="1"/>
  <c r="D15" i="22"/>
  <c r="D14" i="22"/>
  <c r="D13" i="22"/>
  <c r="D12" i="22"/>
  <c r="D11" i="22"/>
  <c r="D10" i="22"/>
  <c r="D9" i="22"/>
  <c r="D8" i="22"/>
  <c r="D7" i="22"/>
  <c r="B6" i="22"/>
  <c r="D6" i="22" s="1"/>
  <c r="D15" i="21"/>
  <c r="D14" i="21"/>
  <c r="D13" i="21"/>
  <c r="E12" i="21"/>
  <c r="D12" i="21"/>
  <c r="D11" i="21"/>
  <c r="D10" i="21"/>
  <c r="D9" i="21"/>
  <c r="D8" i="21"/>
  <c r="D7" i="21"/>
  <c r="D6" i="21"/>
  <c r="C6" i="21"/>
  <c r="C15" i="21" s="1"/>
  <c r="B6" i="21"/>
  <c r="C6" i="20"/>
  <c r="B6" i="20"/>
  <c r="D6" i="20" s="1"/>
  <c r="E6" i="20" s="1"/>
  <c r="C19" i="19"/>
  <c r="B19" i="19"/>
  <c r="D19" i="19" s="1"/>
  <c r="E19" i="19" s="1"/>
  <c r="C7" i="19"/>
  <c r="B7" i="19"/>
  <c r="D7" i="19" s="1"/>
  <c r="C7" i="18"/>
  <c r="B7" i="18"/>
  <c r="D7" i="18" s="1"/>
  <c r="D40" i="15"/>
  <c r="D39" i="15"/>
  <c r="D42" i="14"/>
  <c r="E42" i="14" s="1"/>
  <c r="C42" i="14"/>
  <c r="D41" i="14"/>
  <c r="D40" i="14"/>
  <c r="D39" i="14"/>
  <c r="C39" i="14"/>
  <c r="D38" i="14"/>
  <c r="E38" i="14" s="1"/>
  <c r="D37" i="14"/>
  <c r="D36" i="14"/>
  <c r="D35" i="14"/>
  <c r="C35" i="14"/>
  <c r="D34" i="14"/>
  <c r="D33" i="14"/>
  <c r="D32" i="14"/>
  <c r="C31" i="14"/>
  <c r="B31" i="14"/>
  <c r="D31" i="14" s="1"/>
  <c r="E31" i="14" s="1"/>
  <c r="D18" i="17"/>
  <c r="D17" i="17"/>
  <c r="D16" i="17"/>
  <c r="D15" i="17"/>
  <c r="E15" i="17" s="1"/>
  <c r="D14" i="17"/>
  <c r="D13" i="17"/>
  <c r="D12" i="17"/>
  <c r="E12" i="17" s="1"/>
  <c r="D11" i="17"/>
  <c r="D10" i="17"/>
  <c r="C10" i="17"/>
  <c r="D9" i="17"/>
  <c r="D8" i="17"/>
  <c r="C7" i="17"/>
  <c r="B7" i="17"/>
  <c r="D7" i="17" s="1"/>
  <c r="E7" i="17" s="1"/>
  <c r="D8" i="16"/>
  <c r="C7" i="16"/>
  <c r="B7" i="16"/>
  <c r="D7" i="16" s="1"/>
  <c r="D17" i="15"/>
  <c r="D16" i="15"/>
  <c r="D15" i="15"/>
  <c r="D14" i="15"/>
  <c r="D13" i="15"/>
  <c r="D12" i="15"/>
  <c r="D11" i="15"/>
  <c r="D10" i="15"/>
  <c r="D9" i="15"/>
  <c r="D8" i="15"/>
  <c r="D7" i="15"/>
  <c r="C6" i="15"/>
  <c r="C17" i="15" s="1"/>
  <c r="B6" i="15"/>
  <c r="D6" i="15" s="1"/>
  <c r="E6" i="15" s="1"/>
  <c r="D11" i="7"/>
  <c r="E11" i="7" s="1"/>
  <c r="C11" i="7"/>
  <c r="D10" i="7"/>
  <c r="E10" i="7" s="1"/>
  <c r="C10" i="7"/>
  <c r="D9" i="7"/>
  <c r="E9" i="7" s="1"/>
  <c r="C9" i="7"/>
  <c r="D8" i="7"/>
  <c r="E8" i="7" s="1"/>
  <c r="C8" i="7"/>
  <c r="D7" i="7"/>
  <c r="E7" i="7" s="1"/>
  <c r="C6" i="7"/>
  <c r="B6" i="7"/>
  <c r="D6" i="7" s="1"/>
  <c r="E6" i="7" s="1"/>
  <c r="C32" i="14" l="1"/>
  <c r="E35" i="14"/>
  <c r="C88" i="14"/>
  <c r="C85" i="14"/>
  <c r="C82" i="14"/>
  <c r="C79" i="14"/>
  <c r="C64" i="14"/>
  <c r="C61" i="14"/>
  <c r="C58" i="14"/>
  <c r="C99" i="14"/>
  <c r="E102" i="14"/>
  <c r="E39" i="14"/>
  <c r="E81" i="14"/>
  <c r="E78" i="14"/>
  <c r="E63" i="14"/>
  <c r="E60" i="14"/>
  <c r="E57" i="14"/>
  <c r="C55" i="14"/>
  <c r="E99" i="14"/>
  <c r="C103" i="14"/>
  <c r="E106" i="14"/>
  <c r="E32" i="14"/>
  <c r="C33" i="14"/>
  <c r="E36" i="14"/>
  <c r="C40" i="14"/>
  <c r="C87" i="14"/>
  <c r="E54" i="14"/>
  <c r="C100" i="14"/>
  <c r="E103" i="14"/>
  <c r="C107" i="14"/>
  <c r="E84" i="14"/>
  <c r="E33" i="14"/>
  <c r="C37" i="14"/>
  <c r="E40" i="14"/>
  <c r="E86" i="14"/>
  <c r="C84" i="14"/>
  <c r="C81" i="14"/>
  <c r="C78" i="14"/>
  <c r="C63" i="14"/>
  <c r="C60" i="14"/>
  <c r="C57" i="14"/>
  <c r="C54" i="14"/>
  <c r="E100" i="14"/>
  <c r="C104" i="14"/>
  <c r="E107" i="14"/>
  <c r="C36" i="14"/>
  <c r="E87" i="14"/>
  <c r="C34" i="14"/>
  <c r="E37" i="14"/>
  <c r="C41" i="14"/>
  <c r="E83" i="14"/>
  <c r="E80" i="14"/>
  <c r="E62" i="14"/>
  <c r="E59" i="14"/>
  <c r="E56" i="14"/>
  <c r="C101" i="14"/>
  <c r="E104" i="14"/>
  <c r="C108" i="14"/>
  <c r="E34" i="14"/>
  <c r="C38" i="14"/>
  <c r="E41" i="14"/>
  <c r="C86" i="14"/>
  <c r="C83" i="14"/>
  <c r="E77" i="14"/>
  <c r="C62" i="14"/>
  <c r="E53" i="14"/>
  <c r="E101" i="14"/>
  <c r="C105" i="14"/>
  <c r="E108" i="14"/>
  <c r="E98" i="14" a="1"/>
  <c r="E98" i="14" s="1"/>
  <c r="E30" i="15"/>
  <c r="E33" i="15"/>
  <c r="C37" i="15"/>
  <c r="E13" i="15"/>
  <c r="C28" i="15"/>
  <c r="E31" i="15"/>
  <c r="C35" i="15"/>
  <c r="E38" i="15"/>
  <c r="E40" i="15"/>
  <c r="E28" i="15"/>
  <c r="C32" i="15"/>
  <c r="C29" i="15"/>
  <c r="E32" i="15"/>
  <c r="E35" i="15"/>
  <c r="C8" i="15"/>
  <c r="E29" i="15"/>
  <c r="C33" i="15"/>
  <c r="C36" i="15"/>
  <c r="C30" i="15"/>
  <c r="E36" i="15"/>
  <c r="E109" i="14"/>
  <c r="E28" i="21"/>
  <c r="C32" i="21"/>
  <c r="E50" i="21"/>
  <c r="C48" i="21"/>
  <c r="C45" i="21"/>
  <c r="C29" i="21"/>
  <c r="E32" i="21"/>
  <c r="E47" i="21"/>
  <c r="E44" i="21"/>
  <c r="C26" i="21"/>
  <c r="E29" i="21"/>
  <c r="C33" i="21"/>
  <c r="C50" i="21"/>
  <c r="C47" i="21"/>
  <c r="C10" i="21"/>
  <c r="E26" i="21"/>
  <c r="C30" i="21"/>
  <c r="E33" i="21"/>
  <c r="E49" i="21"/>
  <c r="E46" i="21"/>
  <c r="C44" i="21"/>
  <c r="C27" i="21"/>
  <c r="E30" i="21"/>
  <c r="C34" i="21"/>
  <c r="E43" i="21"/>
  <c r="E27" i="21"/>
  <c r="E51" i="21"/>
  <c r="E48" i="21"/>
  <c r="E45" i="21"/>
  <c r="E44" i="23"/>
  <c r="C48" i="23"/>
  <c r="E51" i="23"/>
  <c r="C49" i="23"/>
  <c r="E52" i="23"/>
  <c r="E45" i="23"/>
  <c r="C46" i="23"/>
  <c r="E49" i="23"/>
  <c r="C34" i="24"/>
  <c r="E50" i="24"/>
  <c r="C63" i="24"/>
  <c r="E21" i="24"/>
  <c r="C35" i="24"/>
  <c r="C51" i="24"/>
  <c r="C64" i="24"/>
  <c r="C22" i="24"/>
  <c r="E35" i="24"/>
  <c r="E51" i="24"/>
  <c r="E64" i="24"/>
  <c r="E22" i="24"/>
  <c r="E52" i="24"/>
  <c r="E109" i="24"/>
  <c r="E96" i="24"/>
  <c r="E17" i="18"/>
  <c r="E26" i="18"/>
  <c r="C29" i="23"/>
  <c r="C32" i="23"/>
  <c r="E32" i="23"/>
  <c r="E31" i="23"/>
  <c r="E29" i="23"/>
  <c r="C30" i="23"/>
  <c r="E33" i="23"/>
  <c r="E35" i="23"/>
  <c r="E26" i="23"/>
  <c r="C27" i="23"/>
  <c r="C34" i="23"/>
  <c r="E28" i="23"/>
  <c r="E27" i="23"/>
  <c r="E30" i="23"/>
  <c r="E34" i="23"/>
  <c r="C33" i="23"/>
  <c r="C28" i="23"/>
  <c r="C31" i="23"/>
  <c r="E9" i="15"/>
  <c r="C39" i="15"/>
  <c r="C10" i="15"/>
  <c r="E39" i="15"/>
  <c r="E17" i="15"/>
  <c r="C40" i="15"/>
  <c r="C12" i="15"/>
  <c r="E12" i="15"/>
  <c r="E9" i="24"/>
  <c r="E7" i="24"/>
  <c r="C8" i="24"/>
  <c r="E8" i="24"/>
  <c r="C9" i="24"/>
  <c r="E15" i="23"/>
  <c r="C10" i="23"/>
  <c r="E12" i="23"/>
  <c r="E7" i="23"/>
  <c r="C8" i="23"/>
  <c r="E10" i="23"/>
  <c r="C11" i="23"/>
  <c r="E13" i="23"/>
  <c r="E11" i="23"/>
  <c r="E6" i="23"/>
  <c r="C12" i="23"/>
  <c r="E14" i="23"/>
  <c r="E8" i="23"/>
  <c r="C14" i="23"/>
  <c r="C9" i="23"/>
  <c r="C7" i="23"/>
  <c r="E9" i="23"/>
  <c r="C15" i="23"/>
  <c r="C13" i="23"/>
  <c r="E7" i="21"/>
  <c r="C13" i="21"/>
  <c r="E15" i="21"/>
  <c r="C8" i="21"/>
  <c r="E10" i="21"/>
  <c r="C11" i="21"/>
  <c r="E13" i="21"/>
  <c r="E11" i="21"/>
  <c r="E6" i="21"/>
  <c r="C12" i="21"/>
  <c r="E14" i="21"/>
  <c r="E8" i="21"/>
  <c r="C14" i="21"/>
  <c r="C9" i="21"/>
  <c r="C7" i="21"/>
  <c r="E9" i="21"/>
  <c r="E7" i="19"/>
  <c r="E7" i="18"/>
  <c r="E18" i="17"/>
  <c r="E16" i="17"/>
  <c r="C11" i="17"/>
  <c r="C17" i="17"/>
  <c r="C13" i="17"/>
  <c r="C14" i="17"/>
  <c r="E17" i="17"/>
  <c r="E8" i="17"/>
  <c r="E11" i="17"/>
  <c r="C18" i="17"/>
  <c r="C9" i="17"/>
  <c r="E9" i="17"/>
  <c r="C8" i="17"/>
  <c r="E14" i="17"/>
  <c r="C16" i="17"/>
  <c r="E13" i="17"/>
  <c r="C15" i="17"/>
  <c r="E10" i="17"/>
  <c r="C12" i="17"/>
  <c r="E8" i="16"/>
  <c r="E7" i="16"/>
  <c r="C8" i="16"/>
  <c r="E14" i="15"/>
  <c r="E10" i="15"/>
  <c r="C15" i="15"/>
  <c r="C7" i="15"/>
  <c r="C11" i="15"/>
  <c r="C16" i="15"/>
  <c r="E7" i="15"/>
  <c r="C13" i="15"/>
  <c r="E15" i="15"/>
  <c r="E8" i="15"/>
  <c r="C14" i="15"/>
  <c r="E16" i="15"/>
  <c r="C9" i="15"/>
  <c r="E11" i="15"/>
  <c r="D11" i="12" l="1"/>
  <c r="E11" i="12" s="1"/>
  <c r="C11" i="12"/>
  <c r="D10" i="12"/>
  <c r="E10" i="12" s="1"/>
  <c r="C10" i="12"/>
  <c r="D9" i="12"/>
  <c r="E9" i="12" s="1"/>
  <c r="C9" i="12"/>
  <c r="D8" i="12"/>
  <c r="E8" i="12" s="1"/>
  <c r="C8" i="12"/>
  <c r="D7" i="12"/>
  <c r="E7" i="12" s="1"/>
  <c r="C6" i="12"/>
  <c r="B6" i="12"/>
  <c r="D6" i="12" s="1"/>
  <c r="E6" i="12" s="1"/>
  <c r="D8" i="11"/>
  <c r="C7" i="11"/>
  <c r="C8" i="11" s="1"/>
  <c r="B7" i="11"/>
  <c r="D7" i="11" s="1"/>
  <c r="B7" i="8"/>
  <c r="D34" i="5"/>
  <c r="D33" i="5"/>
  <c r="D32" i="5"/>
  <c r="D31" i="5"/>
  <c r="D30" i="5"/>
  <c r="D29" i="5"/>
  <c r="D28" i="5"/>
  <c r="D27" i="5"/>
  <c r="D26" i="5"/>
  <c r="D25" i="5"/>
  <c r="B25" i="5"/>
  <c r="D11" i="6"/>
  <c r="D10" i="6"/>
  <c r="D9" i="6"/>
  <c r="D8" i="6"/>
  <c r="D7" i="6"/>
  <c r="C6" i="6"/>
  <c r="B6" i="6"/>
  <c r="D6" i="6" s="1"/>
  <c r="D15" i="5"/>
  <c r="D14" i="5"/>
  <c r="D13" i="5"/>
  <c r="D12" i="5"/>
  <c r="D11" i="5"/>
  <c r="D10" i="5"/>
  <c r="D9" i="5"/>
  <c r="D8" i="5"/>
  <c r="D7" i="5"/>
  <c r="D6" i="5"/>
  <c r="B6" i="5"/>
  <c r="D18" i="4"/>
  <c r="D17" i="4"/>
  <c r="D16" i="4"/>
  <c r="D15" i="4"/>
  <c r="D14" i="4"/>
  <c r="C14" i="4"/>
  <c r="D13" i="4"/>
  <c r="D12" i="4"/>
  <c r="D11" i="4"/>
  <c r="D10" i="4"/>
  <c r="E10" i="4" s="1"/>
  <c r="D9" i="4"/>
  <c r="D8" i="4"/>
  <c r="E8" i="4" s="1"/>
  <c r="C7" i="4"/>
  <c r="B7" i="4"/>
  <c r="D7" i="4" s="1"/>
  <c r="E7" i="4" s="1"/>
  <c r="C6" i="2"/>
  <c r="B6" i="2"/>
  <c r="C30" i="8" l="1"/>
  <c r="C59" i="8"/>
  <c r="C80" i="8"/>
  <c r="C73" i="8"/>
  <c r="C69" i="8"/>
  <c r="C66" i="8"/>
  <c r="C62" i="8"/>
  <c r="C76" i="8"/>
  <c r="C58" i="8"/>
  <c r="E67" i="8"/>
  <c r="C79" i="8"/>
  <c r="E75" i="8"/>
  <c r="C72" i="8"/>
  <c r="C68" i="8"/>
  <c r="C65" i="8"/>
  <c r="C61" i="8"/>
  <c r="C78" i="8"/>
  <c r="C75" i="8"/>
  <c r="C71" i="8"/>
  <c r="C64" i="8"/>
  <c r="C60" i="8"/>
  <c r="C67" i="8"/>
  <c r="E59" i="8"/>
  <c r="C77" i="8"/>
  <c r="C74" i="8"/>
  <c r="C70" i="8"/>
  <c r="E66" i="8"/>
  <c r="C63" i="8"/>
  <c r="E76" i="8"/>
  <c r="E62" i="8"/>
  <c r="E71" i="8"/>
  <c r="E73" i="8"/>
  <c r="E80" i="8"/>
  <c r="E68" i="8"/>
  <c r="E58" i="8"/>
  <c r="E69" i="8"/>
  <c r="E78" i="8"/>
  <c r="E70" i="8"/>
  <c r="E60" i="8"/>
  <c r="E63" i="8"/>
  <c r="E61" i="8"/>
  <c r="E65" i="8"/>
  <c r="E74" i="8"/>
  <c r="E64" i="8"/>
  <c r="E77" i="8"/>
  <c r="E72" i="8"/>
  <c r="E79" i="8"/>
  <c r="E8" i="11"/>
  <c r="E7" i="11"/>
  <c r="D7" i="8"/>
  <c r="E7" i="8" s="1"/>
  <c r="D8" i="8"/>
  <c r="E8" i="8" s="1"/>
  <c r="C9" i="8"/>
  <c r="C11" i="8"/>
  <c r="C13" i="8"/>
  <c r="C15" i="8"/>
  <c r="C17" i="8"/>
  <c r="C19" i="8"/>
  <c r="C21" i="8"/>
  <c r="C23" i="8"/>
  <c r="C25" i="8"/>
  <c r="C27" i="8"/>
  <c r="C29" i="8"/>
  <c r="C8" i="8"/>
  <c r="C10" i="8"/>
  <c r="C12" i="8"/>
  <c r="C14" i="8"/>
  <c r="C16" i="8"/>
  <c r="C18" i="8"/>
  <c r="C20" i="8"/>
  <c r="C22" i="8"/>
  <c r="C24" i="8"/>
  <c r="C26" i="8"/>
  <c r="C28" i="8"/>
  <c r="E18" i="4"/>
  <c r="E13" i="4"/>
  <c r="C11" i="4"/>
  <c r="E14" i="4"/>
  <c r="C12" i="4"/>
  <c r="E16" i="4"/>
  <c r="C8" i="4"/>
  <c r="C9" i="4"/>
  <c r="E11" i="4"/>
  <c r="C17" i="4"/>
  <c r="E9" i="4"/>
  <c r="C15" i="4"/>
  <c r="E17" i="4"/>
  <c r="C10" i="4"/>
  <c r="E12" i="4"/>
  <c r="C18" i="4"/>
  <c r="C13" i="4"/>
  <c r="E15" i="4"/>
  <c r="C16" i="4"/>
  <c r="D7" i="2"/>
  <c r="E7" i="2" s="1"/>
  <c r="C10" i="2"/>
  <c r="C14" i="2"/>
  <c r="D6" i="2"/>
  <c r="E6" i="2" s="1"/>
  <c r="C12" i="2"/>
  <c r="C8" i="2"/>
  <c r="C7" i="2"/>
  <c r="C9" i="2"/>
  <c r="C11" i="2"/>
  <c r="C13" i="2"/>
  <c r="C15" i="2"/>
  <c r="D9" i="8" l="1"/>
  <c r="E9" i="8" s="1"/>
  <c r="D8" i="2"/>
  <c r="E8" i="2" s="1"/>
  <c r="D10" i="8" l="1"/>
  <c r="E10" i="8" s="1"/>
  <c r="D9" i="2"/>
  <c r="E9" i="2" s="1"/>
  <c r="D11" i="8" l="1"/>
  <c r="E11" i="8" s="1"/>
  <c r="D10" i="2"/>
  <c r="E10" i="2" s="1"/>
  <c r="D12" i="8" l="1"/>
  <c r="E12" i="8" s="1"/>
  <c r="D11" i="2"/>
  <c r="E11" i="2" s="1"/>
  <c r="D13" i="8" l="1"/>
  <c r="E13" i="8" s="1"/>
  <c r="D12" i="2"/>
  <c r="E12" i="2" s="1"/>
  <c r="D14" i="8" l="1"/>
  <c r="E14" i="8" s="1"/>
  <c r="D13" i="2"/>
  <c r="E13" i="2" s="1"/>
  <c r="D15" i="8" l="1"/>
  <c r="E15" i="8" s="1"/>
  <c r="D14" i="2"/>
  <c r="E14" i="2" s="1"/>
  <c r="D16" i="8" l="1"/>
  <c r="E16" i="8" s="1"/>
  <c r="D15" i="2"/>
  <c r="E15" i="2" s="1"/>
  <c r="D17" i="8" l="1"/>
  <c r="E17" i="8" s="1"/>
  <c r="D18" i="8" l="1"/>
  <c r="E18" i="8" s="1"/>
  <c r="D19" i="8" l="1"/>
  <c r="E19" i="8" s="1"/>
  <c r="D20" i="8" l="1"/>
  <c r="E20" i="8" s="1"/>
  <c r="D21" i="8" l="1"/>
  <c r="E21" i="8" s="1"/>
  <c r="D22" i="8" l="1"/>
  <c r="E22" i="8" s="1"/>
  <c r="D23" i="8" l="1"/>
  <c r="E23" i="8" s="1"/>
  <c r="D24" i="8" l="1"/>
  <c r="E24" i="8" s="1"/>
  <c r="D25" i="8" l="1"/>
  <c r="E25" i="8" s="1"/>
  <c r="D26" i="8" l="1"/>
  <c r="E26" i="8" s="1"/>
  <c r="D27" i="8" l="1"/>
  <c r="E27" i="8" s="1"/>
  <c r="D28" i="8" l="1"/>
  <c r="E28" i="8" s="1"/>
  <c r="D29" i="8" l="1"/>
  <c r="E29" i="8" s="1"/>
  <c r="D30" i="8"/>
  <c r="E30" i="8" s="1"/>
  <c r="C9" i="6" l="1"/>
  <c r="E10" i="6"/>
  <c r="C10" i="6"/>
  <c r="C11" i="6"/>
  <c r="E7" i="6"/>
  <c r="E8" i="6"/>
  <c r="C8" i="6"/>
  <c r="E11" i="6"/>
  <c r="E6" i="6"/>
  <c r="E9" i="6"/>
  <c r="E9" i="28" l="1"/>
  <c r="E15" i="28"/>
  <c r="E10" i="28"/>
  <c r="C8" i="28"/>
  <c r="E6" i="28"/>
  <c r="E16" i="28"/>
  <c r="E11" i="28"/>
  <c r="C9" i="28"/>
  <c r="C13" i="28"/>
  <c r="C12" i="28"/>
  <c r="E8" i="28"/>
  <c r="E13" i="28"/>
  <c r="E14" i="28"/>
  <c r="C11" i="28"/>
  <c r="E12" i="28"/>
  <c r="C16" i="28"/>
  <c r="E17" i="28"/>
  <c r="E7" i="28"/>
  <c r="C10" i="28"/>
  <c r="C15" i="28"/>
  <c r="C14" i="28"/>
  <c r="C17" i="28"/>
  <c r="E32" i="5"/>
  <c r="C28" i="5"/>
  <c r="E7" i="5"/>
  <c r="E30" i="5"/>
  <c r="C26" i="5"/>
  <c r="E33" i="5"/>
  <c r="E28" i="5"/>
  <c r="C13" i="5"/>
  <c r="C12" i="5"/>
  <c r="E25" i="5"/>
  <c r="E34" i="5"/>
  <c r="C9" i="5"/>
  <c r="E8" i="5"/>
  <c r="C30" i="5"/>
  <c r="E31" i="5"/>
  <c r="E26" i="5"/>
  <c r="E9" i="5"/>
  <c r="C8" i="5"/>
  <c r="C34" i="5"/>
  <c r="E12" i="5"/>
  <c r="E6" i="5"/>
  <c r="E13" i="5"/>
  <c r="E15" i="5"/>
  <c r="C15" i="5"/>
  <c r="C11" i="5"/>
  <c r="C10" i="5"/>
  <c r="E29" i="5"/>
  <c r="C33" i="5"/>
  <c r="C27" i="5"/>
  <c r="E10" i="5"/>
  <c r="C14" i="5"/>
  <c r="E14" i="5"/>
  <c r="C29" i="5"/>
  <c r="C31" i="5"/>
  <c r="E27" i="5"/>
  <c r="C32" i="5"/>
  <c r="C7" i="5"/>
  <c r="E11" i="5"/>
  <c r="E26" i="22"/>
  <c r="C31" i="22"/>
  <c r="C32" i="22"/>
  <c r="E30" i="22"/>
  <c r="E14" i="22"/>
  <c r="E9" i="22"/>
  <c r="E10" i="22"/>
  <c r="C27" i="22"/>
  <c r="C11" i="22"/>
  <c r="E15" i="22"/>
  <c r="E27" i="22"/>
  <c r="C30" i="22"/>
  <c r="C8" i="22"/>
  <c r="C13" i="22"/>
  <c r="E35" i="22"/>
  <c r="E28" i="22"/>
  <c r="C33" i="22"/>
  <c r="C10" i="22"/>
  <c r="E7" i="22"/>
  <c r="E12" i="22"/>
  <c r="C9" i="22"/>
  <c r="C34" i="22"/>
  <c r="C29" i="22"/>
  <c r="E33" i="22"/>
  <c r="C35" i="22"/>
  <c r="E11" i="22"/>
  <c r="C12" i="22"/>
  <c r="E6" i="22"/>
  <c r="C15" i="22"/>
  <c r="C28" i="22"/>
  <c r="E31" i="22"/>
  <c r="E8" i="22"/>
  <c r="E32" i="22"/>
  <c r="E34" i="22"/>
  <c r="C14" i="22"/>
  <c r="E29" i="22"/>
  <c r="C7" i="22"/>
  <c r="E13" i="22"/>
  <c r="E63" i="13"/>
  <c r="E59" i="13"/>
  <c r="E55" i="13"/>
  <c r="C12" i="13"/>
  <c r="C34" i="13"/>
  <c r="C29" i="13"/>
  <c r="E35" i="13"/>
  <c r="C9" i="13"/>
  <c r="E11" i="13"/>
  <c r="E8" i="13"/>
  <c r="E6" i="13"/>
  <c r="C59" i="13"/>
  <c r="E12" i="13"/>
  <c r="E36" i="13"/>
  <c r="C37" i="13"/>
  <c r="C8" i="13"/>
  <c r="E34" i="13"/>
  <c r="C38" i="13"/>
  <c r="E58" i="13"/>
  <c r="E10" i="13"/>
  <c r="E14" i="13"/>
  <c r="C35" i="13"/>
  <c r="E56" i="13"/>
  <c r="E15" i="13"/>
  <c r="C17" i="13"/>
  <c r="C15" i="13"/>
  <c r="E60" i="13"/>
  <c r="E9" i="13"/>
  <c r="E13" i="13"/>
  <c r="E33" i="13"/>
  <c r="C62" i="13"/>
  <c r="E62" i="13"/>
  <c r="E52" i="13"/>
  <c r="E16" i="13"/>
  <c r="C53" i="13"/>
  <c r="C58" i="13"/>
  <c r="C60" i="13"/>
  <c r="C54" i="13"/>
  <c r="E29" i="13"/>
  <c r="E57" i="13"/>
  <c r="E53" i="13"/>
  <c r="C28" i="13"/>
  <c r="E32" i="13"/>
  <c r="C13" i="13"/>
  <c r="E28" i="13"/>
  <c r="C30" i="13"/>
  <c r="C14" i="13"/>
  <c r="C63" i="13"/>
  <c r="C33" i="13"/>
  <c r="E38" i="13"/>
  <c r="C10" i="13"/>
  <c r="C55" i="13"/>
  <c r="C56" i="13"/>
  <c r="C61" i="13"/>
  <c r="E30" i="13"/>
  <c r="C16" i="13"/>
  <c r="E7" i="13"/>
  <c r="E17" i="13"/>
  <c r="E61" i="13"/>
  <c r="E31" i="13"/>
  <c r="E54" i="13"/>
  <c r="C11" i="13"/>
  <c r="C32" i="13"/>
  <c r="C57" i="13"/>
  <c r="E27" i="13"/>
  <c r="C36" i="13"/>
  <c r="E37" i="13"/>
  <c r="C7" i="13"/>
  <c r="C31" i="13"/>
  <c r="C9" i="25"/>
  <c r="E15" i="25"/>
  <c r="C11" i="25"/>
  <c r="C13" i="25"/>
  <c r="E6" i="25"/>
  <c r="C10" i="25"/>
  <c r="C8" i="25"/>
  <c r="E9" i="25"/>
  <c r="C15" i="25"/>
  <c r="E12" i="25"/>
  <c r="C14" i="25"/>
  <c r="E8" i="25"/>
  <c r="E13" i="25"/>
  <c r="E10" i="25"/>
  <c r="E14" i="25"/>
  <c r="E7" i="25"/>
  <c r="C12" i="25"/>
  <c r="C7" i="25"/>
  <c r="E11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<sst xmlns="http://schemas.openxmlformats.org/spreadsheetml/2006/main" count="8582" uniqueCount="330">
  <si>
    <t>Member's Name:</t>
  </si>
  <si>
    <t>Loan Amount:</t>
  </si>
  <si>
    <t>Membership Number:</t>
  </si>
  <si>
    <t>Date:</t>
  </si>
  <si>
    <t>No. of Loan's Made:</t>
  </si>
  <si>
    <t>Interest Rate:</t>
  </si>
  <si>
    <t>Mode of Payment:</t>
  </si>
  <si>
    <t>No. of Months to Pay:</t>
  </si>
  <si>
    <t>Payment's Made</t>
  </si>
  <si>
    <t>Present Capital Loan</t>
  </si>
  <si>
    <t>Constant Payment Deducted to Capital Loan</t>
  </si>
  <si>
    <t>Interest Amount per Payment</t>
  </si>
  <si>
    <t>Amount to be Paid</t>
  </si>
  <si>
    <t>Paid Amount</t>
  </si>
  <si>
    <t>Date of Payment</t>
  </si>
  <si>
    <t>Receipt Number</t>
  </si>
  <si>
    <t>REMARKS</t>
  </si>
  <si>
    <t>1st Payment:</t>
  </si>
  <si>
    <t>2nd Payment:</t>
  </si>
  <si>
    <t>3rd Payment:</t>
  </si>
  <si>
    <t>4th Payment:</t>
  </si>
  <si>
    <t>5th Payment:</t>
  </si>
  <si>
    <t>5/10/23</t>
  </si>
  <si>
    <t>6th Payment:</t>
  </si>
  <si>
    <t>7th Payment:</t>
  </si>
  <si>
    <t>8th Payment:</t>
  </si>
  <si>
    <t>9th Payment:</t>
  </si>
  <si>
    <t>10th Payment:</t>
  </si>
  <si>
    <t>11th Payment:</t>
  </si>
  <si>
    <t>12th Payment:</t>
  </si>
  <si>
    <t>13th Payment:</t>
  </si>
  <si>
    <t>14th Payment:</t>
  </si>
  <si>
    <t>15th Payment:</t>
  </si>
  <si>
    <t>16th Payment:</t>
  </si>
  <si>
    <t>17th Payment:</t>
  </si>
  <si>
    <t>18th Payment:</t>
  </si>
  <si>
    <t>19th Payment:</t>
  </si>
  <si>
    <t>20th Payment:</t>
  </si>
  <si>
    <t>21st Payment:</t>
  </si>
  <si>
    <t>22nd Payment:</t>
  </si>
  <si>
    <t>23rd Payment:</t>
  </si>
  <si>
    <t>24th Payment:</t>
  </si>
  <si>
    <t>Fully Paid</t>
  </si>
  <si>
    <t xml:space="preserve">fully paid </t>
  </si>
  <si>
    <t>Fully paid</t>
  </si>
  <si>
    <t>MYLENE PASTRANA</t>
  </si>
  <si>
    <t>6/20/2023</t>
  </si>
  <si>
    <t>1/17/2023</t>
  </si>
  <si>
    <t xml:space="preserve">Jenalene Mayores </t>
  </si>
  <si>
    <t>Myla dela Cruz</t>
  </si>
  <si>
    <t>Sheila Mae Peñarubia</t>
  </si>
  <si>
    <t>3/2/23</t>
  </si>
  <si>
    <t>Divina Vega</t>
  </si>
  <si>
    <t>3/14/2023</t>
  </si>
  <si>
    <t>4/17/23</t>
  </si>
  <si>
    <t>4/27/23</t>
  </si>
  <si>
    <t>Virgilia Velasco</t>
  </si>
  <si>
    <t>5/3/23</t>
  </si>
  <si>
    <t>5/4/23</t>
  </si>
  <si>
    <t>Myla Dela Cruz</t>
  </si>
  <si>
    <t>5/18/23</t>
  </si>
  <si>
    <t>Neddie Tangtang</t>
  </si>
  <si>
    <t>6/20/23</t>
  </si>
  <si>
    <t>Sofia Crisostomo</t>
  </si>
  <si>
    <t>6/16/2023</t>
  </si>
  <si>
    <t>2/8/23</t>
  </si>
  <si>
    <t>6/19/23</t>
  </si>
  <si>
    <t>9/5/2023</t>
  </si>
  <si>
    <t>9/8/2023</t>
  </si>
  <si>
    <t>Emerita Gonzales</t>
  </si>
  <si>
    <t>9/21/23</t>
  </si>
  <si>
    <t>Jenelyn Mayores</t>
  </si>
  <si>
    <t>10/13/2023</t>
  </si>
  <si>
    <t>MARITES YUSINGCO</t>
  </si>
  <si>
    <t>April De Gracia</t>
  </si>
  <si>
    <t>10/23/2023</t>
  </si>
  <si>
    <t>10/24/2023</t>
  </si>
  <si>
    <t>11/13/23</t>
  </si>
  <si>
    <t>11/30/23</t>
  </si>
  <si>
    <t>11/30/2023</t>
  </si>
  <si>
    <t>8/7/2023</t>
  </si>
  <si>
    <t>Arlene Tuzon</t>
  </si>
  <si>
    <t>Maricel Pronto</t>
  </si>
  <si>
    <t>Abenalis, Cecilia</t>
  </si>
  <si>
    <t>Date</t>
  </si>
  <si>
    <t>Durana, Maribel</t>
  </si>
  <si>
    <t>Sales, Raymond</t>
  </si>
  <si>
    <t>Dela Cruz, Myla</t>
  </si>
  <si>
    <t>Restor Conrad</t>
  </si>
  <si>
    <t>7/28/23</t>
  </si>
  <si>
    <t>Yusingco, Marites</t>
  </si>
  <si>
    <t>Gapasin, Marina</t>
  </si>
  <si>
    <t>12/1/23</t>
  </si>
  <si>
    <t>Bautista, Jonah</t>
  </si>
  <si>
    <t>2/22/23</t>
  </si>
  <si>
    <t>Recaña, Ma. Liza</t>
  </si>
  <si>
    <t>4/20/23</t>
  </si>
  <si>
    <t>Pastrana, Mylene</t>
  </si>
  <si>
    <t>Dela Peña, Benita</t>
  </si>
  <si>
    <t>Lagarde, Marilie</t>
  </si>
  <si>
    <t xml:space="preserve"> Acala, Aimee</t>
  </si>
  <si>
    <t>Buenaobra, Ma. Nordie</t>
  </si>
  <si>
    <t>30,450</t>
  </si>
  <si>
    <t>Nemis, Nessie</t>
  </si>
  <si>
    <t>10/12/23</t>
  </si>
  <si>
    <t>(EL)</t>
  </si>
  <si>
    <t>Peñarubia, Sheila</t>
  </si>
  <si>
    <t>7/18/23</t>
  </si>
  <si>
    <t>De Mesa, Danilo</t>
  </si>
  <si>
    <t>De Mesa, Juczvil</t>
  </si>
  <si>
    <t>Asuncion, Marites</t>
  </si>
  <si>
    <t>8/14/23</t>
  </si>
  <si>
    <t>Generala, Julieta</t>
  </si>
  <si>
    <t>Bautitsa, Jonah</t>
  </si>
  <si>
    <t>8/24/2023</t>
  </si>
  <si>
    <t>2/3/23</t>
  </si>
  <si>
    <t>Tangtang, Neddie</t>
  </si>
  <si>
    <t>Golingay, Cristina</t>
  </si>
  <si>
    <t>Mayores, Jenelyn</t>
  </si>
  <si>
    <t>1/17/23</t>
  </si>
  <si>
    <t>Gunda, Ma. Jomelyn</t>
  </si>
  <si>
    <t>12/12/23</t>
  </si>
  <si>
    <t>Maniquis, Arlene</t>
  </si>
  <si>
    <t>Anastacio, Asuncion</t>
  </si>
  <si>
    <t>Gonzales, Emerita</t>
  </si>
  <si>
    <t>9/18/23</t>
  </si>
  <si>
    <t>Moyo, Princess Warlin</t>
  </si>
  <si>
    <t>Aguilar, Alma</t>
  </si>
  <si>
    <t>Escoto, Ronalyn</t>
  </si>
  <si>
    <t>10/13/23</t>
  </si>
  <si>
    <t>Vega, Divina</t>
  </si>
  <si>
    <t>3/19/23</t>
  </si>
  <si>
    <t xml:space="preserve">                             No. of Months to Pay:</t>
  </si>
  <si>
    <t>10/24/23</t>
  </si>
  <si>
    <t>3/29/23</t>
  </si>
  <si>
    <t>Fajardo, Marco</t>
  </si>
  <si>
    <t>8/7/23</t>
  </si>
  <si>
    <t>Fontejon, Sandra</t>
  </si>
  <si>
    <t>(EMERGENCY LOAN)</t>
  </si>
  <si>
    <t>Quintal, Melissa</t>
  </si>
  <si>
    <t>8/1/23</t>
  </si>
  <si>
    <t>Velasco, Virgilia</t>
  </si>
  <si>
    <t>Tuzon, Arlenita</t>
  </si>
  <si>
    <t>Crisostomo, Sofia</t>
  </si>
  <si>
    <t>25th Payment:</t>
  </si>
  <si>
    <t>26th Payment:</t>
  </si>
  <si>
    <t>27th Payment:</t>
  </si>
  <si>
    <t>28th Payment:</t>
  </si>
  <si>
    <t>29th Payment:</t>
  </si>
  <si>
    <t>30th Payment:</t>
  </si>
  <si>
    <t>31st Payment:</t>
  </si>
  <si>
    <t>32nd Payment:</t>
  </si>
  <si>
    <t>33rd Payment:</t>
  </si>
  <si>
    <t>34th Payment:</t>
  </si>
  <si>
    <t>35th Payment:</t>
  </si>
  <si>
    <t>36th Payment:</t>
  </si>
  <si>
    <t>Mirana, Yolanda</t>
  </si>
  <si>
    <t>6/24/2023</t>
  </si>
  <si>
    <t>Donato, Viola</t>
  </si>
  <si>
    <t>Baldovino, Elizabeth</t>
  </si>
  <si>
    <t>3/25/2022</t>
  </si>
  <si>
    <t>1/31/2024</t>
  </si>
  <si>
    <t>1/8/2024</t>
  </si>
  <si>
    <t>1/19/2024</t>
  </si>
  <si>
    <t>Macabare, Ronnie</t>
  </si>
  <si>
    <t>1/31/24</t>
  </si>
  <si>
    <t>Olisa, Teresita</t>
  </si>
  <si>
    <t>Anzures, Nancy</t>
  </si>
  <si>
    <t>Tamayo, Erlinda</t>
  </si>
  <si>
    <t>2/12/2024</t>
  </si>
  <si>
    <t>Camero, Marilyn</t>
  </si>
  <si>
    <t>Abenir, Jessieto</t>
  </si>
  <si>
    <t>3/7/2024</t>
  </si>
  <si>
    <t>Doguiles, Jeffrey</t>
  </si>
  <si>
    <t>3/18/2024</t>
  </si>
  <si>
    <t>Malicdem, Elena</t>
  </si>
  <si>
    <t>Batan, Hermelita</t>
  </si>
  <si>
    <t>Pineda, Rogelio</t>
  </si>
  <si>
    <t>Clemente, Evangeline</t>
  </si>
  <si>
    <t>4/4/2024</t>
  </si>
  <si>
    <t>4/18/2024</t>
  </si>
  <si>
    <t>4/19/2024</t>
  </si>
  <si>
    <t>6/24/2024</t>
  </si>
  <si>
    <t>6/20/2024</t>
  </si>
  <si>
    <t>8/10/2024</t>
  </si>
  <si>
    <t>8/2/2024</t>
  </si>
  <si>
    <t>Navarro, Marivic</t>
  </si>
  <si>
    <t>Gunda, Jomelyn</t>
  </si>
  <si>
    <t>7/31/2024</t>
  </si>
  <si>
    <t>7/29/2024</t>
  </si>
  <si>
    <t>7/22/2024</t>
  </si>
  <si>
    <t>5/9/2024</t>
  </si>
  <si>
    <t>Coronel, Elizabeth</t>
  </si>
  <si>
    <t>Payawal, Rowena</t>
  </si>
  <si>
    <t>5/24/2024</t>
  </si>
  <si>
    <t>Emergency Loan</t>
  </si>
  <si>
    <t>2/1/23</t>
  </si>
  <si>
    <t>8/9/2024</t>
  </si>
  <si>
    <t>4/11/2024</t>
  </si>
  <si>
    <t>4/22/2024</t>
  </si>
  <si>
    <t>3/11/2024</t>
  </si>
  <si>
    <t>Gadin, Ginabeth</t>
  </si>
  <si>
    <t>8/29/2024</t>
  </si>
  <si>
    <t>Tiama, Ma. Janina</t>
  </si>
  <si>
    <t>9/10/2024</t>
  </si>
  <si>
    <t>10/9/2024</t>
  </si>
  <si>
    <t xml:space="preserve">                   Loan Amount:</t>
  </si>
  <si>
    <t>Damian, Jan Pauline T.</t>
  </si>
  <si>
    <t>Tuzon</t>
  </si>
  <si>
    <t>10/29/2024</t>
  </si>
  <si>
    <t>Macayan, Nenita</t>
  </si>
  <si>
    <t>11/14/2024</t>
  </si>
  <si>
    <t>Miraña, Yolanda</t>
  </si>
  <si>
    <t>11/22/2024</t>
  </si>
  <si>
    <t>.</t>
  </si>
  <si>
    <t>12/7/2024</t>
  </si>
  <si>
    <t>Almorin, Santos</t>
  </si>
  <si>
    <t>Boctot, Maria Rina</t>
  </si>
  <si>
    <t>1/3/2025</t>
  </si>
  <si>
    <t>1/7/2025</t>
  </si>
  <si>
    <t>Maniquiz, Arlene</t>
  </si>
  <si>
    <t>1/9/2025</t>
  </si>
  <si>
    <t>12/19/2024</t>
  </si>
  <si>
    <t>Salmorin</t>
  </si>
  <si>
    <t>Silang</t>
  </si>
  <si>
    <t>2/18/2025</t>
  </si>
  <si>
    <t>Salmorin, Arlene</t>
  </si>
  <si>
    <t>2/6/2025</t>
  </si>
  <si>
    <t>2/5/2025</t>
  </si>
  <si>
    <t>3/7/2025</t>
  </si>
  <si>
    <t>Gautani, Ver Louie</t>
  </si>
  <si>
    <t>Moyo, Princess Warlene</t>
  </si>
  <si>
    <t>4/8/2025</t>
  </si>
  <si>
    <t>4/28/2025</t>
  </si>
  <si>
    <t>5/16/2025</t>
  </si>
  <si>
    <t>3/25/2025</t>
  </si>
  <si>
    <t>3/24/2025</t>
  </si>
  <si>
    <t>Diwa, Janine</t>
  </si>
  <si>
    <t>3/17/2025</t>
  </si>
  <si>
    <t>Acala. Aimee</t>
  </si>
  <si>
    <t>3/19/2025</t>
  </si>
  <si>
    <t>4/5/2025</t>
  </si>
  <si>
    <t>5/5/2025</t>
  </si>
  <si>
    <t>5/19/2025</t>
  </si>
  <si>
    <t>5/21/2025</t>
  </si>
  <si>
    <t>Buenaobra, Nordie</t>
  </si>
  <si>
    <t>5/27/2025</t>
  </si>
  <si>
    <t>6/9/2025</t>
  </si>
  <si>
    <t>Ungriano, Dianne</t>
  </si>
  <si>
    <t>De Gracia, April</t>
  </si>
  <si>
    <t>6/13/2025</t>
  </si>
  <si>
    <t>4/30/2025</t>
  </si>
  <si>
    <t>37th Payment:</t>
  </si>
  <si>
    <t>38th Payment:</t>
  </si>
  <si>
    <t>39thPayment:</t>
  </si>
  <si>
    <t>40th Payment:</t>
  </si>
  <si>
    <t>51st Payment:</t>
  </si>
  <si>
    <t>41st Payment:</t>
  </si>
  <si>
    <t>42ndPayment:</t>
  </si>
  <si>
    <t>43rdPayment:</t>
  </si>
  <si>
    <t>44thPayment:</t>
  </si>
  <si>
    <t>45th Payment:</t>
  </si>
  <si>
    <t>46th Payment:</t>
  </si>
  <si>
    <t>47th Payment:</t>
  </si>
  <si>
    <t>48th Payment:</t>
  </si>
  <si>
    <t>49th Payment:</t>
  </si>
  <si>
    <t>50th Payment:</t>
  </si>
  <si>
    <t>51th Payment:</t>
  </si>
  <si>
    <t>52th Payment:</t>
  </si>
  <si>
    <t>53th Payment:</t>
  </si>
  <si>
    <t>54th Payment:</t>
  </si>
  <si>
    <t>55th Payment:</t>
  </si>
  <si>
    <t>56th Payment:</t>
  </si>
  <si>
    <t>57th Payment:</t>
  </si>
  <si>
    <t>59thPayment:</t>
  </si>
  <si>
    <t>60thPayment:</t>
  </si>
  <si>
    <t>61st Payment:</t>
  </si>
  <si>
    <t>62nd Payment:</t>
  </si>
  <si>
    <t>63rd Payment:</t>
  </si>
  <si>
    <t>64th Payment:</t>
  </si>
  <si>
    <t>1/22/2019</t>
  </si>
  <si>
    <t>3/27/2019</t>
  </si>
  <si>
    <t>12/9/2019</t>
  </si>
  <si>
    <t>1/29/2020</t>
  </si>
  <si>
    <t>2/28/2020</t>
  </si>
  <si>
    <t>6/7/8/2023</t>
  </si>
  <si>
    <t>9/19/2023</t>
  </si>
  <si>
    <t>1466</t>
  </si>
  <si>
    <t>2120</t>
  </si>
  <si>
    <t>2175</t>
  </si>
  <si>
    <t>2247</t>
  </si>
  <si>
    <t>'2172</t>
  </si>
  <si>
    <t>2179</t>
  </si>
  <si>
    <t>2268</t>
  </si>
  <si>
    <t>2287</t>
  </si>
  <si>
    <t>2340</t>
  </si>
  <si>
    <t>2367</t>
  </si>
  <si>
    <t>2411</t>
  </si>
  <si>
    <t>2457</t>
  </si>
  <si>
    <t>2495</t>
  </si>
  <si>
    <t>2544</t>
  </si>
  <si>
    <t>0112</t>
  </si>
  <si>
    <t>10/12/2023</t>
  </si>
  <si>
    <t>11/9/2023</t>
  </si>
  <si>
    <t>12/11/2023</t>
  </si>
  <si>
    <t>1/12/2024</t>
  </si>
  <si>
    <t>3/14/2024</t>
  </si>
  <si>
    <t>5/10/2024</t>
  </si>
  <si>
    <t>3/16/2025</t>
  </si>
  <si>
    <t>De Venecia, Je</t>
  </si>
  <si>
    <t>Miraña, Yolanda S.</t>
  </si>
  <si>
    <t>6/23/2025</t>
  </si>
  <si>
    <t>6/24/2025</t>
  </si>
  <si>
    <t>No. of months to Pay</t>
  </si>
  <si>
    <t>7/29/2025</t>
  </si>
  <si>
    <t>6/21/2025</t>
  </si>
  <si>
    <t>7/16/2025</t>
  </si>
  <si>
    <t>7/14/2025</t>
  </si>
  <si>
    <t>7/11/2025</t>
  </si>
  <si>
    <t>Borras, Jonalyn</t>
  </si>
  <si>
    <t>7/7/2025</t>
  </si>
  <si>
    <t>Duran, Rosana</t>
  </si>
  <si>
    <t>7/4/2025</t>
  </si>
  <si>
    <t>7/1/2025</t>
  </si>
  <si>
    <t>Crisostomo, Sophia</t>
  </si>
  <si>
    <t>6/16/2025</t>
  </si>
  <si>
    <t>7/28/2025</t>
  </si>
  <si>
    <t>8/18/2025</t>
  </si>
  <si>
    <t>8/29/2025</t>
  </si>
  <si>
    <t>10/22/2025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</si>
</sst>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39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3" fontId="1" fillId="0" borderId="7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3" fontId="0" fillId="0" borderId="9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right" vertical="center"/>
    </xf>
    <xf numFmtId="3" fontId="0" fillId="0" borderId="14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4" fontId="0" fillId="0" borderId="0" xfId="1" applyFont="1"/>
    <xf numFmtId="164" fontId="0" fillId="0" borderId="0" xfId="0" applyNumberFormat="1"/>
    <xf numFmtId="164" fontId="0" fillId="0" borderId="2" xfId="1" applyFont="1" applyBorder="1"/>
    <xf numFmtId="164" fontId="0" fillId="0" borderId="2" xfId="0" applyNumberFormat="1" applyBorder="1"/>
    <xf numFmtId="164" fontId="0" fillId="0" borderId="0" xfId="1" applyFont="1" applyBorder="1"/>
    <xf numFmtId="3" fontId="0" fillId="0" borderId="0" xfId="0" applyNumberForma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" fontId="0" fillId="0" borderId="0" xfId="0" applyNumberFormat="1"/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1" fillId="0" borderId="0" xfId="0" applyNumberFormat="1" applyFont="1" applyAlignment="1">
      <alignment vertical="center"/>
    </xf>
    <xf numFmtId="164" fontId="0" fillId="0" borderId="9" xfId="1" quotePrefix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/>
    <xf numFmtId="0" fontId="7" fillId="0" borderId="0" xfId="0" applyFont="1" applyAlignment="1">
      <alignment vertical="center"/>
    </xf>
    <xf numFmtId="3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/>
    </xf>
    <xf numFmtId="0" fontId="7" fillId="0" borderId="0" xfId="0" applyFont="1" applyAlignment="1">
      <alignment horizontal="right" vertical="center"/>
    </xf>
    <xf numFmtId="165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3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10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right" vertical="center"/>
    </xf>
    <xf numFmtId="3" fontId="10" fillId="0" borderId="9" xfId="0" applyNumberFormat="1" applyFont="1" applyBorder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right" vertical="center"/>
    </xf>
    <xf numFmtId="3" fontId="1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3" fontId="10" fillId="0" borderId="1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right" vertical="center"/>
    </xf>
    <xf numFmtId="14" fontId="10" fillId="0" borderId="14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right"/>
    </xf>
    <xf numFmtId="0" fontId="12" fillId="0" borderId="0" xfId="0" applyFont="1"/>
    <xf numFmtId="3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0" fillId="0" borderId="2" xfId="1" applyFont="1" applyBorder="1"/>
    <xf numFmtId="164" fontId="10" fillId="0" borderId="2" xfId="0" applyNumberFormat="1" applyFont="1" applyBorder="1"/>
    <xf numFmtId="0" fontId="13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0" fillId="0" borderId="9" xfId="0" quotePrefix="1" applyNumberFormat="1" applyFont="1" applyBorder="1" applyAlignment="1">
      <alignment horizontal="center" vertical="center"/>
    </xf>
    <xf numFmtId="3" fontId="10" fillId="0" borderId="2" xfId="0" quotePrefix="1" applyNumberFormat="1" applyFont="1" applyBorder="1" applyAlignment="1">
      <alignment horizontal="center" vertical="center"/>
    </xf>
    <xf numFmtId="14" fontId="10" fillId="0" borderId="9" xfId="0" quotePrefix="1" applyNumberFormat="1" applyFont="1" applyBorder="1" applyAlignment="1">
      <alignment horizontal="center" vertical="center"/>
    </xf>
    <xf numFmtId="14" fontId="10" fillId="0" borderId="2" xfId="0" quotePrefix="1" applyNumberFormat="1" applyFont="1" applyBorder="1" applyAlignment="1">
      <alignment horizontal="center" vertical="center"/>
    </xf>
    <xf numFmtId="49" fontId="10" fillId="0" borderId="0" xfId="0" quotePrefix="1" applyNumberFormat="1" applyFont="1" applyAlignment="1">
      <alignment vertical="center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1" xfId="0" applyFont="1" applyBorder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3" fontId="10" fillId="0" borderId="2" xfId="1" applyNumberFormat="1" applyFont="1" applyBorder="1" applyAlignment="1">
      <alignment horizontal="center"/>
    </xf>
    <xf numFmtId="3" fontId="10" fillId="0" borderId="2" xfId="0" applyNumberFormat="1" applyFont="1" applyBorder="1" applyAlignment="1">
      <alignment horizontal="center"/>
    </xf>
    <xf numFmtId="166" fontId="10" fillId="0" borderId="2" xfId="0" applyNumberFormat="1" applyFont="1" applyBorder="1"/>
    <xf numFmtId="3" fontId="10" fillId="0" borderId="9" xfId="0" applyNumberFormat="1" applyFont="1" applyBorder="1" applyAlignment="1">
      <alignment vertical="center"/>
    </xf>
    <xf numFmtId="166" fontId="10" fillId="0" borderId="2" xfId="1" applyNumberFormat="1" applyFont="1" applyBorder="1" applyAlignment="1"/>
    <xf numFmtId="166" fontId="10" fillId="0" borderId="2" xfId="1" applyNumberFormat="1" applyFont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6" fontId="10" fillId="0" borderId="2" xfId="1" applyNumberFormat="1" applyFont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3" fontId="10" fillId="0" borderId="17" xfId="0" applyNumberFormat="1" applyFont="1" applyBorder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3" fontId="10" fillId="0" borderId="9" xfId="0" applyNumberFormat="1" applyFont="1" applyBorder="1" applyAlignment="1">
      <alignment horizontal="right" vertical="center"/>
    </xf>
    <xf numFmtId="166" fontId="10" fillId="0" borderId="2" xfId="1" applyNumberFormat="1" applyFont="1" applyBorder="1" applyAlignment="1">
      <alignment horizontal="right"/>
    </xf>
    <xf numFmtId="166" fontId="10" fillId="0" borderId="2" xfId="0" applyNumberFormat="1" applyFont="1" applyBorder="1" applyAlignment="1">
      <alignment horizontal="right"/>
    </xf>
    <xf numFmtId="3" fontId="10" fillId="0" borderId="9" xfId="0" applyNumberFormat="1" applyFont="1" applyBorder="1" applyAlignment="1">
      <alignment horizontal="right" vertical="top"/>
    </xf>
    <xf numFmtId="166" fontId="10" fillId="0" borderId="2" xfId="1" applyNumberFormat="1" applyFont="1" applyBorder="1" applyAlignment="1">
      <alignment horizontal="right" vertical="top"/>
    </xf>
    <xf numFmtId="166" fontId="10" fillId="0" borderId="2" xfId="0" applyNumberFormat="1" applyFont="1" applyBorder="1" applyAlignment="1">
      <alignment horizontal="right" vertical="top"/>
    </xf>
    <xf numFmtId="3" fontId="9" fillId="0" borderId="7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22" xfId="0" applyFont="1" applyBorder="1" applyAlignment="1">
      <alignment horizontal="right" vertical="center"/>
    </xf>
    <xf numFmtId="3" fontId="10" fillId="0" borderId="23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9" fillId="0" borderId="23" xfId="0" applyFont="1" applyBorder="1" applyAlignment="1">
      <alignment horizontal="right" vertical="center"/>
    </xf>
    <xf numFmtId="3" fontId="10" fillId="0" borderId="25" xfId="0" applyNumberFormat="1" applyFont="1" applyBorder="1" applyAlignment="1">
      <alignment horizontal="center" vertical="center"/>
    </xf>
    <xf numFmtId="3" fontId="10" fillId="0" borderId="26" xfId="0" applyNumberFormat="1" applyFont="1" applyBorder="1" applyAlignment="1">
      <alignment horizontal="center" vertical="center"/>
    </xf>
    <xf numFmtId="0" fontId="0" fillId="0" borderId="2" xfId="0" applyBorder="1"/>
    <xf numFmtId="0" fontId="9" fillId="0" borderId="27" xfId="0" applyFont="1" applyBorder="1" applyAlignment="1">
      <alignment horizontal="center" vertical="center" wrapText="1"/>
    </xf>
    <xf numFmtId="3" fontId="9" fillId="0" borderId="26" xfId="0" applyNumberFormat="1" applyFont="1" applyBorder="1" applyAlignment="1">
      <alignment horizontal="center" vertical="center" wrapText="1"/>
    </xf>
    <xf numFmtId="3" fontId="9" fillId="0" borderId="28" xfId="0" applyNumberFormat="1" applyFont="1" applyBorder="1" applyAlignment="1">
      <alignment horizontal="center" vertical="center" wrapText="1"/>
    </xf>
    <xf numFmtId="3" fontId="9" fillId="0" borderId="29" xfId="0" applyNumberFormat="1" applyFont="1" applyBorder="1" applyAlignment="1">
      <alignment horizontal="center" vertical="center" wrapText="1"/>
    </xf>
    <xf numFmtId="3" fontId="9" fillId="0" borderId="30" xfId="0" applyNumberFormat="1" applyFont="1" applyBorder="1" applyAlignment="1">
      <alignment horizontal="center" vertical="center"/>
    </xf>
    <xf numFmtId="3" fontId="9" fillId="0" borderId="33" xfId="0" applyNumberFormat="1" applyFont="1" applyBorder="1" applyAlignment="1">
      <alignment horizontal="center" vertical="center" wrapText="1"/>
    </xf>
    <xf numFmtId="14" fontId="10" fillId="0" borderId="31" xfId="0" applyNumberFormat="1" applyFont="1" applyBorder="1" applyAlignment="1">
      <alignment horizontal="center" vertical="center"/>
    </xf>
    <xf numFmtId="14" fontId="10" fillId="0" borderId="32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/>
    </xf>
    <xf numFmtId="0" fontId="0" fillId="0" borderId="34" xfId="0" applyBorder="1"/>
    <xf numFmtId="0" fontId="10" fillId="0" borderId="35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0" fillId="0" borderId="35" xfId="0" applyBorder="1"/>
    <xf numFmtId="0" fontId="10" fillId="0" borderId="35" xfId="0" applyFont="1" applyBorder="1" applyAlignment="1">
      <alignment horizontal="center" vertical="center"/>
    </xf>
    <xf numFmtId="0" fontId="10" fillId="0" borderId="35" xfId="0" applyFont="1" applyBorder="1"/>
    <xf numFmtId="0" fontId="9" fillId="0" borderId="35" xfId="0" applyFont="1" applyBorder="1" applyAlignment="1">
      <alignment vertical="center"/>
    </xf>
    <xf numFmtId="0" fontId="9" fillId="0" borderId="35" xfId="0" applyFont="1" applyBorder="1" applyAlignment="1">
      <alignment horizontal="right" vertical="center"/>
    </xf>
    <xf numFmtId="3" fontId="10" fillId="0" borderId="25" xfId="0" applyNumberFormat="1" applyFont="1" applyBorder="1" applyAlignment="1">
      <alignment horizontal="left" vertical="center"/>
    </xf>
    <xf numFmtId="0" fontId="0" fillId="0" borderId="36" xfId="0" applyBorder="1"/>
    <xf numFmtId="49" fontId="10" fillId="0" borderId="37" xfId="0" applyNumberFormat="1" applyFont="1" applyBorder="1" applyAlignment="1">
      <alignment vertical="center"/>
    </xf>
    <xf numFmtId="10" fontId="10" fillId="0" borderId="37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0" fontId="10" fillId="0" borderId="36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39" xfId="0" applyFont="1" applyBorder="1"/>
    <xf numFmtId="0" fontId="9" fillId="0" borderId="39" xfId="0" applyFont="1" applyBorder="1" applyAlignment="1">
      <alignment horizontal="right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 wrapText="1"/>
    </xf>
    <xf numFmtId="3" fontId="9" fillId="0" borderId="42" xfId="0" applyNumberFormat="1" applyFont="1" applyBorder="1" applyAlignment="1">
      <alignment horizontal="center" vertical="center" wrapText="1"/>
    </xf>
    <xf numFmtId="3" fontId="9" fillId="0" borderId="43" xfId="0" applyNumberFormat="1" applyFont="1" applyBorder="1" applyAlignment="1">
      <alignment horizontal="center" vertical="center" wrapText="1"/>
    </xf>
    <xf numFmtId="3" fontId="9" fillId="0" borderId="44" xfId="0" applyNumberFormat="1" applyFont="1" applyBorder="1" applyAlignment="1">
      <alignment horizontal="center" vertical="center" wrapText="1"/>
    </xf>
    <xf numFmtId="3" fontId="9" fillId="0" borderId="45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1" fillId="0" borderId="35" xfId="0" applyFont="1" applyBorder="1"/>
    <xf numFmtId="0" fontId="9" fillId="0" borderId="35" xfId="0" applyFont="1" applyBorder="1" applyAlignment="1">
      <alignment horizontal="center" vertical="center"/>
    </xf>
    <xf numFmtId="0" fontId="9" fillId="0" borderId="35" xfId="0" applyFont="1" applyBorder="1"/>
    <xf numFmtId="3" fontId="9" fillId="0" borderId="25" xfId="0" applyNumberFormat="1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49" fontId="9" fillId="0" borderId="0" xfId="0" applyNumberFormat="1" applyFont="1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vertical="center"/>
    </xf>
    <xf numFmtId="49" fontId="9" fillId="0" borderId="37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10" fontId="9" fillId="0" borderId="37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9" xfId="0" applyFont="1" applyBorder="1"/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158A-6F97-47B1-8EBB-5E15BF5D9AB2}">
  <dimension ref="A1:T25"/>
  <sheetViews>
    <sheetView topLeftCell="A6" workbookViewId="0">
      <selection activeCell="A10" sqref="A10:T25"/>
    </sheetView>
  </sheetViews>
  <sheetFormatPr defaultRowHeight="14.4" x14ac:dyDescent="0.3"/>
  <cols>
    <col min="1" max="1" width="1.88671875" customWidth="1"/>
    <col min="2" max="2" width="10.77734375" customWidth="1"/>
    <col min="12" max="12" width="10.6640625" customWidth="1"/>
  </cols>
  <sheetData>
    <row r="1" spans="1:20" x14ac:dyDescent="0.3">
      <c r="A1" s="77"/>
      <c r="B1" s="77" t="s">
        <v>0</v>
      </c>
      <c r="C1" s="77" t="s">
        <v>50</v>
      </c>
      <c r="D1" s="112"/>
      <c r="E1" s="112"/>
      <c r="F1" s="79"/>
      <c r="G1" s="80"/>
      <c r="I1" s="81" t="s">
        <v>1</v>
      </c>
      <c r="J1" s="82">
        <v>50000</v>
      </c>
      <c r="K1" s="77"/>
      <c r="L1" s="77" t="s">
        <v>0</v>
      </c>
      <c r="M1" s="77" t="s">
        <v>50</v>
      </c>
      <c r="N1" s="112"/>
      <c r="O1" s="112"/>
      <c r="P1" s="79"/>
      <c r="Q1" s="80"/>
      <c r="R1" s="81"/>
      <c r="S1" s="81" t="s">
        <v>1</v>
      </c>
      <c r="T1" s="82">
        <v>50000</v>
      </c>
    </row>
    <row r="2" spans="1:20" x14ac:dyDescent="0.3">
      <c r="A2" s="77"/>
      <c r="B2" s="77" t="s">
        <v>2</v>
      </c>
      <c r="C2" s="83"/>
      <c r="D2" s="79"/>
      <c r="E2" s="83"/>
      <c r="F2" s="81"/>
      <c r="G2" s="81"/>
      <c r="I2" s="84" t="s">
        <v>84</v>
      </c>
      <c r="J2" s="85" t="s">
        <v>51</v>
      </c>
      <c r="K2" s="77"/>
      <c r="L2" s="77" t="s">
        <v>2</v>
      </c>
      <c r="M2" s="83"/>
      <c r="N2" s="79"/>
      <c r="O2" s="83"/>
      <c r="P2" s="81"/>
      <c r="Q2" s="81"/>
      <c r="R2" s="84"/>
      <c r="S2" s="84" t="s">
        <v>84</v>
      </c>
      <c r="T2" s="85" t="s">
        <v>51</v>
      </c>
    </row>
    <row r="3" spans="1:20" x14ac:dyDescent="0.3">
      <c r="A3" s="77"/>
      <c r="B3" s="77" t="s">
        <v>4</v>
      </c>
      <c r="C3" s="78"/>
      <c r="D3" s="79"/>
      <c r="E3" s="78"/>
      <c r="G3" s="81"/>
      <c r="I3" s="81" t="s">
        <v>5</v>
      </c>
      <c r="J3" s="86">
        <v>1.4999999999999999E-2</v>
      </c>
      <c r="K3" s="77"/>
      <c r="L3" s="77" t="s">
        <v>4</v>
      </c>
      <c r="M3" s="78"/>
      <c r="N3" s="79"/>
      <c r="O3" s="78"/>
      <c r="P3" s="81" t="s">
        <v>5</v>
      </c>
      <c r="Q3" s="81"/>
      <c r="R3" s="81"/>
      <c r="S3" s="81" t="s">
        <v>5</v>
      </c>
      <c r="T3" s="86">
        <v>1.4999999999999999E-2</v>
      </c>
    </row>
    <row r="4" spans="1:20" ht="15" thickBot="1" x14ac:dyDescent="0.35">
      <c r="A4" s="77"/>
      <c r="B4" s="77" t="s">
        <v>6</v>
      </c>
      <c r="C4" s="87"/>
      <c r="D4" s="87"/>
      <c r="E4" s="88"/>
      <c r="F4" s="88"/>
      <c r="G4" s="88"/>
      <c r="H4" s="88"/>
      <c r="I4" s="88" t="s">
        <v>313</v>
      </c>
      <c r="J4" s="78">
        <v>2</v>
      </c>
      <c r="K4" s="77"/>
      <c r="L4" s="77" t="s">
        <v>6</v>
      </c>
      <c r="M4" s="87"/>
      <c r="N4" s="87"/>
      <c r="O4" s="88" t="s">
        <v>7</v>
      </c>
      <c r="P4" s="88"/>
      <c r="Q4" s="88"/>
      <c r="R4" s="88"/>
      <c r="S4" s="88" t="s">
        <v>313</v>
      </c>
      <c r="T4" s="78">
        <v>2</v>
      </c>
    </row>
    <row r="5" spans="1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177" t="s">
        <v>15</v>
      </c>
      <c r="J5" s="180" t="s">
        <v>16</v>
      </c>
      <c r="K5" s="147"/>
      <c r="L5" s="146" t="s">
        <v>8</v>
      </c>
      <c r="M5" s="143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1:20" x14ac:dyDescent="0.3">
      <c r="B6" s="94" t="s">
        <v>17</v>
      </c>
      <c r="C6" s="95">
        <f>J1</f>
        <v>50000</v>
      </c>
      <c r="D6" s="95">
        <f>J1/J4</f>
        <v>25000</v>
      </c>
      <c r="E6" s="95">
        <f>(C6*0.015)</f>
        <v>750</v>
      </c>
      <c r="F6" s="95">
        <f>'24 mos'!$C$255+E6</f>
        <v>100750</v>
      </c>
      <c r="G6" s="95"/>
      <c r="H6" s="95"/>
      <c r="I6" s="178"/>
      <c r="J6" s="124"/>
      <c r="K6" s="81"/>
      <c r="L6" s="106" t="s">
        <v>17</v>
      </c>
      <c r="M6" s="144">
        <f>T1</f>
        <v>50000</v>
      </c>
      <c r="N6" s="95">
        <f>T1/T4</f>
        <v>25000</v>
      </c>
      <c r="O6" s="95">
        <f>(M6*0.015)</f>
        <v>750</v>
      </c>
      <c r="P6" s="95">
        <f>'24 mos'!$C$255+O6</f>
        <v>100750</v>
      </c>
      <c r="Q6" s="95"/>
      <c r="R6" s="95"/>
      <c r="S6" s="96"/>
      <c r="T6" s="97"/>
    </row>
    <row r="7" spans="1:20" x14ac:dyDescent="0.3">
      <c r="B7" s="98" t="s">
        <v>18</v>
      </c>
      <c r="C7" s="99">
        <v>25000</v>
      </c>
      <c r="D7" s="99">
        <v>25000</v>
      </c>
      <c r="E7" s="99">
        <f t="shared" ref="E7" si="0">(C7*0.015)</f>
        <v>375</v>
      </c>
      <c r="F7" s="99">
        <f>'24 mos'!$C$255+E7</f>
        <v>100375</v>
      </c>
      <c r="G7" s="99"/>
      <c r="H7" s="99"/>
      <c r="I7" s="179"/>
      <c r="J7" s="124" t="s">
        <v>42</v>
      </c>
      <c r="K7" s="81"/>
      <c r="L7" s="106" t="s">
        <v>18</v>
      </c>
      <c r="M7" s="145">
        <v>25000</v>
      </c>
      <c r="N7" s="99">
        <v>25000</v>
      </c>
      <c r="O7" s="99">
        <f t="shared" ref="O7" si="1">(M7*0.015)</f>
        <v>375</v>
      </c>
      <c r="P7" s="99">
        <f>'24 mos'!$C$255+O7</f>
        <v>100375</v>
      </c>
      <c r="Q7" s="99"/>
      <c r="R7" s="99"/>
      <c r="S7" s="100"/>
      <c r="T7" s="101" t="s">
        <v>42</v>
      </c>
    </row>
    <row r="10" spans="1:20" x14ac:dyDescent="0.3">
      <c r="B10" s="77" t="s">
        <v>0</v>
      </c>
      <c r="C10" s="77" t="s">
        <v>141</v>
      </c>
      <c r="D10" s="112"/>
      <c r="E10" s="112"/>
      <c r="F10" s="117" t="s">
        <v>138</v>
      </c>
      <c r="G10" s="123"/>
      <c r="I10" s="81" t="s">
        <v>1</v>
      </c>
      <c r="J10" s="82">
        <v>20000</v>
      </c>
      <c r="L10" s="77" t="s">
        <v>0</v>
      </c>
      <c r="M10" s="77" t="s">
        <v>141</v>
      </c>
      <c r="N10" s="112"/>
      <c r="O10" s="112"/>
      <c r="P10" s="117" t="s">
        <v>138</v>
      </c>
      <c r="Q10" s="123"/>
      <c r="S10" s="81" t="s">
        <v>1</v>
      </c>
      <c r="T10" s="82">
        <v>20000</v>
      </c>
    </row>
    <row r="11" spans="1:20" x14ac:dyDescent="0.3">
      <c r="B11" s="77" t="s">
        <v>2</v>
      </c>
      <c r="C11" s="83"/>
      <c r="D11" s="79"/>
      <c r="E11" s="83"/>
      <c r="F11" s="81"/>
      <c r="G11" s="81"/>
      <c r="H11" s="84"/>
      <c r="I11" s="81" t="s">
        <v>3</v>
      </c>
      <c r="J11" s="85" t="s">
        <v>228</v>
      </c>
      <c r="L11" s="77" t="s">
        <v>2</v>
      </c>
      <c r="M11" s="83"/>
      <c r="N11" s="79"/>
      <c r="O11" s="83"/>
      <c r="P11" s="81"/>
      <c r="Q11" s="81"/>
      <c r="R11" s="84"/>
      <c r="S11" s="81" t="s">
        <v>3</v>
      </c>
      <c r="T11" s="85" t="s">
        <v>228</v>
      </c>
    </row>
    <row r="12" spans="1:20" x14ac:dyDescent="0.3">
      <c r="B12" s="77" t="s">
        <v>4</v>
      </c>
      <c r="C12" s="78"/>
      <c r="D12" s="79"/>
      <c r="E12" s="78"/>
      <c r="G12" s="81"/>
      <c r="H12" s="81"/>
      <c r="I12" s="81" t="s">
        <v>5</v>
      </c>
      <c r="J12" s="86">
        <v>1.4999999999999999E-2</v>
      </c>
      <c r="L12" s="77" t="s">
        <v>4</v>
      </c>
      <c r="M12" s="78"/>
      <c r="N12" s="79"/>
      <c r="O12" s="78"/>
      <c r="Q12" s="81"/>
      <c r="R12" s="81"/>
      <c r="S12" s="81" t="s">
        <v>5</v>
      </c>
      <c r="T12" s="86">
        <v>1.4999999999999999E-2</v>
      </c>
    </row>
    <row r="13" spans="1:20" ht="15" thickBot="1" x14ac:dyDescent="0.35">
      <c r="B13" s="77" t="s">
        <v>6</v>
      </c>
      <c r="C13" s="87"/>
      <c r="D13" s="87"/>
      <c r="F13" s="88"/>
      <c r="G13" s="88"/>
      <c r="H13" s="88"/>
      <c r="I13" s="88" t="s">
        <v>7</v>
      </c>
      <c r="J13" s="78">
        <v>2</v>
      </c>
      <c r="L13" s="77" t="s">
        <v>6</v>
      </c>
      <c r="M13" s="87"/>
      <c r="N13" s="87"/>
      <c r="P13" s="88"/>
      <c r="Q13" s="88"/>
      <c r="R13" s="88"/>
      <c r="S13" s="88" t="s">
        <v>7</v>
      </c>
      <c r="T13" s="78">
        <v>2</v>
      </c>
    </row>
    <row r="14" spans="1:20" ht="41.4" thickBot="1" x14ac:dyDescent="0.35">
      <c r="B14" s="89" t="s">
        <v>8</v>
      </c>
      <c r="C14" s="89" t="s">
        <v>9</v>
      </c>
      <c r="D14" s="89" t="s">
        <v>10</v>
      </c>
      <c r="E14" s="90" t="s">
        <v>11</v>
      </c>
      <c r="F14" s="91" t="s">
        <v>12</v>
      </c>
      <c r="G14" s="92" t="s">
        <v>13</v>
      </c>
      <c r="H14" s="92" t="s">
        <v>14</v>
      </c>
      <c r="I14" s="92" t="s">
        <v>15</v>
      </c>
      <c r="J14" s="93" t="s">
        <v>16</v>
      </c>
      <c r="L14" s="89" t="s">
        <v>8</v>
      </c>
      <c r="M14" s="89" t="s">
        <v>9</v>
      </c>
      <c r="N14" s="89" t="s">
        <v>10</v>
      </c>
      <c r="O14" s="90" t="s">
        <v>11</v>
      </c>
      <c r="P14" s="91" t="s">
        <v>12</v>
      </c>
      <c r="Q14" s="92" t="s">
        <v>13</v>
      </c>
      <c r="R14" s="92" t="s">
        <v>14</v>
      </c>
      <c r="S14" s="92" t="s">
        <v>15</v>
      </c>
      <c r="T14" s="93" t="s">
        <v>16</v>
      </c>
    </row>
    <row r="15" spans="1:20" x14ac:dyDescent="0.3">
      <c r="B15" s="94" t="s">
        <v>17</v>
      </c>
      <c r="C15" s="95">
        <f>J10</f>
        <v>20000</v>
      </c>
      <c r="D15" s="95">
        <f>J10/J13</f>
        <v>10000</v>
      </c>
      <c r="E15" s="95">
        <f>(C15*0.015)</f>
        <v>300</v>
      </c>
      <c r="F15" s="95">
        <f>SUM(D15:E15)</f>
        <v>10300</v>
      </c>
      <c r="G15" s="95"/>
      <c r="H15" s="95"/>
      <c r="I15" s="96"/>
      <c r="J15" s="97"/>
      <c r="L15" s="94" t="s">
        <v>17</v>
      </c>
      <c r="M15" s="95">
        <f>T10</f>
        <v>20000</v>
      </c>
      <c r="N15" s="95">
        <f>T10/T13</f>
        <v>10000</v>
      </c>
      <c r="O15" s="95">
        <f>(M15*0.015)</f>
        <v>300</v>
      </c>
      <c r="P15" s="95">
        <f>SUM(N15:O15)</f>
        <v>10300</v>
      </c>
      <c r="Q15" s="95"/>
      <c r="R15" s="95"/>
      <c r="S15" s="96"/>
      <c r="T15" s="97"/>
    </row>
    <row r="16" spans="1:20" x14ac:dyDescent="0.3">
      <c r="B16" s="98" t="s">
        <v>18</v>
      </c>
      <c r="C16" s="99">
        <v>10000</v>
      </c>
      <c r="D16" s="99">
        <v>10000</v>
      </c>
      <c r="E16" s="99">
        <f>(C16*0.015)</f>
        <v>150</v>
      </c>
      <c r="F16" s="99">
        <f>SUM(D16:E16)</f>
        <v>10150</v>
      </c>
      <c r="G16" s="99"/>
      <c r="H16" s="99"/>
      <c r="I16" s="100"/>
      <c r="J16" s="101" t="s">
        <v>42</v>
      </c>
      <c r="L16" s="98" t="s">
        <v>18</v>
      </c>
      <c r="M16" s="99">
        <v>10000</v>
      </c>
      <c r="N16" s="99">
        <v>10000</v>
      </c>
      <c r="O16" s="99">
        <f>(M16*0.015)</f>
        <v>150</v>
      </c>
      <c r="P16" s="99">
        <f>SUM(N16:O16)</f>
        <v>10150</v>
      </c>
      <c r="Q16" s="99"/>
      <c r="R16" s="99"/>
      <c r="S16" s="100"/>
      <c r="T16" s="101" t="s">
        <v>42</v>
      </c>
    </row>
    <row r="19" spans="2:20" x14ac:dyDescent="0.3">
      <c r="B19" s="77" t="s">
        <v>0</v>
      </c>
      <c r="C19" s="229" t="s">
        <v>164</v>
      </c>
      <c r="D19" s="230"/>
      <c r="E19" s="230"/>
      <c r="F19" s="117" t="s">
        <v>195</v>
      </c>
      <c r="G19" s="80"/>
      <c r="H19" s="231" t="s">
        <v>1</v>
      </c>
      <c r="I19" s="231"/>
      <c r="J19" s="82">
        <v>5000</v>
      </c>
      <c r="L19" s="77" t="s">
        <v>0</v>
      </c>
      <c r="M19" s="229" t="s">
        <v>164</v>
      </c>
      <c r="N19" s="230"/>
      <c r="O19" s="230"/>
      <c r="P19" s="117" t="s">
        <v>195</v>
      </c>
      <c r="Q19" s="80"/>
      <c r="R19" s="231" t="s">
        <v>1</v>
      </c>
      <c r="S19" s="231"/>
      <c r="T19" s="82">
        <v>5000</v>
      </c>
    </row>
    <row r="20" spans="2:20" x14ac:dyDescent="0.3">
      <c r="B20" s="77" t="s">
        <v>2</v>
      </c>
      <c r="C20" s="83"/>
      <c r="D20" s="79"/>
      <c r="E20" s="83"/>
      <c r="F20" s="81"/>
      <c r="G20" s="81"/>
      <c r="H20" s="84"/>
      <c r="I20" s="81" t="s">
        <v>3</v>
      </c>
      <c r="J20" s="85" t="s">
        <v>199</v>
      </c>
      <c r="L20" s="77" t="s">
        <v>2</v>
      </c>
      <c r="M20" s="83"/>
      <c r="N20" s="79"/>
      <c r="O20" s="83"/>
      <c r="P20" s="81"/>
      <c r="Q20" s="81"/>
      <c r="R20" s="84"/>
      <c r="S20" s="81" t="s">
        <v>3</v>
      </c>
      <c r="T20" s="85" t="s">
        <v>199</v>
      </c>
    </row>
    <row r="21" spans="2:20" x14ac:dyDescent="0.3">
      <c r="B21" s="77" t="s">
        <v>4</v>
      </c>
      <c r="C21" s="78"/>
      <c r="D21" s="79"/>
      <c r="E21" s="78"/>
      <c r="F21" s="231" t="s">
        <v>5</v>
      </c>
      <c r="G21" s="231"/>
      <c r="H21" s="231"/>
      <c r="I21" s="231"/>
      <c r="J21" s="86">
        <v>1.4999999999999999E-2</v>
      </c>
      <c r="L21" s="77" t="s">
        <v>4</v>
      </c>
      <c r="M21" s="78"/>
      <c r="N21" s="79"/>
      <c r="O21" s="78"/>
      <c r="P21" s="231" t="s">
        <v>5</v>
      </c>
      <c r="Q21" s="231"/>
      <c r="R21" s="231"/>
      <c r="S21" s="231"/>
      <c r="T21" s="86">
        <v>1.4999999999999999E-2</v>
      </c>
    </row>
    <row r="22" spans="2:20" ht="15" thickBot="1" x14ac:dyDescent="0.35">
      <c r="B22" s="77" t="s">
        <v>6</v>
      </c>
      <c r="C22" s="232"/>
      <c r="D22" s="232"/>
      <c r="E22" s="233" t="s">
        <v>7</v>
      </c>
      <c r="F22" s="233"/>
      <c r="G22" s="233"/>
      <c r="H22" s="233"/>
      <c r="I22" s="233"/>
      <c r="J22" s="78">
        <v>2</v>
      </c>
      <c r="L22" s="77" t="s">
        <v>6</v>
      </c>
      <c r="M22" s="232"/>
      <c r="N22" s="232"/>
      <c r="O22" s="233" t="s">
        <v>7</v>
      </c>
      <c r="P22" s="233"/>
      <c r="Q22" s="233"/>
      <c r="R22" s="233"/>
      <c r="S22" s="233"/>
      <c r="T22" s="78">
        <v>2</v>
      </c>
    </row>
    <row r="23" spans="2:20" ht="41.4" thickBot="1" x14ac:dyDescent="0.35">
      <c r="B23" s="89" t="s">
        <v>8</v>
      </c>
      <c r="C23" s="89" t="s">
        <v>9</v>
      </c>
      <c r="D23" s="89" t="s">
        <v>10</v>
      </c>
      <c r="E23" s="90" t="s">
        <v>11</v>
      </c>
      <c r="F23" s="91" t="s">
        <v>12</v>
      </c>
      <c r="G23" s="92" t="s">
        <v>13</v>
      </c>
      <c r="H23" s="92" t="s">
        <v>14</v>
      </c>
      <c r="I23" s="92" t="s">
        <v>15</v>
      </c>
      <c r="J23" s="93" t="s">
        <v>16</v>
      </c>
      <c r="L23" s="89" t="s">
        <v>8</v>
      </c>
      <c r="M23" s="89" t="s">
        <v>9</v>
      </c>
      <c r="N23" s="89" t="s">
        <v>10</v>
      </c>
      <c r="O23" s="90" t="s">
        <v>11</v>
      </c>
      <c r="P23" s="91" t="s">
        <v>12</v>
      </c>
      <c r="Q23" s="92" t="s">
        <v>13</v>
      </c>
      <c r="R23" s="92" t="s">
        <v>14</v>
      </c>
      <c r="S23" s="92" t="s">
        <v>15</v>
      </c>
      <c r="T23" s="93" t="s">
        <v>16</v>
      </c>
    </row>
    <row r="24" spans="2:20" x14ac:dyDescent="0.3">
      <c r="B24" s="94" t="s">
        <v>17</v>
      </c>
      <c r="C24" s="95">
        <f>J19</f>
        <v>5000</v>
      </c>
      <c r="D24" s="95">
        <f>J19/J22</f>
        <v>2500</v>
      </c>
      <c r="E24" s="95">
        <f>(C24*0.015)</f>
        <v>75</v>
      </c>
      <c r="F24" s="95">
        <f>SUM(D24:E24)</f>
        <v>2575</v>
      </c>
      <c r="G24" s="95"/>
      <c r="H24" s="95"/>
      <c r="I24" s="96"/>
      <c r="J24" s="97"/>
      <c r="L24" s="94" t="s">
        <v>17</v>
      </c>
      <c r="M24" s="95">
        <f>T19</f>
        <v>5000</v>
      </c>
      <c r="N24" s="95">
        <f>T19/T22</f>
        <v>2500</v>
      </c>
      <c r="O24" s="95">
        <f>(M24*0.015)</f>
        <v>75</v>
      </c>
      <c r="P24" s="95">
        <f>SUM(N24:O24)</f>
        <v>2575</v>
      </c>
      <c r="Q24" s="95"/>
      <c r="R24" s="95"/>
      <c r="S24" s="96"/>
      <c r="T24" s="97"/>
    </row>
    <row r="25" spans="2:20" x14ac:dyDescent="0.3">
      <c r="B25" s="98" t="s">
        <v>18</v>
      </c>
      <c r="C25" s="99">
        <v>2500</v>
      </c>
      <c r="D25" s="99">
        <v>2500</v>
      </c>
      <c r="E25" s="99">
        <f>(C25*0.015)</f>
        <v>37.5</v>
      </c>
      <c r="F25" s="99">
        <f>SUM(D25:E25)</f>
        <v>2537.5</v>
      </c>
      <c r="G25" s="99"/>
      <c r="H25" s="99"/>
      <c r="I25" s="100"/>
      <c r="J25" s="101" t="s">
        <v>42</v>
      </c>
      <c r="L25" s="98" t="s">
        <v>18</v>
      </c>
      <c r="M25" s="99">
        <v>2500</v>
      </c>
      <c r="N25" s="99">
        <v>2500</v>
      </c>
      <c r="O25" s="99">
        <f>(M25*0.015)</f>
        <v>37.5</v>
      </c>
      <c r="P25" s="99">
        <f>SUM(N25:O25)</f>
        <v>2537.5</v>
      </c>
      <c r="Q25" s="99"/>
      <c r="R25" s="99"/>
      <c r="S25" s="100"/>
      <c r="T25" s="101" t="s">
        <v>42</v>
      </c>
    </row>
  </sheetData>
  <mergeCells count="10">
    <mergeCell ref="M19:O19"/>
    <mergeCell ref="R19:S19"/>
    <mergeCell ref="F21:I21"/>
    <mergeCell ref="P21:S21"/>
    <mergeCell ref="C22:D22"/>
    <mergeCell ref="E22:I22"/>
    <mergeCell ref="M22:N22"/>
    <mergeCell ref="O22:S22"/>
    <mergeCell ref="C19:E19"/>
    <mergeCell ref="H19:I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6934F-46F6-4D39-B35E-F2A48DA2B177}">
  <dimension ref="B1:T29"/>
  <sheetViews>
    <sheetView topLeftCell="A12" workbookViewId="0">
      <selection activeCell="A24" sqref="A24:T29"/>
    </sheetView>
  </sheetViews>
  <sheetFormatPr defaultRowHeight="14.4" x14ac:dyDescent="0.3"/>
  <cols>
    <col min="1" max="1" width="1.109375" customWidth="1"/>
    <col min="2" max="2" width="11.44140625" customWidth="1"/>
    <col min="10" max="10" width="8.88671875" customWidth="1"/>
    <col min="11" max="11" width="10.109375" customWidth="1"/>
    <col min="12" max="12" width="10.88671875" customWidth="1"/>
  </cols>
  <sheetData>
    <row r="1" spans="2:20" x14ac:dyDescent="0.3">
      <c r="B1" s="77" t="s">
        <v>0</v>
      </c>
      <c r="C1" s="229" t="s">
        <v>56</v>
      </c>
      <c r="D1" s="230"/>
      <c r="E1" s="230"/>
      <c r="F1" s="79"/>
      <c r="G1" s="80"/>
      <c r="H1" s="231" t="s">
        <v>1</v>
      </c>
      <c r="I1" s="231"/>
      <c r="J1" s="82">
        <v>20000</v>
      </c>
      <c r="L1" s="77" t="s">
        <v>0</v>
      </c>
      <c r="M1" s="229" t="s">
        <v>56</v>
      </c>
      <c r="N1" s="230"/>
      <c r="O1" s="230"/>
      <c r="P1" s="79"/>
      <c r="Q1" s="80"/>
      <c r="R1" s="231" t="s">
        <v>1</v>
      </c>
      <c r="S1" s="231"/>
      <c r="T1" s="82">
        <v>20000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57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57</v>
      </c>
    </row>
    <row r="3" spans="2:20" x14ac:dyDescent="0.3">
      <c r="B3" s="77" t="s">
        <v>4</v>
      </c>
      <c r="C3" s="78"/>
      <c r="D3" s="79"/>
      <c r="E3" s="78"/>
      <c r="F3" s="231" t="s">
        <v>5</v>
      </c>
      <c r="G3" s="231"/>
      <c r="H3" s="231"/>
      <c r="I3" s="231"/>
      <c r="J3" s="86">
        <v>1.4999999999999999E-2</v>
      </c>
      <c r="L3" s="77" t="s">
        <v>4</v>
      </c>
      <c r="M3" s="78"/>
      <c r="N3" s="79"/>
      <c r="O3" s="78"/>
      <c r="P3" s="231" t="s">
        <v>5</v>
      </c>
      <c r="Q3" s="231"/>
      <c r="R3" s="231"/>
      <c r="S3" s="231"/>
      <c r="T3" s="86">
        <v>1.4999999999999999E-2</v>
      </c>
    </row>
    <row r="4" spans="2:20" ht="15" thickBot="1" x14ac:dyDescent="0.35">
      <c r="B4" s="77" t="s">
        <v>6</v>
      </c>
      <c r="C4" s="232"/>
      <c r="D4" s="232"/>
      <c r="E4" s="233" t="s">
        <v>7</v>
      </c>
      <c r="F4" s="233"/>
      <c r="G4" s="233"/>
      <c r="H4" s="233"/>
      <c r="I4" s="233"/>
      <c r="J4" s="78">
        <v>1</v>
      </c>
      <c r="L4" s="77" t="s">
        <v>6</v>
      </c>
      <c r="M4" s="232"/>
      <c r="N4" s="232"/>
      <c r="O4" s="233" t="s">
        <v>7</v>
      </c>
      <c r="P4" s="233"/>
      <c r="Q4" s="233"/>
      <c r="R4" s="233"/>
      <c r="S4" s="233"/>
      <c r="T4" s="78">
        <v>1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f>J1</f>
        <v>20000</v>
      </c>
      <c r="D6" s="95">
        <f>J1/J4</f>
        <v>20000</v>
      </c>
      <c r="E6" s="95">
        <f>(C6*0.015)</f>
        <v>300</v>
      </c>
      <c r="F6" s="95">
        <f>'24 mos'!$C$255+E6</f>
        <v>100300</v>
      </c>
      <c r="G6" s="95"/>
      <c r="H6" s="95"/>
      <c r="I6" s="96"/>
      <c r="J6" s="97" t="s">
        <v>42</v>
      </c>
      <c r="L6" s="94" t="s">
        <v>17</v>
      </c>
      <c r="M6" s="95">
        <f>T1</f>
        <v>20000</v>
      </c>
      <c r="N6" s="95">
        <f>T1/T4</f>
        <v>20000</v>
      </c>
      <c r="O6" s="95">
        <f>(M6*0.015)</f>
        <v>300</v>
      </c>
      <c r="P6" s="95">
        <f>'24 mos'!$C$255+O6</f>
        <v>100300</v>
      </c>
      <c r="Q6" s="95"/>
      <c r="R6" s="95"/>
      <c r="S6" s="96"/>
      <c r="T6" s="97" t="s">
        <v>42</v>
      </c>
    </row>
    <row r="9" spans="2:20" x14ac:dyDescent="0.3">
      <c r="B9" s="77" t="s">
        <v>0</v>
      </c>
      <c r="C9" s="77" t="s">
        <v>100</v>
      </c>
      <c r="D9" s="112"/>
      <c r="E9" s="112"/>
      <c r="F9" s="79"/>
      <c r="G9" s="79"/>
      <c r="H9" s="80"/>
      <c r="I9" s="81" t="s">
        <v>1</v>
      </c>
      <c r="J9" s="82">
        <v>10000</v>
      </c>
      <c r="L9" s="77" t="s">
        <v>0</v>
      </c>
      <c r="M9" s="77" t="s">
        <v>100</v>
      </c>
      <c r="N9" s="112"/>
      <c r="O9" s="112"/>
      <c r="P9" s="79"/>
      <c r="Q9" s="79"/>
      <c r="R9" s="80"/>
      <c r="S9" s="81" t="s">
        <v>1</v>
      </c>
      <c r="T9" s="82">
        <v>10000</v>
      </c>
    </row>
    <row r="10" spans="2:20" x14ac:dyDescent="0.3">
      <c r="B10" s="77" t="s">
        <v>2</v>
      </c>
      <c r="C10" s="83"/>
      <c r="D10" s="79"/>
      <c r="E10" s="83"/>
      <c r="F10" s="81"/>
      <c r="G10" s="81"/>
      <c r="H10" s="84"/>
      <c r="I10" s="81" t="s">
        <v>3</v>
      </c>
      <c r="J10" s="85" t="s">
        <v>78</v>
      </c>
      <c r="L10" s="77" t="s">
        <v>2</v>
      </c>
      <c r="M10" s="83"/>
      <c r="N10" s="79"/>
      <c r="O10" s="83"/>
      <c r="P10" s="81"/>
      <c r="Q10" s="81"/>
      <c r="R10" s="84"/>
      <c r="S10" s="81" t="s">
        <v>3</v>
      </c>
      <c r="T10" s="85" t="s">
        <v>78</v>
      </c>
    </row>
    <row r="11" spans="2:20" x14ac:dyDescent="0.3">
      <c r="B11" s="77" t="s">
        <v>4</v>
      </c>
      <c r="C11" s="78"/>
      <c r="D11" s="79"/>
      <c r="E11" s="78"/>
      <c r="F11" s="79"/>
      <c r="G11" s="81"/>
      <c r="H11" s="79"/>
      <c r="I11" s="81" t="s">
        <v>5</v>
      </c>
      <c r="J11" s="86">
        <v>1.4999999999999999E-2</v>
      </c>
      <c r="L11" s="77" t="s">
        <v>4</v>
      </c>
      <c r="M11" s="78"/>
      <c r="N11" s="79"/>
      <c r="O11" s="78"/>
      <c r="P11" s="79"/>
      <c r="Q11" s="81"/>
      <c r="R11" s="79"/>
      <c r="S11" s="81" t="s">
        <v>5</v>
      </c>
      <c r="T11" s="86">
        <v>1.4999999999999999E-2</v>
      </c>
    </row>
    <row r="12" spans="2:20" ht="15" thickBot="1" x14ac:dyDescent="0.35">
      <c r="B12" s="77" t="s">
        <v>6</v>
      </c>
      <c r="C12" s="87"/>
      <c r="D12" s="87"/>
      <c r="E12" s="79"/>
      <c r="F12" s="88"/>
      <c r="G12" s="79"/>
      <c r="H12" s="88"/>
      <c r="I12" s="88" t="s">
        <v>7</v>
      </c>
      <c r="J12" s="78">
        <v>1</v>
      </c>
      <c r="L12" s="77" t="s">
        <v>6</v>
      </c>
      <c r="M12" s="87"/>
      <c r="N12" s="87"/>
      <c r="O12" s="79"/>
      <c r="P12" s="88"/>
      <c r="Q12" s="79"/>
      <c r="R12" s="88"/>
      <c r="S12" s="88" t="s">
        <v>7</v>
      </c>
      <c r="T12" s="78">
        <v>1</v>
      </c>
    </row>
    <row r="13" spans="2:20" ht="41.4" thickBot="1" x14ac:dyDescent="0.35">
      <c r="B13" s="172" t="s">
        <v>8</v>
      </c>
      <c r="C13" s="172" t="s">
        <v>9</v>
      </c>
      <c r="D13" s="172" t="s">
        <v>10</v>
      </c>
      <c r="E13" s="173" t="s">
        <v>11</v>
      </c>
      <c r="F13" s="174" t="s">
        <v>12</v>
      </c>
      <c r="G13" s="175" t="s">
        <v>13</v>
      </c>
      <c r="H13" s="175" t="s">
        <v>14</v>
      </c>
      <c r="I13" s="175" t="s">
        <v>15</v>
      </c>
      <c r="J13" s="176" t="s">
        <v>16</v>
      </c>
      <c r="L13" s="89" t="s">
        <v>8</v>
      </c>
      <c r="M13" s="89" t="s">
        <v>9</v>
      </c>
      <c r="N13" s="89" t="s">
        <v>10</v>
      </c>
      <c r="O13" s="90" t="s">
        <v>11</v>
      </c>
      <c r="P13" s="91" t="s">
        <v>12</v>
      </c>
      <c r="Q13" s="92" t="s">
        <v>13</v>
      </c>
      <c r="R13" s="92" t="s">
        <v>14</v>
      </c>
      <c r="S13" s="92" t="s">
        <v>15</v>
      </c>
      <c r="T13" s="93" t="s">
        <v>16</v>
      </c>
    </row>
    <row r="14" spans="2:20" x14ac:dyDescent="0.3">
      <c r="B14" s="106" t="s">
        <v>17</v>
      </c>
      <c r="C14" s="99">
        <f>J9</f>
        <v>10000</v>
      </c>
      <c r="D14" s="99">
        <f>J9/J12</f>
        <v>10000</v>
      </c>
      <c r="E14" s="99">
        <f>(C14*0.015)</f>
        <v>150</v>
      </c>
      <c r="F14" s="99">
        <f>'24 mos'!$C$255+E14</f>
        <v>100150</v>
      </c>
      <c r="G14" s="99"/>
      <c r="H14" s="99"/>
      <c r="I14" s="100"/>
      <c r="J14" s="124" t="s">
        <v>42</v>
      </c>
      <c r="L14" s="94" t="s">
        <v>17</v>
      </c>
      <c r="M14" s="95">
        <f>T9</f>
        <v>10000</v>
      </c>
      <c r="N14" s="95">
        <f>T9/T12</f>
        <v>10000</v>
      </c>
      <c r="O14" s="95">
        <f>(M14*0.015)</f>
        <v>150</v>
      </c>
      <c r="P14" s="95">
        <f>'24 mos'!$C$255+O14</f>
        <v>100150</v>
      </c>
      <c r="Q14" s="95"/>
      <c r="R14" s="95"/>
      <c r="S14" s="96"/>
      <c r="T14" s="97" t="s">
        <v>42</v>
      </c>
    </row>
    <row r="15" spans="2:20" x14ac:dyDescent="0.3">
      <c r="B15" s="77"/>
      <c r="C15" s="77"/>
      <c r="D15" s="112"/>
      <c r="E15" s="112"/>
      <c r="F15" s="79"/>
      <c r="G15" s="80"/>
      <c r="I15" s="81"/>
      <c r="J15" s="82"/>
    </row>
    <row r="16" spans="2:20" x14ac:dyDescent="0.3">
      <c r="B16" s="77"/>
      <c r="C16" s="83"/>
      <c r="D16" s="79"/>
      <c r="E16" s="83"/>
      <c r="F16" s="81"/>
      <c r="G16" s="81"/>
      <c r="H16" s="84"/>
      <c r="I16" s="81"/>
      <c r="J16" s="85"/>
    </row>
    <row r="17" spans="2:20" x14ac:dyDescent="0.3">
      <c r="B17" s="77" t="s">
        <v>0</v>
      </c>
      <c r="C17" s="77"/>
      <c r="D17" s="112"/>
      <c r="E17" s="112"/>
      <c r="F17" s="117"/>
      <c r="G17" s="80"/>
      <c r="I17" s="81" t="s">
        <v>1</v>
      </c>
      <c r="J17" s="82">
        <v>30000</v>
      </c>
      <c r="L17" s="77" t="s">
        <v>0</v>
      </c>
      <c r="M17" s="77"/>
      <c r="N17" s="112"/>
      <c r="O17" s="112"/>
      <c r="P17" s="117"/>
      <c r="Q17" s="80"/>
      <c r="S17" s="81" t="s">
        <v>1</v>
      </c>
      <c r="T17" s="82">
        <v>30000</v>
      </c>
    </row>
    <row r="18" spans="2:20" x14ac:dyDescent="0.3">
      <c r="B18" s="77" t="s">
        <v>2</v>
      </c>
      <c r="C18" s="83"/>
      <c r="D18" s="79"/>
      <c r="E18" s="83"/>
      <c r="F18" s="81"/>
      <c r="G18" s="81"/>
      <c r="H18" s="84"/>
      <c r="I18" s="81" t="s">
        <v>3</v>
      </c>
      <c r="J18" s="85"/>
      <c r="L18" s="77" t="s">
        <v>2</v>
      </c>
      <c r="M18" s="83"/>
      <c r="N18" s="79"/>
      <c r="O18" s="83"/>
      <c r="P18" s="81"/>
      <c r="Q18" s="81"/>
      <c r="R18" s="84"/>
      <c r="S18" s="81" t="s">
        <v>3</v>
      </c>
      <c r="T18" s="85"/>
    </row>
    <row r="19" spans="2:20" x14ac:dyDescent="0.3">
      <c r="B19" s="77" t="s">
        <v>4</v>
      </c>
      <c r="C19" s="78"/>
      <c r="D19" s="79"/>
      <c r="E19" s="78"/>
      <c r="G19" s="81"/>
      <c r="H19" s="81"/>
      <c r="I19" s="81" t="s">
        <v>5</v>
      </c>
      <c r="J19" s="86">
        <v>1.4999999999999999E-2</v>
      </c>
      <c r="L19" s="77" t="s">
        <v>4</v>
      </c>
      <c r="M19" s="78"/>
      <c r="N19" s="79"/>
      <c r="O19" s="78"/>
      <c r="Q19" s="81"/>
      <c r="R19" s="81"/>
      <c r="S19" s="81" t="s">
        <v>5</v>
      </c>
      <c r="T19" s="86">
        <v>1.4999999999999999E-2</v>
      </c>
    </row>
    <row r="20" spans="2:20" ht="15" thickBot="1" x14ac:dyDescent="0.35">
      <c r="B20" s="77" t="s">
        <v>6</v>
      </c>
      <c r="C20" s="87"/>
      <c r="D20" s="87"/>
      <c r="F20" s="88"/>
      <c r="G20" s="88"/>
      <c r="H20" s="88"/>
      <c r="I20" s="88" t="s">
        <v>7</v>
      </c>
      <c r="J20" s="78">
        <v>1</v>
      </c>
      <c r="L20" s="77" t="s">
        <v>6</v>
      </c>
      <c r="M20" s="87"/>
      <c r="N20" s="87"/>
      <c r="P20" s="88"/>
      <c r="Q20" s="88"/>
      <c r="R20" s="88"/>
      <c r="S20" s="88" t="s">
        <v>7</v>
      </c>
      <c r="T20" s="78">
        <v>1</v>
      </c>
    </row>
    <row r="21" spans="2:20" ht="41.4" thickBot="1" x14ac:dyDescent="0.35">
      <c r="B21" s="89" t="s">
        <v>8</v>
      </c>
      <c r="C21" s="89" t="s">
        <v>9</v>
      </c>
      <c r="D21" s="89" t="s">
        <v>10</v>
      </c>
      <c r="E21" s="90" t="s">
        <v>11</v>
      </c>
      <c r="F21" s="91" t="s">
        <v>12</v>
      </c>
      <c r="G21" s="92" t="s">
        <v>13</v>
      </c>
      <c r="H21" s="92" t="s">
        <v>14</v>
      </c>
      <c r="I21" s="92" t="s">
        <v>15</v>
      </c>
      <c r="J21" s="93" t="s">
        <v>16</v>
      </c>
      <c r="L21" s="89" t="s">
        <v>8</v>
      </c>
      <c r="M21" s="89" t="s">
        <v>9</v>
      </c>
      <c r="N21" s="89" t="s">
        <v>10</v>
      </c>
      <c r="O21" s="90" t="s">
        <v>11</v>
      </c>
      <c r="P21" s="91" t="s">
        <v>12</v>
      </c>
      <c r="Q21" s="92" t="s">
        <v>13</v>
      </c>
      <c r="R21" s="92" t="s">
        <v>14</v>
      </c>
      <c r="S21" s="92" t="s">
        <v>15</v>
      </c>
      <c r="T21" s="93" t="s">
        <v>16</v>
      </c>
    </row>
    <row r="22" spans="2:20" x14ac:dyDescent="0.3">
      <c r="B22" s="94" t="s">
        <v>17</v>
      </c>
      <c r="C22" s="95">
        <f>J17</f>
        <v>30000</v>
      </c>
      <c r="D22" s="95">
        <f>J17/J20</f>
        <v>30000</v>
      </c>
      <c r="E22" s="95">
        <f>(C22*0.015)</f>
        <v>450</v>
      </c>
      <c r="F22" s="95">
        <f>'24 mos'!$C$255+E22</f>
        <v>100450</v>
      </c>
      <c r="G22" s="95"/>
      <c r="H22" s="95"/>
      <c r="I22" s="96"/>
      <c r="J22" s="97" t="s">
        <v>42</v>
      </c>
      <c r="L22" s="94" t="s">
        <v>17</v>
      </c>
      <c r="M22" s="95">
        <f>T17</f>
        <v>30000</v>
      </c>
      <c r="N22" s="95">
        <f>T17/T20</f>
        <v>30000</v>
      </c>
      <c r="O22" s="95">
        <f>(M22*0.015)</f>
        <v>450</v>
      </c>
      <c r="P22" s="95">
        <f>'24 mos'!$C$255+O22</f>
        <v>100450</v>
      </c>
      <c r="Q22" s="95"/>
      <c r="R22" s="95"/>
      <c r="S22" s="96"/>
      <c r="T22" s="97" t="s">
        <v>42</v>
      </c>
    </row>
    <row r="24" spans="2:20" x14ac:dyDescent="0.3">
      <c r="B24" s="77" t="s">
        <v>0</v>
      </c>
      <c r="C24" s="77" t="s">
        <v>116</v>
      </c>
      <c r="D24" s="112"/>
      <c r="E24" s="112"/>
      <c r="F24" s="117" t="s">
        <v>195</v>
      </c>
      <c r="G24" s="80"/>
      <c r="I24" s="81" t="s">
        <v>1</v>
      </c>
      <c r="J24" s="82">
        <v>5000</v>
      </c>
      <c r="L24" s="77" t="s">
        <v>0</v>
      </c>
      <c r="M24" s="77" t="s">
        <v>116</v>
      </c>
      <c r="N24" s="112"/>
      <c r="O24" s="112"/>
      <c r="P24" s="117" t="s">
        <v>195</v>
      </c>
      <c r="Q24" s="80"/>
      <c r="S24" s="81" t="s">
        <v>1</v>
      </c>
      <c r="T24" s="82">
        <v>5000</v>
      </c>
    </row>
    <row r="25" spans="2:20" x14ac:dyDescent="0.3">
      <c r="B25" s="77" t="s">
        <v>2</v>
      </c>
      <c r="C25" s="83"/>
      <c r="D25" s="79"/>
      <c r="E25" s="83"/>
      <c r="F25" s="81"/>
      <c r="G25" s="81"/>
      <c r="H25" s="84"/>
      <c r="I25" s="81" t="s">
        <v>3</v>
      </c>
      <c r="J25" s="85" t="s">
        <v>315</v>
      </c>
      <c r="L25" s="77" t="s">
        <v>2</v>
      </c>
      <c r="M25" s="83"/>
      <c r="N25" s="79"/>
      <c r="O25" s="83"/>
      <c r="P25" s="81"/>
      <c r="Q25" s="81"/>
      <c r="R25" s="84"/>
      <c r="S25" s="81" t="s">
        <v>3</v>
      </c>
      <c r="T25" s="85" t="s">
        <v>315</v>
      </c>
    </row>
    <row r="26" spans="2:20" x14ac:dyDescent="0.3">
      <c r="B26" s="77" t="s">
        <v>4</v>
      </c>
      <c r="C26" s="78"/>
      <c r="D26" s="79"/>
      <c r="E26" s="78"/>
      <c r="G26" s="81"/>
      <c r="H26" s="81"/>
      <c r="I26" s="81" t="s">
        <v>5</v>
      </c>
      <c r="J26" s="86">
        <v>1.4999999999999999E-2</v>
      </c>
      <c r="L26" s="77" t="s">
        <v>4</v>
      </c>
      <c r="M26" s="78"/>
      <c r="N26" s="79"/>
      <c r="O26" s="78"/>
      <c r="Q26" s="81"/>
      <c r="R26" s="81"/>
      <c r="S26" s="81" t="s">
        <v>5</v>
      </c>
      <c r="T26" s="86">
        <v>1.4999999999999999E-2</v>
      </c>
    </row>
    <row r="27" spans="2:20" ht="15" thickBot="1" x14ac:dyDescent="0.35">
      <c r="B27" s="77" t="s">
        <v>6</v>
      </c>
      <c r="C27" s="87"/>
      <c r="D27" s="87"/>
      <c r="F27" s="88"/>
      <c r="G27" s="88"/>
      <c r="H27" s="88"/>
      <c r="I27" s="88" t="s">
        <v>7</v>
      </c>
      <c r="J27" s="78">
        <v>1</v>
      </c>
      <c r="L27" s="77" t="s">
        <v>6</v>
      </c>
      <c r="M27" s="87"/>
      <c r="N27" s="87"/>
      <c r="P27" s="88"/>
      <c r="Q27" s="88"/>
      <c r="R27" s="88"/>
      <c r="S27" s="88" t="s">
        <v>7</v>
      </c>
      <c r="T27" s="78">
        <v>1</v>
      </c>
    </row>
    <row r="28" spans="2:20" ht="41.4" thickBot="1" x14ac:dyDescent="0.35">
      <c r="B28" s="89" t="s">
        <v>8</v>
      </c>
      <c r="C28" s="89" t="s">
        <v>9</v>
      </c>
      <c r="D28" s="89" t="s">
        <v>10</v>
      </c>
      <c r="E28" s="90" t="s">
        <v>11</v>
      </c>
      <c r="F28" s="91" t="s">
        <v>12</v>
      </c>
      <c r="G28" s="92" t="s">
        <v>13</v>
      </c>
      <c r="H28" s="92" t="s">
        <v>14</v>
      </c>
      <c r="I28" s="92" t="s">
        <v>15</v>
      </c>
      <c r="J28" s="93" t="s">
        <v>16</v>
      </c>
      <c r="L28" s="89" t="s">
        <v>8</v>
      </c>
      <c r="M28" s="89" t="s">
        <v>9</v>
      </c>
      <c r="N28" s="89" t="s">
        <v>10</v>
      </c>
      <c r="O28" s="90" t="s">
        <v>11</v>
      </c>
      <c r="P28" s="91" t="s">
        <v>12</v>
      </c>
      <c r="Q28" s="92" t="s">
        <v>13</v>
      </c>
      <c r="R28" s="92" t="s">
        <v>14</v>
      </c>
      <c r="S28" s="92" t="s">
        <v>15</v>
      </c>
      <c r="T28" s="93" t="s">
        <v>16</v>
      </c>
    </row>
    <row r="29" spans="2:20" x14ac:dyDescent="0.3">
      <c r="B29" s="94" t="s">
        <v>17</v>
      </c>
      <c r="C29" s="95">
        <f>J24</f>
        <v>5000</v>
      </c>
      <c r="D29" s="95">
        <f>J24/J27</f>
        <v>5000</v>
      </c>
      <c r="E29" s="95">
        <f>(C29*0.015)</f>
        <v>75</v>
      </c>
      <c r="F29" s="95">
        <f>SUM(D29:E29)</f>
        <v>5075</v>
      </c>
      <c r="G29" s="95"/>
      <c r="H29" s="95"/>
      <c r="I29" s="96"/>
      <c r="J29" s="97" t="s">
        <v>42</v>
      </c>
      <c r="L29" s="94" t="s">
        <v>17</v>
      </c>
      <c r="M29" s="95">
        <f>T24</f>
        <v>5000</v>
      </c>
      <c r="N29" s="95">
        <f>T24/T27</f>
        <v>5000</v>
      </c>
      <c r="O29" s="95">
        <f>(M29*0.015)</f>
        <v>75</v>
      </c>
      <c r="P29" s="95">
        <f>SUM(N29:O29)</f>
        <v>5075</v>
      </c>
      <c r="Q29" s="95"/>
      <c r="R29" s="95"/>
      <c r="S29" s="96"/>
      <c r="T29" s="97" t="s">
        <v>42</v>
      </c>
    </row>
  </sheetData>
  <mergeCells count="10">
    <mergeCell ref="R1:S1"/>
    <mergeCell ref="P3:S3"/>
    <mergeCell ref="M4:N4"/>
    <mergeCell ref="O4:S4"/>
    <mergeCell ref="C1:E1"/>
    <mergeCell ref="H1:I1"/>
    <mergeCell ref="F3:I3"/>
    <mergeCell ref="C4:D4"/>
    <mergeCell ref="E4:I4"/>
    <mergeCell ref="M1:O1"/>
  </mergeCells>
  <pageMargins left="0.25" right="0.25" top="0.75" bottom="0.75" header="0.3" footer="0.3"/>
  <pageSetup paperSize="5" scale="90" orientation="landscape" horizontalDpi="4294967293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FF07-B311-42B6-A345-888401276968}">
  <dimension ref="A1:T23"/>
  <sheetViews>
    <sheetView workbookViewId="0">
      <selection sqref="A1:T23"/>
    </sheetView>
  </sheetViews>
  <sheetFormatPr defaultRowHeight="14.4" x14ac:dyDescent="0.3"/>
  <cols>
    <col min="1" max="1" width="3.109375" customWidth="1"/>
    <col min="11" max="11" width="8.88671875" customWidth="1"/>
  </cols>
  <sheetData>
    <row r="1" spans="1:20" x14ac:dyDescent="0.3">
      <c r="A1" s="1"/>
      <c r="B1" s="77" t="s">
        <v>0</v>
      </c>
      <c r="C1" s="77" t="s">
        <v>249</v>
      </c>
      <c r="D1" s="112"/>
      <c r="E1" s="112"/>
      <c r="F1" s="79"/>
      <c r="G1" s="80"/>
      <c r="I1" s="81" t="s">
        <v>1</v>
      </c>
      <c r="J1" s="82">
        <v>50000</v>
      </c>
      <c r="K1" s="1"/>
      <c r="L1" s="77" t="s">
        <v>0</v>
      </c>
      <c r="M1" s="77" t="s">
        <v>249</v>
      </c>
      <c r="N1" s="112"/>
      <c r="O1" s="112"/>
      <c r="P1" s="79"/>
      <c r="Q1" s="80"/>
      <c r="S1" s="81" t="s">
        <v>1</v>
      </c>
      <c r="T1" s="82">
        <v>50000</v>
      </c>
    </row>
    <row r="2" spans="1:20" x14ac:dyDescent="0.3">
      <c r="A2" s="1"/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250</v>
      </c>
      <c r="K2" s="1"/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250</v>
      </c>
    </row>
    <row r="3" spans="1:20" x14ac:dyDescent="0.3">
      <c r="A3" s="1"/>
      <c r="B3" s="77" t="s">
        <v>4</v>
      </c>
      <c r="C3" s="78"/>
      <c r="D3" s="79"/>
      <c r="E3" s="78"/>
      <c r="F3" s="81"/>
      <c r="G3" s="81"/>
      <c r="H3" s="81"/>
      <c r="I3" s="81" t="s">
        <v>5</v>
      </c>
      <c r="J3" s="86">
        <v>1.4999999999999999E-2</v>
      </c>
      <c r="K3" s="1"/>
      <c r="L3" s="77" t="s">
        <v>4</v>
      </c>
      <c r="M3" s="78"/>
      <c r="N3" s="79"/>
      <c r="O3" s="78"/>
      <c r="P3" s="81"/>
      <c r="Q3" s="81"/>
      <c r="R3" s="81"/>
      <c r="S3" s="81" t="s">
        <v>5</v>
      </c>
      <c r="T3" s="86">
        <v>1.4999999999999999E-2</v>
      </c>
    </row>
    <row r="4" spans="1:20" ht="15" thickBot="1" x14ac:dyDescent="0.35">
      <c r="A4" s="1"/>
      <c r="B4" s="77" t="s">
        <v>6</v>
      </c>
      <c r="C4" s="87"/>
      <c r="D4" s="87"/>
      <c r="E4" s="88"/>
      <c r="F4" s="88"/>
      <c r="G4" s="88"/>
      <c r="H4" s="88"/>
      <c r="I4" s="88" t="s">
        <v>7</v>
      </c>
      <c r="J4" s="78">
        <v>18</v>
      </c>
      <c r="K4" s="1"/>
      <c r="L4" s="77" t="s">
        <v>6</v>
      </c>
      <c r="M4" s="87"/>
      <c r="N4" s="87"/>
      <c r="O4" s="88"/>
      <c r="P4" s="88"/>
      <c r="Q4" s="88"/>
      <c r="R4" s="88"/>
      <c r="S4" s="88" t="s">
        <v>7</v>
      </c>
      <c r="T4" s="78">
        <v>18</v>
      </c>
    </row>
    <row r="5" spans="1:20" ht="41.4" thickBot="1" x14ac:dyDescent="0.35">
      <c r="A5" s="1"/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K5" s="1"/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1:20" x14ac:dyDescent="0.3">
      <c r="A6" s="1"/>
      <c r="B6" s="94" t="s">
        <v>17</v>
      </c>
      <c r="C6" s="95">
        <f>J1</f>
        <v>50000</v>
      </c>
      <c r="D6" s="95">
        <v>2778</v>
      </c>
      <c r="E6" s="95">
        <f t="shared" ref="E6:E23" si="0">(C6*0.015)</f>
        <v>750</v>
      </c>
      <c r="F6" s="95">
        <f t="shared" ref="F6:F23" si="1">SUM(D6:E6)</f>
        <v>3528</v>
      </c>
      <c r="G6" s="95"/>
      <c r="H6" s="126"/>
      <c r="I6" s="96"/>
      <c r="J6" s="97"/>
      <c r="K6" s="1"/>
      <c r="L6" s="94" t="s">
        <v>17</v>
      </c>
      <c r="M6" s="95">
        <f>T1</f>
        <v>50000</v>
      </c>
      <c r="N6" s="95">
        <v>2778</v>
      </c>
      <c r="O6" s="95">
        <f t="shared" ref="O6:O23" si="2">(M6*0.015)</f>
        <v>750</v>
      </c>
      <c r="P6" s="95">
        <f t="shared" ref="P6:P23" si="3">SUM(N6:O6)</f>
        <v>3528</v>
      </c>
      <c r="Q6" s="95"/>
      <c r="R6" s="126"/>
      <c r="S6" s="96"/>
      <c r="T6" s="97"/>
    </row>
    <row r="7" spans="1:20" x14ac:dyDescent="0.3">
      <c r="A7" s="1"/>
      <c r="B7" s="98" t="s">
        <v>18</v>
      </c>
      <c r="C7" s="99">
        <v>47226</v>
      </c>
      <c r="D7" s="99">
        <v>2778</v>
      </c>
      <c r="E7" s="99">
        <f t="shared" si="0"/>
        <v>708.39</v>
      </c>
      <c r="F7" s="99">
        <f t="shared" si="1"/>
        <v>3486.39</v>
      </c>
      <c r="G7" s="99"/>
      <c r="H7" s="127"/>
      <c r="I7" s="100"/>
      <c r="J7" s="101"/>
      <c r="K7" s="1"/>
      <c r="L7" s="98" t="s">
        <v>18</v>
      </c>
      <c r="M7" s="99">
        <v>47226</v>
      </c>
      <c r="N7" s="99">
        <v>2778</v>
      </c>
      <c r="O7" s="99">
        <f t="shared" si="2"/>
        <v>708.39</v>
      </c>
      <c r="P7" s="99">
        <f t="shared" si="3"/>
        <v>3486.39</v>
      </c>
      <c r="Q7" s="99"/>
      <c r="R7" s="127"/>
      <c r="S7" s="100"/>
      <c r="T7" s="101"/>
    </row>
    <row r="8" spans="1:20" x14ac:dyDescent="0.3">
      <c r="A8" s="1"/>
      <c r="B8" s="98" t="s">
        <v>19</v>
      </c>
      <c r="C8" s="99">
        <v>44448</v>
      </c>
      <c r="D8" s="99">
        <v>2778</v>
      </c>
      <c r="E8" s="99">
        <f t="shared" si="0"/>
        <v>666.72</v>
      </c>
      <c r="F8" s="99">
        <f t="shared" si="1"/>
        <v>3444.7200000000003</v>
      </c>
      <c r="G8" s="99"/>
      <c r="H8" s="127"/>
      <c r="I8" s="100"/>
      <c r="J8" s="101"/>
      <c r="K8" s="1"/>
      <c r="L8" s="98" t="s">
        <v>19</v>
      </c>
      <c r="M8" s="99">
        <v>44448</v>
      </c>
      <c r="N8" s="99">
        <v>2778</v>
      </c>
      <c r="O8" s="99">
        <f t="shared" si="2"/>
        <v>666.72</v>
      </c>
      <c r="P8" s="99">
        <f t="shared" si="3"/>
        <v>3444.7200000000003</v>
      </c>
      <c r="Q8" s="99"/>
      <c r="R8" s="127"/>
      <c r="S8" s="100"/>
      <c r="T8" s="101"/>
    </row>
    <row r="9" spans="1:20" ht="15" thickBot="1" x14ac:dyDescent="0.35">
      <c r="B9" s="98" t="s">
        <v>20</v>
      </c>
      <c r="C9" s="99">
        <v>41670</v>
      </c>
      <c r="D9" s="99">
        <v>2778</v>
      </c>
      <c r="E9" s="99">
        <f t="shared" si="0"/>
        <v>625.04999999999995</v>
      </c>
      <c r="F9" s="99">
        <f t="shared" si="1"/>
        <v>3403.05</v>
      </c>
      <c r="G9" s="99"/>
      <c r="H9" s="127"/>
      <c r="I9" s="100"/>
      <c r="J9" s="101"/>
      <c r="L9" s="98" t="s">
        <v>20</v>
      </c>
      <c r="M9" s="99">
        <v>41670</v>
      </c>
      <c r="N9" s="99">
        <v>2778</v>
      </c>
      <c r="O9" s="99">
        <f t="shared" si="2"/>
        <v>625.04999999999995</v>
      </c>
      <c r="P9" s="99">
        <f t="shared" si="3"/>
        <v>3403.05</v>
      </c>
      <c r="Q9" s="99"/>
      <c r="R9" s="127"/>
      <c r="S9" s="100"/>
      <c r="T9" s="101"/>
    </row>
    <row r="10" spans="1:20" x14ac:dyDescent="0.3">
      <c r="B10" s="98" t="s">
        <v>21</v>
      </c>
      <c r="C10" s="99">
        <v>38892</v>
      </c>
      <c r="D10" s="95">
        <v>2778</v>
      </c>
      <c r="E10" s="99">
        <f t="shared" si="0"/>
        <v>583.38</v>
      </c>
      <c r="F10" s="99">
        <f t="shared" si="1"/>
        <v>3361.38</v>
      </c>
      <c r="G10" s="99"/>
      <c r="H10" s="99"/>
      <c r="I10" s="100"/>
      <c r="J10" s="101"/>
      <c r="L10" s="98" t="s">
        <v>21</v>
      </c>
      <c r="M10" s="99">
        <v>38892</v>
      </c>
      <c r="N10" s="95">
        <v>2778</v>
      </c>
      <c r="O10" s="99">
        <f t="shared" si="2"/>
        <v>583.38</v>
      </c>
      <c r="P10" s="99">
        <f t="shared" si="3"/>
        <v>3361.38</v>
      </c>
      <c r="Q10" s="99"/>
      <c r="R10" s="99"/>
      <c r="S10" s="100"/>
      <c r="T10" s="101"/>
    </row>
    <row r="11" spans="1:20" x14ac:dyDescent="0.3">
      <c r="B11" s="98" t="s">
        <v>23</v>
      </c>
      <c r="C11" s="99">
        <v>36114</v>
      </c>
      <c r="D11" s="99">
        <v>2778</v>
      </c>
      <c r="E11" s="99">
        <f t="shared" si="0"/>
        <v>541.71</v>
      </c>
      <c r="F11" s="99">
        <f t="shared" si="1"/>
        <v>3319.71</v>
      </c>
      <c r="G11" s="99"/>
      <c r="H11" s="99"/>
      <c r="I11" s="100"/>
      <c r="J11" s="101"/>
      <c r="L11" s="98" t="s">
        <v>23</v>
      </c>
      <c r="M11" s="99">
        <v>36114</v>
      </c>
      <c r="N11" s="99">
        <v>2778</v>
      </c>
      <c r="O11" s="99">
        <f t="shared" si="2"/>
        <v>541.71</v>
      </c>
      <c r="P11" s="99">
        <f t="shared" si="3"/>
        <v>3319.71</v>
      </c>
      <c r="Q11" s="99"/>
      <c r="R11" s="99"/>
      <c r="S11" s="100"/>
      <c r="T11" s="101"/>
    </row>
    <row r="12" spans="1:20" x14ac:dyDescent="0.3">
      <c r="B12" s="98" t="s">
        <v>24</v>
      </c>
      <c r="C12" s="99">
        <v>33336</v>
      </c>
      <c r="D12" s="99">
        <v>2778</v>
      </c>
      <c r="E12" s="99">
        <f t="shared" si="0"/>
        <v>500.03999999999996</v>
      </c>
      <c r="F12" s="99">
        <f t="shared" si="1"/>
        <v>3278.04</v>
      </c>
      <c r="G12" s="99"/>
      <c r="H12" s="99"/>
      <c r="I12" s="100"/>
      <c r="J12" s="101"/>
      <c r="L12" s="98" t="s">
        <v>24</v>
      </c>
      <c r="M12" s="99">
        <v>33336</v>
      </c>
      <c r="N12" s="99">
        <v>2778</v>
      </c>
      <c r="O12" s="99">
        <f t="shared" si="2"/>
        <v>500.03999999999996</v>
      </c>
      <c r="P12" s="99">
        <f t="shared" si="3"/>
        <v>3278.04</v>
      </c>
      <c r="Q12" s="99"/>
      <c r="R12" s="99"/>
      <c r="S12" s="100"/>
      <c r="T12" s="101"/>
    </row>
    <row r="13" spans="1:20" ht="15" thickBot="1" x14ac:dyDescent="0.35">
      <c r="B13" s="98" t="s">
        <v>25</v>
      </c>
      <c r="C13" s="99">
        <v>30558</v>
      </c>
      <c r="D13" s="99">
        <v>2778</v>
      </c>
      <c r="E13" s="99">
        <f t="shared" si="0"/>
        <v>458.37</v>
      </c>
      <c r="F13" s="99">
        <f t="shared" si="1"/>
        <v>3236.37</v>
      </c>
      <c r="G13" s="99"/>
      <c r="H13" s="99"/>
      <c r="I13" s="100"/>
      <c r="J13" s="101"/>
      <c r="L13" s="98" t="s">
        <v>25</v>
      </c>
      <c r="M13" s="99">
        <v>30558</v>
      </c>
      <c r="N13" s="99">
        <v>2778</v>
      </c>
      <c r="O13" s="99">
        <f t="shared" si="2"/>
        <v>458.37</v>
      </c>
      <c r="P13" s="99">
        <f t="shared" si="3"/>
        <v>3236.37</v>
      </c>
      <c r="Q13" s="99"/>
      <c r="R13" s="99"/>
      <c r="S13" s="100"/>
      <c r="T13" s="101"/>
    </row>
    <row r="14" spans="1:20" x14ac:dyDescent="0.3">
      <c r="B14" s="98" t="s">
        <v>26</v>
      </c>
      <c r="C14" s="99">
        <v>27780</v>
      </c>
      <c r="D14" s="95">
        <v>2778</v>
      </c>
      <c r="E14" s="99">
        <f t="shared" si="0"/>
        <v>416.7</v>
      </c>
      <c r="F14" s="99">
        <f t="shared" si="1"/>
        <v>3194.7</v>
      </c>
      <c r="G14" s="99"/>
      <c r="H14" s="99"/>
      <c r="I14" s="100"/>
      <c r="J14" s="101"/>
      <c r="L14" s="98" t="s">
        <v>26</v>
      </c>
      <c r="M14" s="99">
        <v>27780</v>
      </c>
      <c r="N14" s="95">
        <v>2778</v>
      </c>
      <c r="O14" s="99">
        <f t="shared" si="2"/>
        <v>416.7</v>
      </c>
      <c r="P14" s="99">
        <f t="shared" si="3"/>
        <v>3194.7</v>
      </c>
      <c r="Q14" s="99"/>
      <c r="R14" s="99"/>
      <c r="S14" s="100"/>
      <c r="T14" s="101"/>
    </row>
    <row r="15" spans="1:20" x14ac:dyDescent="0.3">
      <c r="B15" s="98" t="s">
        <v>27</v>
      </c>
      <c r="C15" s="99">
        <v>25002</v>
      </c>
      <c r="D15" s="99">
        <v>2778</v>
      </c>
      <c r="E15" s="99">
        <f t="shared" si="0"/>
        <v>375.03</v>
      </c>
      <c r="F15" s="99">
        <f t="shared" si="1"/>
        <v>3153.0299999999997</v>
      </c>
      <c r="G15" s="99"/>
      <c r="H15" s="99"/>
      <c r="I15" s="100"/>
      <c r="J15" s="101"/>
      <c r="L15" s="98" t="s">
        <v>27</v>
      </c>
      <c r="M15" s="99">
        <v>25002</v>
      </c>
      <c r="N15" s="99">
        <v>2778</v>
      </c>
      <c r="O15" s="99">
        <f t="shared" si="2"/>
        <v>375.03</v>
      </c>
      <c r="P15" s="99">
        <f t="shared" si="3"/>
        <v>3153.0299999999997</v>
      </c>
      <c r="Q15" s="99"/>
      <c r="R15" s="99"/>
      <c r="S15" s="100"/>
      <c r="T15" s="101"/>
    </row>
    <row r="16" spans="1:20" x14ac:dyDescent="0.3">
      <c r="B16" s="98" t="s">
        <v>28</v>
      </c>
      <c r="C16" s="99">
        <v>22224</v>
      </c>
      <c r="D16" s="99">
        <v>2778</v>
      </c>
      <c r="E16" s="99">
        <f t="shared" si="0"/>
        <v>333.36</v>
      </c>
      <c r="F16" s="99">
        <f t="shared" si="1"/>
        <v>3111.36</v>
      </c>
      <c r="G16" s="99"/>
      <c r="H16" s="99"/>
      <c r="I16" s="100"/>
      <c r="J16" s="101"/>
      <c r="L16" s="98" t="s">
        <v>28</v>
      </c>
      <c r="M16" s="99">
        <v>22224</v>
      </c>
      <c r="N16" s="99">
        <v>2778</v>
      </c>
      <c r="O16" s="99">
        <f t="shared" si="2"/>
        <v>333.36</v>
      </c>
      <c r="P16" s="99">
        <f t="shared" si="3"/>
        <v>3111.36</v>
      </c>
      <c r="Q16" s="99"/>
      <c r="R16" s="99"/>
      <c r="S16" s="100"/>
      <c r="T16" s="101"/>
    </row>
    <row r="17" spans="2:20" ht="15" thickBot="1" x14ac:dyDescent="0.35">
      <c r="B17" s="98" t="s">
        <v>29</v>
      </c>
      <c r="C17" s="99">
        <v>19446</v>
      </c>
      <c r="D17" s="99">
        <v>2778</v>
      </c>
      <c r="E17" s="99">
        <f t="shared" si="0"/>
        <v>291.69</v>
      </c>
      <c r="F17" s="99">
        <f t="shared" si="1"/>
        <v>3069.69</v>
      </c>
      <c r="G17" s="99"/>
      <c r="H17" s="99"/>
      <c r="I17" s="100"/>
      <c r="J17" s="101"/>
      <c r="L17" s="98" t="s">
        <v>29</v>
      </c>
      <c r="M17" s="99">
        <v>19446</v>
      </c>
      <c r="N17" s="99">
        <v>2778</v>
      </c>
      <c r="O17" s="99">
        <f t="shared" si="2"/>
        <v>291.69</v>
      </c>
      <c r="P17" s="99">
        <f t="shared" si="3"/>
        <v>3069.69</v>
      </c>
      <c r="Q17" s="99"/>
      <c r="R17" s="99"/>
      <c r="S17" s="100"/>
      <c r="T17" s="101"/>
    </row>
    <row r="18" spans="2:20" x14ac:dyDescent="0.3">
      <c r="B18" s="98" t="s">
        <v>30</v>
      </c>
      <c r="C18" s="99">
        <v>16668</v>
      </c>
      <c r="D18" s="95">
        <v>2778</v>
      </c>
      <c r="E18" s="99">
        <f t="shared" si="0"/>
        <v>250.01999999999998</v>
      </c>
      <c r="F18" s="99">
        <f t="shared" si="1"/>
        <v>3028.02</v>
      </c>
      <c r="G18" s="99"/>
      <c r="H18" s="99"/>
      <c r="I18" s="100"/>
      <c r="J18" s="101"/>
      <c r="L18" s="98" t="s">
        <v>30</v>
      </c>
      <c r="M18" s="99">
        <v>16668</v>
      </c>
      <c r="N18" s="95">
        <v>2778</v>
      </c>
      <c r="O18" s="99">
        <f t="shared" si="2"/>
        <v>250.01999999999998</v>
      </c>
      <c r="P18" s="99">
        <f t="shared" si="3"/>
        <v>3028.02</v>
      </c>
      <c r="Q18" s="99"/>
      <c r="R18" s="99"/>
      <c r="S18" s="100"/>
      <c r="T18" s="101"/>
    </row>
    <row r="19" spans="2:20" x14ac:dyDescent="0.3">
      <c r="B19" s="98" t="s">
        <v>31</v>
      </c>
      <c r="C19" s="99">
        <v>13890</v>
      </c>
      <c r="D19" s="99">
        <v>2778</v>
      </c>
      <c r="E19" s="99">
        <f t="shared" si="0"/>
        <v>208.35</v>
      </c>
      <c r="F19" s="99">
        <f t="shared" si="1"/>
        <v>2986.35</v>
      </c>
      <c r="G19" s="99"/>
      <c r="H19" s="99"/>
      <c r="I19" s="100"/>
      <c r="J19" s="101"/>
      <c r="L19" s="98" t="s">
        <v>31</v>
      </c>
      <c r="M19" s="99">
        <v>13890</v>
      </c>
      <c r="N19" s="99">
        <v>2778</v>
      </c>
      <c r="O19" s="99">
        <f t="shared" si="2"/>
        <v>208.35</v>
      </c>
      <c r="P19" s="99">
        <f t="shared" si="3"/>
        <v>2986.35</v>
      </c>
      <c r="Q19" s="99"/>
      <c r="R19" s="99"/>
      <c r="S19" s="100"/>
      <c r="T19" s="101"/>
    </row>
    <row r="20" spans="2:20" x14ac:dyDescent="0.3">
      <c r="B20" s="98" t="s">
        <v>32</v>
      </c>
      <c r="C20" s="99">
        <v>11112</v>
      </c>
      <c r="D20" s="99">
        <v>2778</v>
      </c>
      <c r="E20" s="99">
        <f t="shared" si="0"/>
        <v>166.68</v>
      </c>
      <c r="F20" s="99">
        <f t="shared" si="1"/>
        <v>2944.68</v>
      </c>
      <c r="G20" s="99"/>
      <c r="H20" s="99"/>
      <c r="I20" s="100"/>
      <c r="J20" s="101"/>
      <c r="L20" s="98" t="s">
        <v>32</v>
      </c>
      <c r="M20" s="99">
        <v>11112</v>
      </c>
      <c r="N20" s="99">
        <v>2778</v>
      </c>
      <c r="O20" s="99">
        <f t="shared" si="2"/>
        <v>166.68</v>
      </c>
      <c r="P20" s="99">
        <f t="shared" si="3"/>
        <v>2944.68</v>
      </c>
      <c r="Q20" s="99"/>
      <c r="R20" s="99"/>
      <c r="S20" s="100"/>
      <c r="T20" s="101"/>
    </row>
    <row r="21" spans="2:20" x14ac:dyDescent="0.3">
      <c r="B21" s="98" t="s">
        <v>33</v>
      </c>
      <c r="C21" s="99">
        <v>8334</v>
      </c>
      <c r="D21" s="99">
        <v>2778</v>
      </c>
      <c r="E21" s="99">
        <f t="shared" si="0"/>
        <v>125.00999999999999</v>
      </c>
      <c r="F21" s="99">
        <f t="shared" si="1"/>
        <v>2903.01</v>
      </c>
      <c r="G21" s="99"/>
      <c r="H21" s="99"/>
      <c r="I21" s="100"/>
      <c r="J21" s="101"/>
      <c r="L21" s="98" t="s">
        <v>33</v>
      </c>
      <c r="M21" s="99">
        <v>8334</v>
      </c>
      <c r="N21" s="99">
        <v>2778</v>
      </c>
      <c r="O21" s="99">
        <f t="shared" si="2"/>
        <v>125.00999999999999</v>
      </c>
      <c r="P21" s="99">
        <f t="shared" si="3"/>
        <v>2903.01</v>
      </c>
      <c r="Q21" s="99"/>
      <c r="R21" s="99"/>
      <c r="S21" s="100"/>
      <c r="T21" s="101"/>
    </row>
    <row r="22" spans="2:20" ht="15" thickBot="1" x14ac:dyDescent="0.35">
      <c r="B22" s="98" t="s">
        <v>34</v>
      </c>
      <c r="C22" s="99">
        <v>5556</v>
      </c>
      <c r="D22" s="99">
        <v>2778</v>
      </c>
      <c r="E22" s="99">
        <f t="shared" si="0"/>
        <v>83.34</v>
      </c>
      <c r="F22" s="99">
        <f t="shared" si="1"/>
        <v>2861.34</v>
      </c>
      <c r="G22" s="99"/>
      <c r="H22" s="99"/>
      <c r="I22" s="100"/>
      <c r="J22" s="101"/>
      <c r="L22" s="98" t="s">
        <v>34</v>
      </c>
      <c r="M22" s="99">
        <v>5556</v>
      </c>
      <c r="N22" s="99">
        <v>2778</v>
      </c>
      <c r="O22" s="99">
        <f t="shared" si="2"/>
        <v>83.34</v>
      </c>
      <c r="P22" s="99">
        <f t="shared" si="3"/>
        <v>2861.34</v>
      </c>
      <c r="Q22" s="99"/>
      <c r="R22" s="99"/>
      <c r="S22" s="100"/>
      <c r="T22" s="101"/>
    </row>
    <row r="23" spans="2:20" x14ac:dyDescent="0.3">
      <c r="B23" s="98" t="s">
        <v>35</v>
      </c>
      <c r="C23" s="99">
        <v>2778</v>
      </c>
      <c r="D23" s="95">
        <v>2778</v>
      </c>
      <c r="E23" s="99">
        <f t="shared" si="0"/>
        <v>41.67</v>
      </c>
      <c r="F23" s="99">
        <f t="shared" si="1"/>
        <v>2819.67</v>
      </c>
      <c r="G23" s="99"/>
      <c r="H23" s="99"/>
      <c r="I23" s="100"/>
      <c r="J23" s="101" t="s">
        <v>44</v>
      </c>
      <c r="L23" s="98" t="s">
        <v>35</v>
      </c>
      <c r="M23" s="99">
        <v>2778</v>
      </c>
      <c r="N23" s="95">
        <v>2778</v>
      </c>
      <c r="O23" s="99">
        <f t="shared" si="2"/>
        <v>41.67</v>
      </c>
      <c r="P23" s="99">
        <f t="shared" si="3"/>
        <v>2819.67</v>
      </c>
      <c r="Q23" s="99"/>
      <c r="R23" s="99"/>
      <c r="S23" s="100"/>
      <c r="T23" s="10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8F06-6103-4128-99BE-D73BDD11D7CC}">
  <dimension ref="B1:T50"/>
  <sheetViews>
    <sheetView topLeftCell="A32" workbookViewId="0">
      <selection activeCell="I53" sqref="I53"/>
    </sheetView>
  </sheetViews>
  <sheetFormatPr defaultRowHeight="14.4" x14ac:dyDescent="0.3"/>
  <cols>
    <col min="1" max="1" width="1.44140625" customWidth="1"/>
    <col min="2" max="2" width="10.44140625" customWidth="1"/>
    <col min="11" max="11" width="7.88671875" customWidth="1"/>
    <col min="12" max="12" width="10.5546875" customWidth="1"/>
  </cols>
  <sheetData>
    <row r="1" spans="2:20" x14ac:dyDescent="0.3">
      <c r="B1" s="77" t="s">
        <v>0</v>
      </c>
      <c r="C1" s="77" t="s">
        <v>210</v>
      </c>
      <c r="D1" s="112"/>
      <c r="E1" s="112"/>
      <c r="F1" s="117"/>
      <c r="G1" s="123"/>
      <c r="I1" s="81" t="s">
        <v>1</v>
      </c>
      <c r="J1" s="82">
        <v>50000</v>
      </c>
      <c r="L1" s="77" t="s">
        <v>0</v>
      </c>
      <c r="M1" s="77" t="s">
        <v>210</v>
      </c>
      <c r="N1" s="112"/>
      <c r="O1" s="112"/>
      <c r="P1" s="117"/>
      <c r="Q1" s="123"/>
      <c r="S1" s="81" t="s">
        <v>1</v>
      </c>
      <c r="T1" s="82">
        <v>50000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317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317</v>
      </c>
    </row>
    <row r="3" spans="2:20" x14ac:dyDescent="0.3">
      <c r="B3" s="77" t="s">
        <v>4</v>
      </c>
      <c r="C3" s="78"/>
      <c r="D3" s="79"/>
      <c r="E3" s="78"/>
      <c r="G3" s="81"/>
      <c r="H3" s="81"/>
      <c r="I3" s="81" t="s">
        <v>5</v>
      </c>
      <c r="J3" s="86">
        <v>1.4999999999999999E-2</v>
      </c>
      <c r="L3" s="77" t="s">
        <v>4</v>
      </c>
      <c r="M3" s="78"/>
      <c r="N3" s="79"/>
      <c r="O3" s="78"/>
      <c r="Q3" s="81"/>
      <c r="R3" s="81"/>
      <c r="S3" s="81" t="s">
        <v>5</v>
      </c>
      <c r="T3" s="86">
        <v>1.4999999999999999E-2</v>
      </c>
    </row>
    <row r="4" spans="2:20" ht="15" thickBot="1" x14ac:dyDescent="0.35">
      <c r="B4" s="77" t="s">
        <v>6</v>
      </c>
      <c r="C4" s="87"/>
      <c r="D4" s="87"/>
      <c r="F4" s="88"/>
      <c r="G4" s="88"/>
      <c r="H4" s="88"/>
      <c r="I4" s="88" t="s">
        <v>7</v>
      </c>
      <c r="J4" s="78">
        <v>3</v>
      </c>
      <c r="L4" s="77" t="s">
        <v>6</v>
      </c>
      <c r="M4" s="87"/>
      <c r="N4" s="87"/>
      <c r="P4" s="88"/>
      <c r="Q4" s="88"/>
      <c r="R4" s="88"/>
      <c r="S4" s="88" t="s">
        <v>7</v>
      </c>
      <c r="T4" s="78">
        <v>3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f>J1</f>
        <v>50000</v>
      </c>
      <c r="D6" s="95">
        <f>J1/J4</f>
        <v>16666.666666666668</v>
      </c>
      <c r="E6" s="95">
        <f>(C6*0.015)</f>
        <v>750</v>
      </c>
      <c r="F6" s="95">
        <f>SUM(D6:E6)</f>
        <v>17416.666666666668</v>
      </c>
      <c r="G6" s="95"/>
      <c r="H6" s="95"/>
      <c r="I6" s="96"/>
      <c r="J6" s="97"/>
      <c r="L6" s="94" t="s">
        <v>17</v>
      </c>
      <c r="M6" s="95">
        <f>T1</f>
        <v>50000</v>
      </c>
      <c r="N6" s="95">
        <f>T1/T4</f>
        <v>16666.666666666668</v>
      </c>
      <c r="O6" s="95">
        <f>(M6*0.015)</f>
        <v>750</v>
      </c>
      <c r="P6" s="95">
        <f>SUM(N6:O6)</f>
        <v>17416.666666666668</v>
      </c>
      <c r="Q6" s="95"/>
      <c r="R6" s="95"/>
      <c r="S6" s="96"/>
      <c r="T6" s="97"/>
    </row>
    <row r="7" spans="2:20" x14ac:dyDescent="0.3">
      <c r="B7" s="98" t="s">
        <v>18</v>
      </c>
      <c r="C7" s="99">
        <v>33334</v>
      </c>
      <c r="D7" s="99">
        <v>16667</v>
      </c>
      <c r="E7" s="99">
        <f t="shared" ref="E7:E8" si="0">(C7*0.015)</f>
        <v>500.01</v>
      </c>
      <c r="F7" s="99">
        <f>SUM(D7:E7)</f>
        <v>17167.009999999998</v>
      </c>
      <c r="G7" s="99"/>
      <c r="H7" s="99"/>
      <c r="I7" s="100"/>
      <c r="J7" s="101"/>
      <c r="L7" s="98" t="s">
        <v>18</v>
      </c>
      <c r="M7" s="99">
        <v>33334</v>
      </c>
      <c r="N7" s="99">
        <v>16667</v>
      </c>
      <c r="O7" s="99">
        <f t="shared" ref="O7:O8" si="1">(M7*0.015)</f>
        <v>500.01</v>
      </c>
      <c r="P7" s="99">
        <f>SUM(N7:O7)</f>
        <v>17167.009999999998</v>
      </c>
      <c r="Q7" s="99"/>
      <c r="R7" s="99"/>
      <c r="S7" s="100"/>
      <c r="T7" s="101"/>
    </row>
    <row r="8" spans="2:20" x14ac:dyDescent="0.3">
      <c r="B8" s="98" t="s">
        <v>19</v>
      </c>
      <c r="C8" s="99">
        <v>16667</v>
      </c>
      <c r="D8" s="99">
        <v>16667</v>
      </c>
      <c r="E8" s="99">
        <f t="shared" si="0"/>
        <v>250.005</v>
      </c>
      <c r="F8" s="99">
        <f>SUM(D8:E8)</f>
        <v>16917.005000000001</v>
      </c>
      <c r="G8" s="99"/>
      <c r="H8" s="99"/>
      <c r="I8" s="100"/>
      <c r="J8" s="101" t="s">
        <v>42</v>
      </c>
      <c r="L8" s="98" t="s">
        <v>19</v>
      </c>
      <c r="M8" s="99">
        <v>16667</v>
      </c>
      <c r="N8" s="99">
        <v>16667</v>
      </c>
      <c r="O8" s="99">
        <f t="shared" si="1"/>
        <v>250.005</v>
      </c>
      <c r="P8" s="99">
        <f>SUM(N8:O8)</f>
        <v>16917.005000000001</v>
      </c>
      <c r="Q8" s="99"/>
      <c r="R8" s="99"/>
      <c r="S8" s="100"/>
      <c r="T8" s="101" t="s">
        <v>42</v>
      </c>
    </row>
    <row r="11" spans="2:20" x14ac:dyDescent="0.3">
      <c r="B11" s="77" t="s">
        <v>0</v>
      </c>
      <c r="C11" s="77" t="s">
        <v>98</v>
      </c>
      <c r="D11" s="112"/>
      <c r="E11" s="112"/>
      <c r="F11" s="117" t="s">
        <v>138</v>
      </c>
      <c r="G11" s="123"/>
      <c r="I11" s="81" t="s">
        <v>1</v>
      </c>
      <c r="J11" s="82">
        <v>20000</v>
      </c>
      <c r="L11" s="77" t="s">
        <v>0</v>
      </c>
      <c r="M11" s="77" t="s">
        <v>98</v>
      </c>
      <c r="N11" s="112"/>
      <c r="O11" s="112"/>
      <c r="P11" s="117" t="s">
        <v>138</v>
      </c>
      <c r="Q11" s="123"/>
      <c r="S11" s="81" t="s">
        <v>1</v>
      </c>
      <c r="T11" s="82">
        <v>20000</v>
      </c>
    </row>
    <row r="12" spans="2:20" x14ac:dyDescent="0.3">
      <c r="B12" s="77" t="s">
        <v>2</v>
      </c>
      <c r="C12" s="83"/>
      <c r="D12" s="79"/>
      <c r="E12" s="83"/>
      <c r="F12" s="81"/>
      <c r="G12" s="81"/>
      <c r="H12" s="84"/>
      <c r="I12" s="81" t="s">
        <v>3</v>
      </c>
      <c r="J12" s="85" t="s">
        <v>225</v>
      </c>
      <c r="L12" s="77" t="s">
        <v>2</v>
      </c>
      <c r="M12" s="83"/>
      <c r="N12" s="79"/>
      <c r="O12" s="83"/>
      <c r="P12" s="81"/>
      <c r="Q12" s="81"/>
      <c r="R12" s="84"/>
      <c r="S12" s="81" t="s">
        <v>3</v>
      </c>
      <c r="T12" s="85" t="s">
        <v>225</v>
      </c>
    </row>
    <row r="13" spans="2:20" x14ac:dyDescent="0.3">
      <c r="B13" s="77" t="s">
        <v>4</v>
      </c>
      <c r="C13" s="78"/>
      <c r="D13" s="79"/>
      <c r="E13" s="78"/>
      <c r="G13" s="81"/>
      <c r="H13" s="81"/>
      <c r="I13" s="81" t="s">
        <v>5</v>
      </c>
      <c r="J13" s="86">
        <v>1.4999999999999999E-2</v>
      </c>
      <c r="L13" s="77" t="s">
        <v>4</v>
      </c>
      <c r="M13" s="78"/>
      <c r="N13" s="79"/>
      <c r="O13" s="78"/>
      <c r="Q13" s="81"/>
      <c r="R13" s="81"/>
      <c r="S13" s="81" t="s">
        <v>5</v>
      </c>
      <c r="T13" s="86">
        <v>1.4999999999999999E-2</v>
      </c>
    </row>
    <row r="14" spans="2:20" ht="15" thickBot="1" x14ac:dyDescent="0.35">
      <c r="B14" s="77" t="s">
        <v>6</v>
      </c>
      <c r="C14" s="87"/>
      <c r="D14" s="87"/>
      <c r="F14" s="88"/>
      <c r="G14" s="88"/>
      <c r="H14" s="88"/>
      <c r="I14" s="88" t="s">
        <v>7</v>
      </c>
      <c r="J14" s="78">
        <v>3</v>
      </c>
      <c r="L14" s="77" t="s">
        <v>6</v>
      </c>
      <c r="M14" s="87"/>
      <c r="N14" s="87"/>
      <c r="P14" s="88"/>
      <c r="Q14" s="88"/>
      <c r="R14" s="88"/>
      <c r="S14" s="88" t="s">
        <v>7</v>
      </c>
      <c r="T14" s="78">
        <v>3</v>
      </c>
    </row>
    <row r="15" spans="2:20" ht="41.4" thickBot="1" x14ac:dyDescent="0.35">
      <c r="B15" s="89" t="s">
        <v>8</v>
      </c>
      <c r="C15" s="89" t="s">
        <v>9</v>
      </c>
      <c r="D15" s="89" t="s">
        <v>10</v>
      </c>
      <c r="E15" s="90" t="s">
        <v>11</v>
      </c>
      <c r="F15" s="91" t="s">
        <v>12</v>
      </c>
      <c r="G15" s="92" t="s">
        <v>13</v>
      </c>
      <c r="H15" s="92" t="s">
        <v>14</v>
      </c>
      <c r="I15" s="92" t="s">
        <v>15</v>
      </c>
      <c r="J15" s="93" t="s">
        <v>16</v>
      </c>
      <c r="L15" s="89" t="s">
        <v>8</v>
      </c>
      <c r="M15" s="89" t="s">
        <v>9</v>
      </c>
      <c r="N15" s="89" t="s">
        <v>10</v>
      </c>
      <c r="O15" s="90" t="s">
        <v>11</v>
      </c>
      <c r="P15" s="91" t="s">
        <v>12</v>
      </c>
      <c r="Q15" s="92" t="s">
        <v>13</v>
      </c>
      <c r="R15" s="92" t="s">
        <v>14</v>
      </c>
      <c r="S15" s="92" t="s">
        <v>15</v>
      </c>
      <c r="T15" s="93" t="s">
        <v>16</v>
      </c>
    </row>
    <row r="16" spans="2:20" x14ac:dyDescent="0.3">
      <c r="B16" s="94" t="s">
        <v>17</v>
      </c>
      <c r="C16" s="95">
        <f>J11</f>
        <v>20000</v>
      </c>
      <c r="D16" s="95">
        <f>J11/J14</f>
        <v>6666.666666666667</v>
      </c>
      <c r="E16" s="95">
        <f>(C16*0.015)</f>
        <v>300</v>
      </c>
      <c r="F16" s="95">
        <f>SUM(D16:E16)</f>
        <v>6966.666666666667</v>
      </c>
      <c r="G16" s="95"/>
      <c r="H16" s="95"/>
      <c r="I16" s="96"/>
      <c r="J16" s="97"/>
      <c r="L16" s="94" t="s">
        <v>17</v>
      </c>
      <c r="M16" s="95">
        <f>T11</f>
        <v>20000</v>
      </c>
      <c r="N16" s="95">
        <f>T11/T14</f>
        <v>6666.666666666667</v>
      </c>
      <c r="O16" s="95">
        <f>(M16*0.015)</f>
        <v>300</v>
      </c>
      <c r="P16" s="95">
        <f>SUM(N16:O16)</f>
        <v>6966.666666666667</v>
      </c>
      <c r="Q16" s="95"/>
      <c r="R16" s="95"/>
      <c r="S16" s="96"/>
      <c r="T16" s="97"/>
    </row>
    <row r="17" spans="2:20" x14ac:dyDescent="0.3">
      <c r="B17" s="98" t="s">
        <v>18</v>
      </c>
      <c r="C17" s="99">
        <v>13334</v>
      </c>
      <c r="D17" s="99">
        <v>6667</v>
      </c>
      <c r="E17" s="99">
        <f t="shared" ref="E17:E18" si="2">(C17*0.015)</f>
        <v>200.01</v>
      </c>
      <c r="F17" s="99">
        <f>SUM(D17:E17)</f>
        <v>6867.01</v>
      </c>
      <c r="G17" s="99"/>
      <c r="H17" s="99"/>
      <c r="I17" s="100"/>
      <c r="J17" s="101"/>
      <c r="L17" s="98" t="s">
        <v>18</v>
      </c>
      <c r="M17" s="99">
        <v>13334</v>
      </c>
      <c r="N17" s="99">
        <v>6667</v>
      </c>
      <c r="O17" s="99">
        <f t="shared" ref="O17:O18" si="3">(M17*0.015)</f>
        <v>200.01</v>
      </c>
      <c r="P17" s="99">
        <f>SUM(N17:O17)</f>
        <v>6867.01</v>
      </c>
      <c r="Q17" s="99"/>
      <c r="R17" s="99"/>
      <c r="S17" s="100"/>
      <c r="T17" s="101"/>
    </row>
    <row r="18" spans="2:20" x14ac:dyDescent="0.3">
      <c r="B18" s="98" t="s">
        <v>19</v>
      </c>
      <c r="C18" s="99">
        <v>6667</v>
      </c>
      <c r="D18" s="99">
        <v>6667</v>
      </c>
      <c r="E18" s="99">
        <f t="shared" si="2"/>
        <v>100.005</v>
      </c>
      <c r="F18" s="99">
        <f>SUM(D18:E18)</f>
        <v>6767.0050000000001</v>
      </c>
      <c r="G18" s="99"/>
      <c r="H18" s="99"/>
      <c r="I18" s="100"/>
      <c r="J18" s="101" t="s">
        <v>42</v>
      </c>
      <c r="L18" s="98" t="s">
        <v>19</v>
      </c>
      <c r="M18" s="99">
        <v>6667</v>
      </c>
      <c r="N18" s="99">
        <v>6667</v>
      </c>
      <c r="O18" s="99">
        <f t="shared" si="3"/>
        <v>100.005</v>
      </c>
      <c r="P18" s="99">
        <f>SUM(N18:O18)</f>
        <v>6767.0050000000001</v>
      </c>
      <c r="Q18" s="99"/>
      <c r="R18" s="99"/>
      <c r="S18" s="100"/>
      <c r="T18" s="101" t="s">
        <v>42</v>
      </c>
    </row>
    <row r="21" spans="2:20" x14ac:dyDescent="0.3">
      <c r="B21" s="77" t="s">
        <v>0</v>
      </c>
      <c r="C21" s="229" t="s">
        <v>118</v>
      </c>
      <c r="D21" s="230"/>
      <c r="E21" s="230"/>
      <c r="F21" s="117" t="s">
        <v>195</v>
      </c>
      <c r="G21" s="80"/>
      <c r="H21" s="231" t="s">
        <v>1</v>
      </c>
      <c r="I21" s="231"/>
      <c r="J21" s="82">
        <v>10000</v>
      </c>
      <c r="L21" s="77" t="s">
        <v>0</v>
      </c>
      <c r="M21" s="229" t="s">
        <v>118</v>
      </c>
      <c r="N21" s="230"/>
      <c r="O21" s="230"/>
      <c r="P21" s="117" t="s">
        <v>195</v>
      </c>
      <c r="Q21" s="80"/>
      <c r="R21" s="231" t="s">
        <v>1</v>
      </c>
      <c r="S21" s="231"/>
      <c r="T21" s="82">
        <v>10000</v>
      </c>
    </row>
    <row r="22" spans="2:20" x14ac:dyDescent="0.3">
      <c r="B22" s="77" t="s">
        <v>2</v>
      </c>
      <c r="C22" s="83"/>
      <c r="D22" s="79"/>
      <c r="E22" s="83"/>
      <c r="F22" s="81"/>
      <c r="G22" s="81"/>
      <c r="H22" s="84"/>
      <c r="I22" s="81" t="s">
        <v>3</v>
      </c>
      <c r="J22" s="85" t="s">
        <v>189</v>
      </c>
      <c r="L22" s="77" t="s">
        <v>2</v>
      </c>
      <c r="M22" s="83"/>
      <c r="N22" s="79"/>
      <c r="O22" s="83"/>
      <c r="P22" s="81"/>
      <c r="Q22" s="81"/>
      <c r="R22" s="84"/>
      <c r="S22" s="81" t="s">
        <v>3</v>
      </c>
      <c r="T22" s="85" t="s">
        <v>189</v>
      </c>
    </row>
    <row r="23" spans="2:20" x14ac:dyDescent="0.3">
      <c r="B23" s="77" t="s">
        <v>4</v>
      </c>
      <c r="C23" s="78"/>
      <c r="D23" s="79"/>
      <c r="E23" s="78"/>
      <c r="F23" s="231" t="s">
        <v>5</v>
      </c>
      <c r="G23" s="231"/>
      <c r="H23" s="231"/>
      <c r="I23" s="231"/>
      <c r="J23" s="86">
        <v>1.4999999999999999E-2</v>
      </c>
      <c r="L23" s="77" t="s">
        <v>4</v>
      </c>
      <c r="M23" s="78"/>
      <c r="N23" s="79"/>
      <c r="O23" s="78"/>
      <c r="P23" s="231" t="s">
        <v>5</v>
      </c>
      <c r="Q23" s="231"/>
      <c r="R23" s="231"/>
      <c r="S23" s="231"/>
      <c r="T23" s="86">
        <v>1.4999999999999999E-2</v>
      </c>
    </row>
    <row r="24" spans="2:20" ht="15" thickBot="1" x14ac:dyDescent="0.35">
      <c r="B24" s="77" t="s">
        <v>6</v>
      </c>
      <c r="C24" s="232"/>
      <c r="D24" s="232"/>
      <c r="E24" s="233" t="s">
        <v>7</v>
      </c>
      <c r="F24" s="233"/>
      <c r="G24" s="233"/>
      <c r="H24" s="233"/>
      <c r="I24" s="233"/>
      <c r="J24" s="78">
        <v>3</v>
      </c>
      <c r="L24" s="77" t="s">
        <v>6</v>
      </c>
      <c r="M24" s="232"/>
      <c r="N24" s="232"/>
      <c r="O24" s="233" t="s">
        <v>7</v>
      </c>
      <c r="P24" s="233"/>
      <c r="Q24" s="233"/>
      <c r="R24" s="233"/>
      <c r="S24" s="233"/>
      <c r="T24" s="78">
        <v>3</v>
      </c>
    </row>
    <row r="25" spans="2:20" ht="41.4" thickBot="1" x14ac:dyDescent="0.35">
      <c r="B25" s="89" t="s">
        <v>8</v>
      </c>
      <c r="C25" s="89" t="s">
        <v>9</v>
      </c>
      <c r="D25" s="89" t="s">
        <v>10</v>
      </c>
      <c r="E25" s="90" t="s">
        <v>11</v>
      </c>
      <c r="F25" s="91" t="s">
        <v>12</v>
      </c>
      <c r="G25" s="92" t="s">
        <v>13</v>
      </c>
      <c r="H25" s="92" t="s">
        <v>14</v>
      </c>
      <c r="I25" s="92" t="s">
        <v>15</v>
      </c>
      <c r="J25" s="93" t="s">
        <v>16</v>
      </c>
      <c r="L25" s="89" t="s">
        <v>8</v>
      </c>
      <c r="M25" s="89" t="s">
        <v>9</v>
      </c>
      <c r="N25" s="89" t="s">
        <v>10</v>
      </c>
      <c r="O25" s="90" t="s">
        <v>11</v>
      </c>
      <c r="P25" s="91" t="s">
        <v>12</v>
      </c>
      <c r="Q25" s="92" t="s">
        <v>13</v>
      </c>
      <c r="R25" s="92" t="s">
        <v>14</v>
      </c>
      <c r="S25" s="92" t="s">
        <v>15</v>
      </c>
      <c r="T25" s="93" t="s">
        <v>16</v>
      </c>
    </row>
    <row r="26" spans="2:20" x14ac:dyDescent="0.3">
      <c r="B26" s="94" t="s">
        <v>17</v>
      </c>
      <c r="C26" s="95">
        <f>J21</f>
        <v>10000</v>
      </c>
      <c r="D26" s="95">
        <f>J21/J24</f>
        <v>3333.3333333333335</v>
      </c>
      <c r="E26" s="95">
        <f>(C26*0.015)</f>
        <v>150</v>
      </c>
      <c r="F26" s="95">
        <f>SUM(D26:E26)</f>
        <v>3483.3333333333335</v>
      </c>
      <c r="G26" s="95"/>
      <c r="H26" s="95"/>
      <c r="I26" s="96"/>
      <c r="J26" s="97"/>
      <c r="L26" s="94" t="s">
        <v>17</v>
      </c>
      <c r="M26" s="95">
        <f>T21</f>
        <v>10000</v>
      </c>
      <c r="N26" s="95">
        <f>T21/T24</f>
        <v>3333.3333333333335</v>
      </c>
      <c r="O26" s="95">
        <f>(M26*0.015)</f>
        <v>150</v>
      </c>
      <c r="P26" s="95">
        <f>SUM(N26:O26)</f>
        <v>3483.3333333333335</v>
      </c>
      <c r="Q26" s="95"/>
      <c r="R26" s="95"/>
      <c r="S26" s="96"/>
      <c r="T26" s="97"/>
    </row>
    <row r="27" spans="2:20" x14ac:dyDescent="0.3">
      <c r="B27" s="98" t="s">
        <v>18</v>
      </c>
      <c r="C27" s="99">
        <v>6667</v>
      </c>
      <c r="D27" s="99">
        <v>3333</v>
      </c>
      <c r="E27" s="99">
        <f>(C27*0.015)</f>
        <v>100.005</v>
      </c>
      <c r="F27" s="99">
        <f>SUM(D27:E27)</f>
        <v>3433.0050000000001</v>
      </c>
      <c r="G27" s="99"/>
      <c r="H27" s="99"/>
      <c r="I27" s="100"/>
      <c r="J27" s="101"/>
      <c r="L27" s="98" t="s">
        <v>18</v>
      </c>
      <c r="M27" s="99">
        <v>6667</v>
      </c>
      <c r="N27" s="99">
        <v>3333</v>
      </c>
      <c r="O27" s="99">
        <f>(M27*0.015)</f>
        <v>100.005</v>
      </c>
      <c r="P27" s="99">
        <f>SUM(N27:O27)</f>
        <v>3433.0050000000001</v>
      </c>
      <c r="Q27" s="99"/>
      <c r="R27" s="99"/>
      <c r="S27" s="100"/>
      <c r="T27" s="101"/>
    </row>
    <row r="28" spans="2:20" x14ac:dyDescent="0.3">
      <c r="B28" s="98" t="s">
        <v>19</v>
      </c>
      <c r="C28" s="99">
        <v>3333</v>
      </c>
      <c r="D28" s="99">
        <v>3333</v>
      </c>
      <c r="E28" s="99">
        <f>(C28*0.015)</f>
        <v>49.994999999999997</v>
      </c>
      <c r="F28" s="99">
        <f>SUM(D28:E28)</f>
        <v>3382.9949999999999</v>
      </c>
      <c r="G28" s="99"/>
      <c r="H28" s="99"/>
      <c r="I28" s="100"/>
      <c r="J28" s="101" t="s">
        <v>42</v>
      </c>
      <c r="L28" s="98" t="s">
        <v>19</v>
      </c>
      <c r="M28" s="99">
        <v>3333</v>
      </c>
      <c r="N28" s="99">
        <v>3333</v>
      </c>
      <c r="O28" s="99">
        <f>(M28*0.015)</f>
        <v>49.994999999999997</v>
      </c>
      <c r="P28" s="99">
        <f>SUM(N28:O28)</f>
        <v>3382.9949999999999</v>
      </c>
      <c r="Q28" s="99"/>
      <c r="R28" s="99"/>
      <c r="S28" s="100"/>
      <c r="T28" s="101" t="s">
        <v>42</v>
      </c>
    </row>
    <row r="31" spans="2:20" x14ac:dyDescent="0.3">
      <c r="B31" s="77" t="s">
        <v>0</v>
      </c>
      <c r="C31" s="229" t="s">
        <v>141</v>
      </c>
      <c r="D31" s="230"/>
      <c r="E31" s="230"/>
      <c r="F31" s="117" t="s">
        <v>195</v>
      </c>
      <c r="G31" s="80"/>
      <c r="H31" s="231" t="s">
        <v>1</v>
      </c>
      <c r="I31" s="231"/>
      <c r="J31" s="82">
        <v>10000</v>
      </c>
      <c r="L31" s="77" t="s">
        <v>0</v>
      </c>
      <c r="M31" s="229" t="s">
        <v>141</v>
      </c>
      <c r="N31" s="230"/>
      <c r="O31" s="230"/>
      <c r="P31" s="117" t="s">
        <v>195</v>
      </c>
      <c r="Q31" s="80"/>
      <c r="R31" s="231" t="s">
        <v>1</v>
      </c>
      <c r="S31" s="231"/>
      <c r="T31" s="82">
        <v>10000</v>
      </c>
    </row>
    <row r="32" spans="2:20" x14ac:dyDescent="0.3">
      <c r="B32" s="77" t="s">
        <v>2</v>
      </c>
      <c r="C32" s="83"/>
      <c r="D32" s="79"/>
      <c r="E32" s="83"/>
      <c r="F32" s="81"/>
      <c r="G32" s="81"/>
      <c r="H32" s="84"/>
      <c r="I32" s="81" t="s">
        <v>3</v>
      </c>
      <c r="J32" s="85" t="s">
        <v>184</v>
      </c>
      <c r="L32" s="77" t="s">
        <v>2</v>
      </c>
      <c r="M32" s="83"/>
      <c r="N32" s="79"/>
      <c r="O32" s="83"/>
      <c r="P32" s="81"/>
      <c r="Q32" s="81"/>
      <c r="R32" s="84"/>
      <c r="S32" s="81" t="s">
        <v>3</v>
      </c>
      <c r="T32" s="85" t="s">
        <v>184</v>
      </c>
    </row>
    <row r="33" spans="2:20" x14ac:dyDescent="0.3">
      <c r="B33" s="77" t="s">
        <v>4</v>
      </c>
      <c r="C33" s="78"/>
      <c r="D33" s="79"/>
      <c r="E33" s="78"/>
      <c r="F33" s="231" t="s">
        <v>5</v>
      </c>
      <c r="G33" s="231"/>
      <c r="H33" s="231"/>
      <c r="I33" s="231"/>
      <c r="J33" s="86">
        <v>1.4999999999999999E-2</v>
      </c>
      <c r="L33" s="77" t="s">
        <v>4</v>
      </c>
      <c r="M33" s="78"/>
      <c r="N33" s="79"/>
      <c r="O33" s="78"/>
      <c r="P33" s="231" t="s">
        <v>5</v>
      </c>
      <c r="Q33" s="231"/>
      <c r="R33" s="231"/>
      <c r="S33" s="231"/>
      <c r="T33" s="86">
        <v>1.4999999999999999E-2</v>
      </c>
    </row>
    <row r="34" spans="2:20" ht="15" thickBot="1" x14ac:dyDescent="0.35">
      <c r="B34" s="77" t="s">
        <v>6</v>
      </c>
      <c r="C34" s="232"/>
      <c r="D34" s="232"/>
      <c r="E34" s="233" t="s">
        <v>7</v>
      </c>
      <c r="F34" s="233"/>
      <c r="G34" s="233"/>
      <c r="H34" s="233"/>
      <c r="I34" s="233"/>
      <c r="J34" s="78">
        <v>3</v>
      </c>
      <c r="L34" s="77" t="s">
        <v>6</v>
      </c>
      <c r="M34" s="232"/>
      <c r="N34" s="232"/>
      <c r="O34" s="233" t="s">
        <v>7</v>
      </c>
      <c r="P34" s="233"/>
      <c r="Q34" s="233"/>
      <c r="R34" s="233"/>
      <c r="S34" s="233"/>
      <c r="T34" s="78">
        <v>3</v>
      </c>
    </row>
    <row r="35" spans="2:20" ht="41.4" thickBot="1" x14ac:dyDescent="0.35">
      <c r="B35" s="89" t="s">
        <v>8</v>
      </c>
      <c r="C35" s="89" t="s">
        <v>9</v>
      </c>
      <c r="D35" s="89" t="s">
        <v>10</v>
      </c>
      <c r="E35" s="90" t="s">
        <v>11</v>
      </c>
      <c r="F35" s="91" t="s">
        <v>12</v>
      </c>
      <c r="G35" s="92" t="s">
        <v>13</v>
      </c>
      <c r="H35" s="92" t="s">
        <v>14</v>
      </c>
      <c r="I35" s="92" t="s">
        <v>15</v>
      </c>
      <c r="J35" s="93" t="s">
        <v>16</v>
      </c>
      <c r="L35" s="89" t="s">
        <v>8</v>
      </c>
      <c r="M35" s="89" t="s">
        <v>9</v>
      </c>
      <c r="N35" s="89" t="s">
        <v>10</v>
      </c>
      <c r="O35" s="90" t="s">
        <v>11</v>
      </c>
      <c r="P35" s="91" t="s">
        <v>12</v>
      </c>
      <c r="Q35" s="92" t="s">
        <v>13</v>
      </c>
      <c r="R35" s="92" t="s">
        <v>14</v>
      </c>
      <c r="S35" s="92" t="s">
        <v>15</v>
      </c>
      <c r="T35" s="93" t="s">
        <v>16</v>
      </c>
    </row>
    <row r="36" spans="2:20" x14ac:dyDescent="0.3">
      <c r="B36" s="94" t="s">
        <v>17</v>
      </c>
      <c r="C36" s="95">
        <f>J31</f>
        <v>10000</v>
      </c>
      <c r="D36" s="95">
        <f>J31/J34</f>
        <v>3333.3333333333335</v>
      </c>
      <c r="E36" s="95">
        <f>(C36*0.015)</f>
        <v>150</v>
      </c>
      <c r="F36" s="95">
        <f>SUM(D36:E36)</f>
        <v>3483.3333333333335</v>
      </c>
      <c r="G36" s="95"/>
      <c r="H36" s="95"/>
      <c r="I36" s="96"/>
      <c r="J36" s="97"/>
      <c r="L36" s="94" t="s">
        <v>17</v>
      </c>
      <c r="M36" s="95">
        <f>T31</f>
        <v>10000</v>
      </c>
      <c r="N36" s="95">
        <f>T31/T34</f>
        <v>3333.3333333333335</v>
      </c>
      <c r="O36" s="95">
        <f>(M36*0.015)</f>
        <v>150</v>
      </c>
      <c r="P36" s="95">
        <f>SUM(N36:O36)</f>
        <v>3483.3333333333335</v>
      </c>
      <c r="Q36" s="95"/>
      <c r="R36" s="95"/>
      <c r="S36" s="96"/>
      <c r="T36" s="97"/>
    </row>
    <row r="37" spans="2:20" x14ac:dyDescent="0.3">
      <c r="B37" s="98" t="s">
        <v>18</v>
      </c>
      <c r="C37" s="99">
        <v>6666</v>
      </c>
      <c r="D37" s="99">
        <v>3333</v>
      </c>
      <c r="E37" s="99">
        <f>(C37*0.015)</f>
        <v>99.99</v>
      </c>
      <c r="F37" s="99">
        <f>SUM(D37:E37)</f>
        <v>3432.99</v>
      </c>
      <c r="G37" s="99"/>
      <c r="H37" s="99"/>
      <c r="I37" s="100"/>
      <c r="J37" s="101"/>
      <c r="L37" s="98" t="s">
        <v>18</v>
      </c>
      <c r="M37" s="99">
        <v>6666</v>
      </c>
      <c r="N37" s="99">
        <v>3333</v>
      </c>
      <c r="O37" s="99">
        <f>(M37*0.015)</f>
        <v>99.99</v>
      </c>
      <c r="P37" s="99">
        <f>SUM(N37:O37)</f>
        <v>3432.99</v>
      </c>
      <c r="Q37" s="99"/>
      <c r="R37" s="99"/>
      <c r="S37" s="100"/>
      <c r="T37" s="101"/>
    </row>
    <row r="38" spans="2:20" x14ac:dyDescent="0.3">
      <c r="B38" s="98" t="s">
        <v>19</v>
      </c>
      <c r="C38" s="99">
        <v>3333</v>
      </c>
      <c r="D38" s="99">
        <v>3333</v>
      </c>
      <c r="E38" s="99">
        <f>(C38*0.015)</f>
        <v>49.994999999999997</v>
      </c>
      <c r="F38" s="99">
        <f>SUM(D38:E38)</f>
        <v>3382.9949999999999</v>
      </c>
      <c r="G38" s="99"/>
      <c r="H38" s="99"/>
      <c r="I38" s="100"/>
      <c r="J38" s="101" t="s">
        <v>42</v>
      </c>
      <c r="L38" s="98" t="s">
        <v>19</v>
      </c>
      <c r="M38" s="99">
        <v>3333</v>
      </c>
      <c r="N38" s="99">
        <v>3333</v>
      </c>
      <c r="O38" s="99">
        <f>(M38*0.015)</f>
        <v>49.994999999999997</v>
      </c>
      <c r="P38" s="99">
        <f>SUM(N38:O38)</f>
        <v>3382.9949999999999</v>
      </c>
      <c r="Q38" s="99"/>
      <c r="R38" s="99"/>
      <c r="S38" s="100"/>
      <c r="T38" s="101" t="s">
        <v>42</v>
      </c>
    </row>
    <row r="42" spans="2:20" x14ac:dyDescent="0.3">
      <c r="B42" s="77" t="s">
        <v>0</v>
      </c>
      <c r="C42" s="77" t="s">
        <v>324</v>
      </c>
      <c r="D42" s="112"/>
      <c r="E42" s="112"/>
      <c r="F42" s="117"/>
      <c r="G42" s="123"/>
      <c r="I42" s="81" t="s">
        <v>1</v>
      </c>
      <c r="J42" s="82">
        <v>100000</v>
      </c>
    </row>
    <row r="43" spans="2:20" x14ac:dyDescent="0.3">
      <c r="B43" s="77" t="s">
        <v>2</v>
      </c>
      <c r="C43" s="83"/>
      <c r="D43" s="79"/>
      <c r="E43" s="83"/>
      <c r="F43" s="81"/>
      <c r="G43" s="81"/>
      <c r="H43" s="84"/>
      <c r="I43" s="81" t="s">
        <v>3</v>
      </c>
      <c r="J43" s="85"/>
    </row>
    <row r="44" spans="2:20" x14ac:dyDescent="0.3">
      <c r="B44" s="77" t="s">
        <v>4</v>
      </c>
      <c r="C44" s="78"/>
      <c r="D44" s="79"/>
      <c r="E44" s="78"/>
      <c r="G44" s="81"/>
      <c r="H44" s="81"/>
      <c r="I44" s="81" t="s">
        <v>5</v>
      </c>
      <c r="J44" s="86">
        <v>1.4999999999999999E-2</v>
      </c>
    </row>
    <row r="45" spans="2:20" ht="15" thickBot="1" x14ac:dyDescent="0.35">
      <c r="B45" s="77" t="s">
        <v>6</v>
      </c>
      <c r="C45" s="87"/>
      <c r="D45" s="87"/>
      <c r="F45" s="88"/>
      <c r="G45" s="88"/>
      <c r="H45" s="88"/>
      <c r="I45" s="88" t="s">
        <v>7</v>
      </c>
      <c r="J45" s="78">
        <v>3</v>
      </c>
    </row>
    <row r="46" spans="2:20" ht="41.4" thickBot="1" x14ac:dyDescent="0.35">
      <c r="B46" s="89" t="s">
        <v>8</v>
      </c>
      <c r="C46" s="89" t="s">
        <v>9</v>
      </c>
      <c r="D46" s="89" t="s">
        <v>10</v>
      </c>
      <c r="E46" s="90" t="s">
        <v>11</v>
      </c>
      <c r="F46" s="91" t="s">
        <v>12</v>
      </c>
      <c r="G46" s="92" t="s">
        <v>13</v>
      </c>
      <c r="H46" s="92" t="s">
        <v>14</v>
      </c>
      <c r="I46" s="92" t="s">
        <v>15</v>
      </c>
      <c r="J46" s="93" t="s">
        <v>16</v>
      </c>
    </row>
    <row r="47" spans="2:20" x14ac:dyDescent="0.3">
      <c r="B47" s="94" t="s">
        <v>17</v>
      </c>
      <c r="C47" s="95">
        <f>J42</f>
        <v>100000</v>
      </c>
      <c r="D47" s="95">
        <f>J42/J45</f>
        <v>33333.333333333336</v>
      </c>
      <c r="E47" s="95">
        <f>(C47*0.015)</f>
        <v>1500</v>
      </c>
      <c r="F47" s="95">
        <f>SUM(D47:E47)</f>
        <v>34833.333333333336</v>
      </c>
      <c r="G47" s="95">
        <v>20000</v>
      </c>
      <c r="H47" s="126" t="s">
        <v>325</v>
      </c>
      <c r="I47" s="96"/>
      <c r="J47" s="97"/>
    </row>
    <row r="48" spans="2:20" x14ac:dyDescent="0.3">
      <c r="B48" s="98" t="s">
        <v>18</v>
      </c>
      <c r="C48" s="99">
        <v>66666</v>
      </c>
      <c r="D48" s="99">
        <v>33333</v>
      </c>
      <c r="E48" s="99">
        <f t="shared" ref="E48:E49" si="4">(C48*0.015)</f>
        <v>999.99</v>
      </c>
      <c r="F48" s="99">
        <f>SUM(D48:E48)</f>
        <v>34332.99</v>
      </c>
      <c r="G48" s="99">
        <v>30000</v>
      </c>
      <c r="H48" s="127" t="s">
        <v>326</v>
      </c>
      <c r="I48" s="100"/>
      <c r="J48" s="101"/>
    </row>
    <row r="49" spans="2:10" x14ac:dyDescent="0.3">
      <c r="B49" s="98" t="s">
        <v>19</v>
      </c>
      <c r="C49" s="99">
        <v>33333</v>
      </c>
      <c r="D49" s="99">
        <v>33333</v>
      </c>
      <c r="E49" s="99">
        <f t="shared" si="4"/>
        <v>499.995</v>
      </c>
      <c r="F49" s="99">
        <f>SUM(D49:E49)</f>
        <v>33832.995000000003</v>
      </c>
      <c r="G49" s="99">
        <v>10000</v>
      </c>
      <c r="H49" s="127" t="s">
        <v>327</v>
      </c>
      <c r="I49" s="100"/>
      <c r="J49" s="101" t="s">
        <v>42</v>
      </c>
    </row>
    <row r="50" spans="2:10" x14ac:dyDescent="0.3">
      <c r="F50" s="38">
        <f>SUM(F47:F49)</f>
        <v>102999.31833333333</v>
      </c>
      <c r="G50" s="38">
        <f>SUM(G47:G49)</f>
        <v>60000</v>
      </c>
      <c r="H50">
        <v>42999</v>
      </c>
    </row>
  </sheetData>
  <mergeCells count="20">
    <mergeCell ref="M21:O21"/>
    <mergeCell ref="R21:S21"/>
    <mergeCell ref="P23:S23"/>
    <mergeCell ref="M24:N24"/>
    <mergeCell ref="O24:S24"/>
    <mergeCell ref="C21:E21"/>
    <mergeCell ref="H21:I21"/>
    <mergeCell ref="F23:I23"/>
    <mergeCell ref="C24:D24"/>
    <mergeCell ref="E24:I24"/>
    <mergeCell ref="R31:S31"/>
    <mergeCell ref="P33:S33"/>
    <mergeCell ref="M34:N34"/>
    <mergeCell ref="O34:S34"/>
    <mergeCell ref="C31:E31"/>
    <mergeCell ref="H31:I31"/>
    <mergeCell ref="F33:I33"/>
    <mergeCell ref="C34:D34"/>
    <mergeCell ref="E34:I34"/>
    <mergeCell ref="M31:O31"/>
  </mergeCells>
  <pageMargins left="0.25" right="0.25" top="0.75" bottom="0.75" header="0.3" footer="0.3"/>
  <pageSetup paperSize="5" scale="90" orientation="landscape" horizontalDpi="4294967293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48F7-BCFE-4173-B312-FC180589BEC2}">
  <dimension ref="B1:T31"/>
  <sheetViews>
    <sheetView topLeftCell="A10" workbookViewId="0">
      <selection activeCell="A17" sqref="A17:J29"/>
    </sheetView>
  </sheetViews>
  <sheetFormatPr defaultRowHeight="14.4" x14ac:dyDescent="0.3"/>
  <cols>
    <col min="1" max="1" width="1.33203125" customWidth="1"/>
    <col min="2" max="2" width="10.5546875" customWidth="1"/>
  </cols>
  <sheetData>
    <row r="1" spans="2:20" x14ac:dyDescent="0.3">
      <c r="B1" s="77" t="s">
        <v>0</v>
      </c>
      <c r="C1" s="77" t="s">
        <v>142</v>
      </c>
      <c r="D1" s="112"/>
      <c r="E1" s="112"/>
      <c r="F1" s="79"/>
      <c r="G1" s="80"/>
      <c r="I1" s="81" t="s">
        <v>1</v>
      </c>
      <c r="J1" s="82">
        <v>70000</v>
      </c>
      <c r="L1" s="77" t="s">
        <v>0</v>
      </c>
      <c r="M1" s="77" t="s">
        <v>142</v>
      </c>
      <c r="N1" s="112"/>
      <c r="O1" s="112"/>
      <c r="P1" s="79"/>
      <c r="Q1" s="80"/>
      <c r="S1" s="81" t="s">
        <v>1</v>
      </c>
      <c r="T1" s="82">
        <v>70000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/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/>
    </row>
    <row r="3" spans="2:20" x14ac:dyDescent="0.3">
      <c r="B3" s="77" t="s">
        <v>4</v>
      </c>
      <c r="C3" s="78"/>
      <c r="D3" s="79"/>
      <c r="E3" s="78"/>
      <c r="F3" s="81"/>
      <c r="G3" s="81"/>
      <c r="H3" s="81"/>
      <c r="I3" s="81" t="s">
        <v>5</v>
      </c>
      <c r="J3" s="86">
        <v>1.4999999999999999E-2</v>
      </c>
      <c r="L3" s="77" t="s">
        <v>4</v>
      </c>
      <c r="M3" s="78"/>
      <c r="N3" s="79"/>
      <c r="O3" s="78"/>
      <c r="P3" s="81"/>
      <c r="Q3" s="81"/>
      <c r="R3" s="81"/>
      <c r="S3" s="81" t="s">
        <v>5</v>
      </c>
      <c r="T3" s="86">
        <v>1.4999999999999999E-2</v>
      </c>
    </row>
    <row r="4" spans="2:20" ht="15" thickBot="1" x14ac:dyDescent="0.35">
      <c r="B4" s="77" t="s">
        <v>6</v>
      </c>
      <c r="C4" s="87"/>
      <c r="D4" s="87"/>
      <c r="E4" s="88"/>
      <c r="F4" s="88"/>
      <c r="G4" s="88"/>
      <c r="H4" s="88"/>
      <c r="I4" s="88" t="s">
        <v>7</v>
      </c>
      <c r="J4" s="78">
        <v>9</v>
      </c>
      <c r="L4" s="77" t="s">
        <v>6</v>
      </c>
      <c r="M4" s="87"/>
      <c r="N4" s="87"/>
      <c r="O4" s="88"/>
      <c r="P4" s="88"/>
      <c r="Q4" s="88"/>
      <c r="R4" s="88"/>
      <c r="S4" s="88" t="s">
        <v>7</v>
      </c>
      <c r="T4" s="78">
        <v>9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v>70000</v>
      </c>
      <c r="D6" s="95">
        <f>J1/J4</f>
        <v>7777.7777777777774</v>
      </c>
      <c r="E6" s="95">
        <f t="shared" ref="E6:E14" si="0">(C6*0.015)</f>
        <v>1050</v>
      </c>
      <c r="F6" s="95">
        <f t="shared" ref="F6:F14" si="1">SUM(D6:E6)</f>
        <v>8827.7777777777774</v>
      </c>
      <c r="G6" s="95"/>
      <c r="H6" s="95"/>
      <c r="I6" s="96"/>
      <c r="J6" s="97"/>
      <c r="L6" s="94" t="s">
        <v>17</v>
      </c>
      <c r="M6" s="95">
        <v>70000</v>
      </c>
      <c r="N6" s="95">
        <f>T1/T4</f>
        <v>7777.7777777777774</v>
      </c>
      <c r="O6" s="95">
        <f t="shared" ref="O6:O14" si="2">(M6*0.015)</f>
        <v>1050</v>
      </c>
      <c r="P6" s="95">
        <f t="shared" ref="P6:P14" si="3">SUM(N6:O6)</f>
        <v>8827.7777777777774</v>
      </c>
      <c r="Q6" s="95"/>
      <c r="R6" s="95"/>
      <c r="S6" s="96"/>
      <c r="T6" s="97"/>
    </row>
    <row r="7" spans="2:20" x14ac:dyDescent="0.3">
      <c r="B7" s="98" t="s">
        <v>18</v>
      </c>
      <c r="C7" s="99">
        <v>62224</v>
      </c>
      <c r="D7" s="99">
        <v>7778</v>
      </c>
      <c r="E7" s="99">
        <f t="shared" si="0"/>
        <v>933.36</v>
      </c>
      <c r="F7" s="99">
        <f t="shared" si="1"/>
        <v>8711.36</v>
      </c>
      <c r="G7" s="99"/>
      <c r="H7" s="99"/>
      <c r="I7" s="100"/>
      <c r="J7" s="101"/>
      <c r="L7" s="98" t="s">
        <v>18</v>
      </c>
      <c r="M7" s="99">
        <v>62224</v>
      </c>
      <c r="N7" s="99">
        <v>7778</v>
      </c>
      <c r="O7" s="99">
        <f t="shared" si="2"/>
        <v>933.36</v>
      </c>
      <c r="P7" s="99">
        <f t="shared" si="3"/>
        <v>8711.36</v>
      </c>
      <c r="Q7" s="99"/>
      <c r="R7" s="99"/>
      <c r="S7" s="100"/>
      <c r="T7" s="101"/>
    </row>
    <row r="8" spans="2:20" x14ac:dyDescent="0.3">
      <c r="B8" s="98" t="s">
        <v>19</v>
      </c>
      <c r="C8" s="99">
        <v>54446</v>
      </c>
      <c r="D8" s="99">
        <v>7778</v>
      </c>
      <c r="E8" s="99">
        <f t="shared" si="0"/>
        <v>816.68999999999994</v>
      </c>
      <c r="F8" s="99">
        <f t="shared" si="1"/>
        <v>8594.69</v>
      </c>
      <c r="G8" s="99"/>
      <c r="H8" s="99"/>
      <c r="I8" s="100"/>
      <c r="J8" s="101"/>
      <c r="L8" s="98" t="s">
        <v>19</v>
      </c>
      <c r="M8" s="99">
        <v>54446</v>
      </c>
      <c r="N8" s="99">
        <v>7778</v>
      </c>
      <c r="O8" s="99">
        <f t="shared" si="2"/>
        <v>816.68999999999994</v>
      </c>
      <c r="P8" s="99">
        <f t="shared" si="3"/>
        <v>8594.69</v>
      </c>
      <c r="Q8" s="99"/>
      <c r="R8" s="99"/>
      <c r="S8" s="100"/>
      <c r="T8" s="101"/>
    </row>
    <row r="9" spans="2:20" ht="15" thickBot="1" x14ac:dyDescent="0.35">
      <c r="B9" s="98" t="s">
        <v>20</v>
      </c>
      <c r="C9" s="99">
        <v>46668</v>
      </c>
      <c r="D9" s="99">
        <v>7778</v>
      </c>
      <c r="E9" s="99">
        <f t="shared" si="0"/>
        <v>700.02</v>
      </c>
      <c r="F9" s="99">
        <f t="shared" si="1"/>
        <v>8478.02</v>
      </c>
      <c r="G9" s="99"/>
      <c r="H9" s="99"/>
      <c r="I9" s="100"/>
      <c r="J9" s="101"/>
      <c r="L9" s="98" t="s">
        <v>20</v>
      </c>
      <c r="M9" s="99">
        <v>46668</v>
      </c>
      <c r="N9" s="99">
        <v>7778</v>
      </c>
      <c r="O9" s="99">
        <f t="shared" si="2"/>
        <v>700.02</v>
      </c>
      <c r="P9" s="99">
        <f t="shared" si="3"/>
        <v>8478.02</v>
      </c>
      <c r="Q9" s="99"/>
      <c r="R9" s="99"/>
      <c r="S9" s="100"/>
      <c r="T9" s="101"/>
    </row>
    <row r="10" spans="2:20" x14ac:dyDescent="0.3">
      <c r="B10" s="98" t="s">
        <v>21</v>
      </c>
      <c r="C10" s="99">
        <v>38890</v>
      </c>
      <c r="D10" s="95">
        <v>7778</v>
      </c>
      <c r="E10" s="99">
        <f t="shared" si="0"/>
        <v>583.35</v>
      </c>
      <c r="F10" s="99">
        <f t="shared" si="1"/>
        <v>8361.35</v>
      </c>
      <c r="G10" s="99"/>
      <c r="H10" s="99"/>
      <c r="I10" s="100"/>
      <c r="J10" s="101"/>
      <c r="L10" s="98" t="s">
        <v>21</v>
      </c>
      <c r="M10" s="99">
        <v>38890</v>
      </c>
      <c r="N10" s="95">
        <v>7778</v>
      </c>
      <c r="O10" s="99">
        <f t="shared" si="2"/>
        <v>583.35</v>
      </c>
      <c r="P10" s="99">
        <f t="shared" si="3"/>
        <v>8361.35</v>
      </c>
      <c r="Q10" s="99"/>
      <c r="R10" s="99"/>
      <c r="S10" s="100"/>
      <c r="T10" s="101"/>
    </row>
    <row r="11" spans="2:20" ht="15" thickBot="1" x14ac:dyDescent="0.35">
      <c r="B11" s="98" t="s">
        <v>23</v>
      </c>
      <c r="C11" s="99">
        <v>31112</v>
      </c>
      <c r="D11" s="99">
        <v>7778</v>
      </c>
      <c r="E11" s="99">
        <f t="shared" si="0"/>
        <v>466.68</v>
      </c>
      <c r="F11" s="99">
        <f t="shared" si="1"/>
        <v>8244.68</v>
      </c>
      <c r="G11" s="99"/>
      <c r="H11" s="99"/>
      <c r="I11" s="100"/>
      <c r="J11" s="101"/>
      <c r="L11" s="98" t="s">
        <v>23</v>
      </c>
      <c r="M11" s="99">
        <v>31112</v>
      </c>
      <c r="N11" s="99">
        <v>7778</v>
      </c>
      <c r="O11" s="99">
        <f t="shared" si="2"/>
        <v>466.68</v>
      </c>
      <c r="P11" s="99">
        <f t="shared" si="3"/>
        <v>8244.68</v>
      </c>
      <c r="Q11" s="99"/>
      <c r="R11" s="99"/>
      <c r="S11" s="100"/>
      <c r="T11" s="101"/>
    </row>
    <row r="12" spans="2:20" x14ac:dyDescent="0.3">
      <c r="B12" s="98" t="s">
        <v>24</v>
      </c>
      <c r="C12" s="99">
        <v>23334</v>
      </c>
      <c r="D12" s="95">
        <v>7778</v>
      </c>
      <c r="E12" s="99">
        <f t="shared" si="0"/>
        <v>350.01</v>
      </c>
      <c r="F12" s="99">
        <f t="shared" si="1"/>
        <v>8128.01</v>
      </c>
      <c r="G12" s="99"/>
      <c r="H12" s="99"/>
      <c r="I12" s="100"/>
      <c r="J12" s="101"/>
      <c r="L12" s="98" t="s">
        <v>24</v>
      </c>
      <c r="M12" s="99">
        <v>23334</v>
      </c>
      <c r="N12" s="95">
        <v>7778</v>
      </c>
      <c r="O12" s="99">
        <f t="shared" si="2"/>
        <v>350.01</v>
      </c>
      <c r="P12" s="99">
        <f t="shared" si="3"/>
        <v>8128.01</v>
      </c>
      <c r="Q12" s="99"/>
      <c r="R12" s="99"/>
      <c r="S12" s="100"/>
      <c r="T12" s="101"/>
    </row>
    <row r="13" spans="2:20" x14ac:dyDescent="0.3">
      <c r="B13" s="98" t="s">
        <v>25</v>
      </c>
      <c r="C13" s="99">
        <v>15556</v>
      </c>
      <c r="D13" s="99">
        <v>7778</v>
      </c>
      <c r="E13" s="99">
        <f t="shared" si="0"/>
        <v>233.34</v>
      </c>
      <c r="F13" s="99">
        <f t="shared" si="1"/>
        <v>8011.34</v>
      </c>
      <c r="G13" s="99"/>
      <c r="H13" s="99"/>
      <c r="I13" s="100"/>
      <c r="J13" s="101"/>
      <c r="L13" s="98" t="s">
        <v>25</v>
      </c>
      <c r="M13" s="99">
        <v>15556</v>
      </c>
      <c r="N13" s="99">
        <v>7778</v>
      </c>
      <c r="O13" s="99">
        <f t="shared" si="2"/>
        <v>233.34</v>
      </c>
      <c r="P13" s="99">
        <f t="shared" si="3"/>
        <v>8011.34</v>
      </c>
      <c r="Q13" s="99"/>
      <c r="R13" s="99"/>
      <c r="S13" s="100"/>
      <c r="T13" s="101"/>
    </row>
    <row r="14" spans="2:20" x14ac:dyDescent="0.3">
      <c r="B14" s="98" t="s">
        <v>26</v>
      </c>
      <c r="C14" s="99">
        <v>7778</v>
      </c>
      <c r="D14" s="99">
        <v>7778</v>
      </c>
      <c r="E14" s="99">
        <f t="shared" si="0"/>
        <v>116.67</v>
      </c>
      <c r="F14" s="99">
        <f t="shared" si="1"/>
        <v>7894.67</v>
      </c>
      <c r="G14" s="99"/>
      <c r="H14" s="99"/>
      <c r="I14" s="100"/>
      <c r="J14" s="101"/>
      <c r="L14" s="98" t="s">
        <v>26</v>
      </c>
      <c r="M14" s="99">
        <v>7778</v>
      </c>
      <c r="N14" s="99">
        <v>7778</v>
      </c>
      <c r="O14" s="99">
        <f t="shared" si="2"/>
        <v>116.67</v>
      </c>
      <c r="P14" s="99">
        <f t="shared" si="3"/>
        <v>7894.67</v>
      </c>
      <c r="Q14" s="99"/>
      <c r="R14" s="99"/>
      <c r="S14" s="100"/>
      <c r="T14" s="101"/>
    </row>
    <row r="17" spans="2:20" x14ac:dyDescent="0.3">
      <c r="B17" s="77" t="s">
        <v>0</v>
      </c>
      <c r="C17" s="77" t="s">
        <v>130</v>
      </c>
      <c r="D17" s="112"/>
      <c r="E17" s="112"/>
      <c r="F17" s="79"/>
      <c r="G17" s="80"/>
      <c r="I17" s="81" t="s">
        <v>1</v>
      </c>
      <c r="J17" s="82">
        <v>100000</v>
      </c>
      <c r="L17" s="77" t="s">
        <v>0</v>
      </c>
      <c r="M17" s="77" t="s">
        <v>130</v>
      </c>
      <c r="N17" s="112"/>
      <c r="O17" s="112"/>
      <c r="P17" s="79"/>
      <c r="Q17" s="80"/>
      <c r="S17" s="81" t="s">
        <v>1</v>
      </c>
      <c r="T17" s="82">
        <v>100000</v>
      </c>
    </row>
    <row r="18" spans="2:20" x14ac:dyDescent="0.3">
      <c r="B18" s="77" t="s">
        <v>2</v>
      </c>
      <c r="C18" s="83"/>
      <c r="D18" s="79"/>
      <c r="E18" s="83"/>
      <c r="F18" s="81"/>
      <c r="G18" s="81"/>
      <c r="H18" s="84"/>
      <c r="I18" s="81" t="s">
        <v>3</v>
      </c>
      <c r="J18" s="85" t="s">
        <v>314</v>
      </c>
      <c r="L18" s="77" t="s">
        <v>2</v>
      </c>
      <c r="M18" s="83"/>
      <c r="N18" s="79"/>
      <c r="O18" s="83"/>
      <c r="P18" s="81"/>
      <c r="Q18" s="81"/>
      <c r="R18" s="84"/>
      <c r="S18" s="81" t="s">
        <v>3</v>
      </c>
      <c r="T18" s="85" t="s">
        <v>314</v>
      </c>
    </row>
    <row r="19" spans="2:20" x14ac:dyDescent="0.3">
      <c r="B19" s="77" t="s">
        <v>4</v>
      </c>
      <c r="C19" s="78"/>
      <c r="D19" s="79"/>
      <c r="E19" s="78"/>
      <c r="F19" s="81"/>
      <c r="G19" s="81"/>
      <c r="H19" s="81"/>
      <c r="I19" s="81" t="s">
        <v>5</v>
      </c>
      <c r="J19" s="86">
        <v>1.4999999999999999E-2</v>
      </c>
      <c r="L19" s="77" t="s">
        <v>4</v>
      </c>
      <c r="M19" s="78"/>
      <c r="N19" s="79"/>
      <c r="O19" s="78"/>
      <c r="P19" s="81"/>
      <c r="Q19" s="81"/>
      <c r="R19" s="81"/>
      <c r="S19" s="81" t="s">
        <v>5</v>
      </c>
      <c r="T19" s="86">
        <v>1.4999999999999999E-2</v>
      </c>
    </row>
    <row r="20" spans="2:20" ht="15" thickBot="1" x14ac:dyDescent="0.35">
      <c r="B20" s="77" t="s">
        <v>6</v>
      </c>
      <c r="C20" s="87"/>
      <c r="D20" s="87"/>
      <c r="E20" s="88"/>
      <c r="F20" s="88"/>
      <c r="G20" s="88"/>
      <c r="H20" s="88"/>
      <c r="I20" s="88" t="s">
        <v>7</v>
      </c>
      <c r="J20" s="78">
        <v>9</v>
      </c>
      <c r="L20" s="77" t="s">
        <v>6</v>
      </c>
      <c r="M20" s="87"/>
      <c r="N20" s="87"/>
      <c r="O20" s="88"/>
      <c r="P20" s="88"/>
      <c r="Q20" s="88"/>
      <c r="R20" s="88"/>
      <c r="S20" s="88" t="s">
        <v>7</v>
      </c>
      <c r="T20" s="78">
        <v>9</v>
      </c>
    </row>
    <row r="21" spans="2:20" ht="41.4" thickBot="1" x14ac:dyDescent="0.35">
      <c r="B21" s="89" t="s">
        <v>8</v>
      </c>
      <c r="C21" s="89" t="s">
        <v>9</v>
      </c>
      <c r="D21" s="89" t="s">
        <v>10</v>
      </c>
      <c r="E21" s="90" t="s">
        <v>11</v>
      </c>
      <c r="F21" s="91" t="s">
        <v>12</v>
      </c>
      <c r="G21" s="92" t="s">
        <v>13</v>
      </c>
      <c r="H21" s="92" t="s">
        <v>14</v>
      </c>
      <c r="I21" s="92" t="s">
        <v>15</v>
      </c>
      <c r="J21" s="93" t="s">
        <v>16</v>
      </c>
      <c r="L21" s="89" t="s">
        <v>8</v>
      </c>
      <c r="M21" s="89" t="s">
        <v>9</v>
      </c>
      <c r="N21" s="89" t="s">
        <v>10</v>
      </c>
      <c r="O21" s="90" t="s">
        <v>11</v>
      </c>
      <c r="P21" s="91" t="s">
        <v>12</v>
      </c>
      <c r="Q21" s="92" t="s">
        <v>13</v>
      </c>
      <c r="R21" s="92" t="s">
        <v>14</v>
      </c>
      <c r="S21" s="92" t="s">
        <v>15</v>
      </c>
      <c r="T21" s="93" t="s">
        <v>16</v>
      </c>
    </row>
    <row r="22" spans="2:20" x14ac:dyDescent="0.3">
      <c r="B22" s="94" t="s">
        <v>17</v>
      </c>
      <c r="C22" s="95">
        <v>100000</v>
      </c>
      <c r="D22" s="95">
        <f>J17/J20</f>
        <v>11111.111111111111</v>
      </c>
      <c r="E22" s="95">
        <f t="shared" ref="E22:E30" si="4">(C22*0.015)</f>
        <v>1500</v>
      </c>
      <c r="F22" s="95">
        <f t="shared" ref="F22:F30" si="5">SUM(D22:E22)</f>
        <v>12611.111111111111</v>
      </c>
      <c r="G22" s="95"/>
      <c r="H22" s="95"/>
      <c r="I22" s="96"/>
      <c r="J22" s="97"/>
      <c r="L22" s="94" t="s">
        <v>17</v>
      </c>
      <c r="M22" s="95">
        <v>100000</v>
      </c>
      <c r="N22" s="95">
        <f>T17/T20</f>
        <v>11111.111111111111</v>
      </c>
      <c r="O22" s="95">
        <f t="shared" ref="O22:O30" si="6">(M22*0.015)</f>
        <v>1500</v>
      </c>
      <c r="P22" s="95">
        <f t="shared" ref="P22:P30" si="7">SUM(N22:O22)</f>
        <v>12611.111111111111</v>
      </c>
      <c r="Q22" s="95"/>
      <c r="R22" s="95"/>
      <c r="S22" s="96"/>
      <c r="T22" s="97"/>
    </row>
    <row r="23" spans="2:20" x14ac:dyDescent="0.3">
      <c r="B23" s="98" t="s">
        <v>18</v>
      </c>
      <c r="C23" s="99">
        <v>88888</v>
      </c>
      <c r="D23" s="99">
        <v>11111</v>
      </c>
      <c r="E23" s="99">
        <f t="shared" si="4"/>
        <v>1333.32</v>
      </c>
      <c r="F23" s="99">
        <f t="shared" si="5"/>
        <v>12444.32</v>
      </c>
      <c r="G23" s="99"/>
      <c r="H23" s="99"/>
      <c r="I23" s="100"/>
      <c r="J23" s="101"/>
      <c r="L23" s="98" t="s">
        <v>18</v>
      </c>
      <c r="M23" s="99">
        <v>88888</v>
      </c>
      <c r="N23" s="99">
        <v>11111</v>
      </c>
      <c r="O23" s="99">
        <f t="shared" si="6"/>
        <v>1333.32</v>
      </c>
      <c r="P23" s="99">
        <f t="shared" si="7"/>
        <v>12444.32</v>
      </c>
      <c r="Q23" s="99"/>
      <c r="R23" s="99"/>
      <c r="S23" s="100"/>
      <c r="T23" s="101"/>
    </row>
    <row r="24" spans="2:20" ht="15" thickBot="1" x14ac:dyDescent="0.35">
      <c r="B24" s="98" t="s">
        <v>19</v>
      </c>
      <c r="C24" s="99">
        <v>77777</v>
      </c>
      <c r="D24" s="99">
        <v>11111</v>
      </c>
      <c r="E24" s="99">
        <f t="shared" si="4"/>
        <v>1166.655</v>
      </c>
      <c r="F24" s="99">
        <f t="shared" si="5"/>
        <v>12277.655000000001</v>
      </c>
      <c r="G24" s="99"/>
      <c r="H24" s="99"/>
      <c r="I24" s="100"/>
      <c r="J24" s="101"/>
      <c r="L24" s="98" t="s">
        <v>19</v>
      </c>
      <c r="M24" s="99">
        <v>77777</v>
      </c>
      <c r="N24" s="99">
        <v>11111</v>
      </c>
      <c r="O24" s="99">
        <f t="shared" si="6"/>
        <v>1166.655</v>
      </c>
      <c r="P24" s="99">
        <f t="shared" si="7"/>
        <v>12277.655000000001</v>
      </c>
      <c r="Q24" s="99"/>
      <c r="R24" s="99"/>
      <c r="S24" s="100"/>
      <c r="T24" s="101"/>
    </row>
    <row r="25" spans="2:20" x14ac:dyDescent="0.3">
      <c r="B25" s="98" t="s">
        <v>20</v>
      </c>
      <c r="C25" s="99">
        <v>66666</v>
      </c>
      <c r="D25" s="95">
        <v>11111</v>
      </c>
      <c r="E25" s="99">
        <f t="shared" si="4"/>
        <v>999.99</v>
      </c>
      <c r="F25" s="99">
        <f t="shared" si="5"/>
        <v>12110.99</v>
      </c>
      <c r="G25" s="99"/>
      <c r="H25" s="99"/>
      <c r="I25" s="100"/>
      <c r="J25" s="101"/>
      <c r="L25" s="98" t="s">
        <v>20</v>
      </c>
      <c r="M25" s="99">
        <v>66666</v>
      </c>
      <c r="N25" s="95">
        <v>11111</v>
      </c>
      <c r="O25" s="99">
        <f t="shared" si="6"/>
        <v>999.99</v>
      </c>
      <c r="P25" s="99">
        <f t="shared" si="7"/>
        <v>12110.99</v>
      </c>
      <c r="Q25" s="99"/>
      <c r="R25" s="99"/>
      <c r="S25" s="100"/>
      <c r="T25" s="101"/>
    </row>
    <row r="26" spans="2:20" x14ac:dyDescent="0.3">
      <c r="B26" s="98" t="s">
        <v>21</v>
      </c>
      <c r="C26" s="99">
        <v>55555</v>
      </c>
      <c r="D26" s="99">
        <v>11111</v>
      </c>
      <c r="E26" s="99">
        <f t="shared" si="4"/>
        <v>833.32499999999993</v>
      </c>
      <c r="F26" s="99">
        <f t="shared" si="5"/>
        <v>11944.325000000001</v>
      </c>
      <c r="G26" s="99"/>
      <c r="H26" s="99"/>
      <c r="I26" s="100"/>
      <c r="J26" s="101"/>
      <c r="L26" s="98" t="s">
        <v>21</v>
      </c>
      <c r="M26" s="99">
        <v>55555</v>
      </c>
      <c r="N26" s="99">
        <v>11111</v>
      </c>
      <c r="O26" s="99">
        <f t="shared" si="6"/>
        <v>833.32499999999993</v>
      </c>
      <c r="P26" s="99">
        <f t="shared" si="7"/>
        <v>11944.325000000001</v>
      </c>
      <c r="Q26" s="99"/>
      <c r="R26" s="99"/>
      <c r="S26" s="100"/>
      <c r="T26" s="101"/>
    </row>
    <row r="27" spans="2:20" ht="15" thickBot="1" x14ac:dyDescent="0.35">
      <c r="B27" s="98" t="s">
        <v>23</v>
      </c>
      <c r="C27" s="99">
        <v>44444</v>
      </c>
      <c r="D27" s="99">
        <v>11111</v>
      </c>
      <c r="E27" s="99">
        <f t="shared" si="4"/>
        <v>666.66</v>
      </c>
      <c r="F27" s="99">
        <f t="shared" si="5"/>
        <v>11777.66</v>
      </c>
      <c r="G27" s="99"/>
      <c r="H27" s="99"/>
      <c r="I27" s="100"/>
      <c r="J27" s="101"/>
      <c r="L27" s="98" t="s">
        <v>23</v>
      </c>
      <c r="M27" s="99">
        <v>44444</v>
      </c>
      <c r="N27" s="99">
        <v>11111</v>
      </c>
      <c r="O27" s="99">
        <f t="shared" si="6"/>
        <v>666.66</v>
      </c>
      <c r="P27" s="99">
        <f t="shared" si="7"/>
        <v>11777.66</v>
      </c>
      <c r="Q27" s="99"/>
      <c r="R27" s="99"/>
      <c r="S27" s="100"/>
      <c r="T27" s="101"/>
    </row>
    <row r="28" spans="2:20" x14ac:dyDescent="0.3">
      <c r="B28" s="98" t="s">
        <v>24</v>
      </c>
      <c r="C28" s="99">
        <v>33333</v>
      </c>
      <c r="D28" s="95">
        <v>11111</v>
      </c>
      <c r="E28" s="99">
        <f t="shared" si="4"/>
        <v>499.995</v>
      </c>
      <c r="F28" s="99">
        <f t="shared" si="5"/>
        <v>11610.995000000001</v>
      </c>
      <c r="G28" s="99"/>
      <c r="H28" s="99"/>
      <c r="I28" s="100"/>
      <c r="J28" s="101"/>
      <c r="L28" s="98" t="s">
        <v>24</v>
      </c>
      <c r="M28" s="99">
        <v>33333</v>
      </c>
      <c r="N28" s="95">
        <v>11111</v>
      </c>
      <c r="O28" s="99">
        <f t="shared" si="6"/>
        <v>499.995</v>
      </c>
      <c r="P28" s="99">
        <f t="shared" si="7"/>
        <v>11610.995000000001</v>
      </c>
      <c r="Q28" s="99"/>
      <c r="R28" s="99"/>
      <c r="S28" s="100"/>
      <c r="T28" s="101"/>
    </row>
    <row r="29" spans="2:20" x14ac:dyDescent="0.3">
      <c r="B29" s="98" t="s">
        <v>25</v>
      </c>
      <c r="C29" s="99">
        <v>22222</v>
      </c>
      <c r="D29" s="99">
        <v>11111</v>
      </c>
      <c r="E29" s="99">
        <f t="shared" si="4"/>
        <v>333.33</v>
      </c>
      <c r="F29" s="99">
        <f t="shared" si="5"/>
        <v>11444.33</v>
      </c>
      <c r="G29" s="99"/>
      <c r="H29" s="99"/>
      <c r="I29" s="100"/>
      <c r="J29" s="101"/>
      <c r="L29" s="98" t="s">
        <v>25</v>
      </c>
      <c r="M29" s="99">
        <v>22222</v>
      </c>
      <c r="N29" s="99">
        <v>11111</v>
      </c>
      <c r="O29" s="99">
        <f t="shared" si="6"/>
        <v>333.33</v>
      </c>
      <c r="P29" s="99">
        <f t="shared" si="7"/>
        <v>11444.33</v>
      </c>
      <c r="Q29" s="99"/>
      <c r="R29" s="99"/>
      <c r="S29" s="100"/>
      <c r="T29" s="101"/>
    </row>
    <row r="30" spans="2:20" x14ac:dyDescent="0.3">
      <c r="B30" s="98" t="s">
        <v>26</v>
      </c>
      <c r="C30" s="99">
        <v>11111</v>
      </c>
      <c r="D30" s="99">
        <v>11111</v>
      </c>
      <c r="E30" s="99">
        <f t="shared" si="4"/>
        <v>166.66499999999999</v>
      </c>
      <c r="F30" s="99">
        <f t="shared" si="5"/>
        <v>11277.665000000001</v>
      </c>
      <c r="G30" s="99"/>
      <c r="H30" s="99"/>
      <c r="I30" s="100"/>
      <c r="J30" s="101"/>
      <c r="L30" s="98" t="s">
        <v>26</v>
      </c>
      <c r="M30" s="99">
        <v>11111</v>
      </c>
      <c r="N30" s="99">
        <v>11111</v>
      </c>
      <c r="O30" s="99">
        <f t="shared" si="6"/>
        <v>166.66499999999999</v>
      </c>
      <c r="P30" s="99">
        <f t="shared" si="7"/>
        <v>11277.665000000001</v>
      </c>
      <c r="Q30" s="99"/>
      <c r="R30" s="99"/>
      <c r="S30" s="100"/>
      <c r="T30" s="101"/>
    </row>
    <row r="31" spans="2:20" x14ac:dyDescent="0.3">
      <c r="F31" s="38">
        <f>SUM(F22:F30)</f>
        <v>107499.0511111111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045E-D4AC-4053-9548-BC7D438D4906}">
  <dimension ref="B1:T78"/>
  <sheetViews>
    <sheetView tabSelected="1" topLeftCell="A58" workbookViewId="0">
      <selection activeCell="A67" sqref="A67:T78"/>
    </sheetView>
  </sheetViews>
  <sheetFormatPr defaultRowHeight="14.4" x14ac:dyDescent="0.3"/>
  <cols>
    <col min="1" max="1" width="2.44140625" customWidth="1"/>
    <col min="2" max="2" width="12" customWidth="1"/>
    <col min="11" max="11" width="5" customWidth="1"/>
    <col min="12" max="12" width="10.88671875" customWidth="1"/>
  </cols>
  <sheetData>
    <row r="1" spans="2:20" x14ac:dyDescent="0.3">
      <c r="B1" s="77" t="s">
        <v>0</v>
      </c>
      <c r="C1" s="229" t="s">
        <v>90</v>
      </c>
      <c r="D1" s="230"/>
      <c r="E1" s="230"/>
      <c r="F1" s="117" t="s">
        <v>195</v>
      </c>
      <c r="G1" s="80"/>
      <c r="H1" s="231" t="s">
        <v>1</v>
      </c>
      <c r="I1" s="231"/>
      <c r="J1" s="82">
        <v>15000</v>
      </c>
      <c r="L1" s="77" t="s">
        <v>0</v>
      </c>
      <c r="M1" s="229" t="s">
        <v>90</v>
      </c>
      <c r="N1" s="230"/>
      <c r="O1" s="230"/>
      <c r="P1" s="117" t="s">
        <v>195</v>
      </c>
      <c r="Q1" s="80"/>
      <c r="R1" s="231" t="s">
        <v>1</v>
      </c>
      <c r="S1" s="231"/>
      <c r="T1" s="82">
        <v>15000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236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236</v>
      </c>
    </row>
    <row r="3" spans="2:20" x14ac:dyDescent="0.3">
      <c r="B3" s="77" t="s">
        <v>4</v>
      </c>
      <c r="C3" s="78"/>
      <c r="D3" s="79"/>
      <c r="E3" s="78"/>
      <c r="F3" s="231" t="s">
        <v>5</v>
      </c>
      <c r="G3" s="231"/>
      <c r="H3" s="231"/>
      <c r="I3" s="231"/>
      <c r="J3" s="86">
        <v>1.4999999999999999E-2</v>
      </c>
      <c r="L3" s="77" t="s">
        <v>4</v>
      </c>
      <c r="M3" s="78"/>
      <c r="N3" s="79"/>
      <c r="O3" s="78"/>
      <c r="P3" s="231" t="s">
        <v>5</v>
      </c>
      <c r="Q3" s="231"/>
      <c r="R3" s="231"/>
      <c r="S3" s="231"/>
      <c r="T3" s="86">
        <v>1.4999999999999999E-2</v>
      </c>
    </row>
    <row r="4" spans="2:20" ht="15" thickBot="1" x14ac:dyDescent="0.35">
      <c r="B4" s="77" t="s">
        <v>6</v>
      </c>
      <c r="C4" s="232"/>
      <c r="D4" s="232"/>
      <c r="E4" s="233" t="s">
        <v>7</v>
      </c>
      <c r="F4" s="233"/>
      <c r="G4" s="233"/>
      <c r="H4" s="233"/>
      <c r="I4" s="233"/>
      <c r="J4" s="78">
        <v>6</v>
      </c>
      <c r="L4" s="77" t="s">
        <v>6</v>
      </c>
      <c r="M4" s="232"/>
      <c r="N4" s="232"/>
      <c r="O4" s="233" t="s">
        <v>7</v>
      </c>
      <c r="P4" s="233"/>
      <c r="Q4" s="233"/>
      <c r="R4" s="233"/>
      <c r="S4" s="233"/>
      <c r="T4" s="78">
        <v>6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149">
        <f>J1</f>
        <v>15000</v>
      </c>
      <c r="D6" s="95">
        <f>J1/J4</f>
        <v>2500</v>
      </c>
      <c r="E6" s="95">
        <f t="shared" ref="E6:E11" si="0">(C6*0.015)</f>
        <v>225</v>
      </c>
      <c r="F6" s="95">
        <f t="shared" ref="F6:F11" si="1">SUM(D6:E6)</f>
        <v>2725</v>
      </c>
      <c r="G6" s="95"/>
      <c r="H6" s="95"/>
      <c r="I6" s="96"/>
      <c r="J6" s="97"/>
      <c r="L6" s="94" t="s">
        <v>17</v>
      </c>
      <c r="M6" s="149">
        <f>T1</f>
        <v>15000</v>
      </c>
      <c r="N6" s="95">
        <f>T1/T4</f>
        <v>2500</v>
      </c>
      <c r="O6" s="95">
        <f t="shared" ref="O6:O11" si="2">(M6*0.015)</f>
        <v>225</v>
      </c>
      <c r="P6" s="95">
        <f t="shared" ref="P6:P11" si="3">SUM(N6:O6)</f>
        <v>2725</v>
      </c>
      <c r="Q6" s="95"/>
      <c r="R6" s="95"/>
      <c r="S6" s="96"/>
      <c r="T6" s="97"/>
    </row>
    <row r="7" spans="2:20" x14ac:dyDescent="0.3">
      <c r="B7" s="98" t="s">
        <v>18</v>
      </c>
      <c r="C7" s="150">
        <v>12500</v>
      </c>
      <c r="D7" s="99">
        <v>2500</v>
      </c>
      <c r="E7" s="99">
        <f t="shared" si="0"/>
        <v>187.5</v>
      </c>
      <c r="F7" s="99">
        <f t="shared" si="1"/>
        <v>2687.5</v>
      </c>
      <c r="G7" s="99"/>
      <c r="H7" s="99"/>
      <c r="I7" s="100"/>
      <c r="J7" s="101"/>
      <c r="L7" s="98" t="s">
        <v>18</v>
      </c>
      <c r="M7" s="150">
        <v>12500</v>
      </c>
      <c r="N7" s="99">
        <v>2500</v>
      </c>
      <c r="O7" s="99">
        <f t="shared" si="2"/>
        <v>187.5</v>
      </c>
      <c r="P7" s="99">
        <f t="shared" si="3"/>
        <v>2687.5</v>
      </c>
      <c r="Q7" s="99"/>
      <c r="R7" s="99"/>
      <c r="S7" s="100"/>
      <c r="T7" s="101"/>
    </row>
    <row r="8" spans="2:20" x14ac:dyDescent="0.3">
      <c r="B8" s="98" t="s">
        <v>19</v>
      </c>
      <c r="C8" s="150">
        <v>10000</v>
      </c>
      <c r="D8" s="99">
        <v>2500</v>
      </c>
      <c r="E8" s="99">
        <f t="shared" si="0"/>
        <v>150</v>
      </c>
      <c r="F8" s="99">
        <f t="shared" si="1"/>
        <v>2650</v>
      </c>
      <c r="G8" s="99"/>
      <c r="H8" s="99"/>
      <c r="I8" s="100"/>
      <c r="J8" s="101"/>
      <c r="L8" s="98" t="s">
        <v>19</v>
      </c>
      <c r="M8" s="150">
        <v>10000</v>
      </c>
      <c r="N8" s="99">
        <v>2500</v>
      </c>
      <c r="O8" s="99">
        <f t="shared" si="2"/>
        <v>150</v>
      </c>
      <c r="P8" s="99">
        <f t="shared" si="3"/>
        <v>2650</v>
      </c>
      <c r="Q8" s="99"/>
      <c r="R8" s="99"/>
      <c r="S8" s="100"/>
      <c r="T8" s="101"/>
    </row>
    <row r="9" spans="2:20" x14ac:dyDescent="0.3">
      <c r="B9" s="98" t="s">
        <v>20</v>
      </c>
      <c r="C9" s="150">
        <v>7500</v>
      </c>
      <c r="D9" s="99">
        <v>2500</v>
      </c>
      <c r="E9" s="99">
        <f t="shared" si="0"/>
        <v>112.5</v>
      </c>
      <c r="F9" s="99">
        <f t="shared" si="1"/>
        <v>2612.5</v>
      </c>
      <c r="G9" s="99"/>
      <c r="H9" s="99"/>
      <c r="I9" s="100"/>
      <c r="J9" s="101"/>
      <c r="L9" s="98" t="s">
        <v>20</v>
      </c>
      <c r="M9" s="150">
        <v>7500</v>
      </c>
      <c r="N9" s="99">
        <v>2500</v>
      </c>
      <c r="O9" s="99">
        <f t="shared" si="2"/>
        <v>112.5</v>
      </c>
      <c r="P9" s="99">
        <f t="shared" si="3"/>
        <v>2612.5</v>
      </c>
      <c r="Q9" s="99"/>
      <c r="R9" s="99"/>
      <c r="S9" s="100"/>
      <c r="T9" s="101"/>
    </row>
    <row r="10" spans="2:20" x14ac:dyDescent="0.3">
      <c r="B10" s="98" t="s">
        <v>21</v>
      </c>
      <c r="C10" s="151">
        <v>5000</v>
      </c>
      <c r="D10" s="99">
        <v>2500</v>
      </c>
      <c r="E10" s="99">
        <f t="shared" si="0"/>
        <v>75</v>
      </c>
      <c r="F10" s="99">
        <f t="shared" si="1"/>
        <v>2575</v>
      </c>
      <c r="G10" s="99"/>
      <c r="H10" s="99"/>
      <c r="I10" s="100"/>
      <c r="J10" s="101"/>
      <c r="L10" s="98" t="s">
        <v>21</v>
      </c>
      <c r="M10" s="151">
        <v>5000</v>
      </c>
      <c r="N10" s="99">
        <v>2500</v>
      </c>
      <c r="O10" s="99">
        <f t="shared" si="2"/>
        <v>75</v>
      </c>
      <c r="P10" s="99">
        <f t="shared" si="3"/>
        <v>2575</v>
      </c>
      <c r="Q10" s="99"/>
      <c r="R10" s="99"/>
      <c r="S10" s="100"/>
      <c r="T10" s="101"/>
    </row>
    <row r="11" spans="2:20" x14ac:dyDescent="0.3">
      <c r="B11" s="98" t="s">
        <v>23</v>
      </c>
      <c r="C11" s="150">
        <v>2500</v>
      </c>
      <c r="D11" s="99">
        <v>2500</v>
      </c>
      <c r="E11" s="99">
        <f t="shared" si="0"/>
        <v>37.5</v>
      </c>
      <c r="F11" s="99">
        <f t="shared" si="1"/>
        <v>2537.5</v>
      </c>
      <c r="G11" s="99"/>
      <c r="H11" s="99"/>
      <c r="I11" s="100"/>
      <c r="J11" s="101" t="s">
        <v>42</v>
      </c>
      <c r="L11" s="98" t="s">
        <v>23</v>
      </c>
      <c r="M11" s="150">
        <v>2500</v>
      </c>
      <c r="N11" s="99">
        <v>2500</v>
      </c>
      <c r="O11" s="99">
        <f t="shared" si="2"/>
        <v>37.5</v>
      </c>
      <c r="P11" s="99">
        <f t="shared" si="3"/>
        <v>2537.5</v>
      </c>
      <c r="Q11" s="99"/>
      <c r="R11" s="99"/>
      <c r="S11" s="100"/>
      <c r="T11" s="101" t="s">
        <v>42</v>
      </c>
    </row>
    <row r="14" spans="2:20" x14ac:dyDescent="0.3">
      <c r="B14" s="77" t="s">
        <v>0</v>
      </c>
      <c r="C14" s="229" t="s">
        <v>176</v>
      </c>
      <c r="D14" s="229"/>
      <c r="E14" s="229"/>
      <c r="F14" s="79"/>
      <c r="G14" s="80"/>
      <c r="H14" s="231" t="s">
        <v>1</v>
      </c>
      <c r="I14" s="231"/>
      <c r="J14" s="82">
        <v>200000</v>
      </c>
      <c r="L14" s="77" t="s">
        <v>0</v>
      </c>
      <c r="M14" s="229" t="s">
        <v>176</v>
      </c>
      <c r="N14" s="229"/>
      <c r="O14" s="229"/>
      <c r="P14" s="79"/>
      <c r="Q14" s="80"/>
      <c r="R14" s="231" t="s">
        <v>1</v>
      </c>
      <c r="S14" s="231"/>
      <c r="T14" s="82">
        <v>200000</v>
      </c>
    </row>
    <row r="15" spans="2:20" x14ac:dyDescent="0.3">
      <c r="B15" s="77" t="s">
        <v>2</v>
      </c>
      <c r="C15" s="83"/>
      <c r="D15" s="79"/>
      <c r="E15" s="83"/>
      <c r="F15" s="81"/>
      <c r="G15" s="81"/>
      <c r="H15" s="84"/>
      <c r="I15" s="81" t="s">
        <v>3</v>
      </c>
      <c r="J15" s="85" t="s">
        <v>180</v>
      </c>
      <c r="L15" s="77" t="s">
        <v>2</v>
      </c>
      <c r="M15" s="83"/>
      <c r="N15" s="79"/>
      <c r="O15" s="83"/>
      <c r="P15" s="81"/>
      <c r="Q15" s="81"/>
      <c r="R15" s="84"/>
      <c r="S15" s="81" t="s">
        <v>3</v>
      </c>
      <c r="T15" s="85" t="s">
        <v>180</v>
      </c>
    </row>
    <row r="16" spans="2:20" x14ac:dyDescent="0.3">
      <c r="B16" s="77" t="s">
        <v>4</v>
      </c>
      <c r="C16" s="78"/>
      <c r="D16" s="79"/>
      <c r="E16" s="78"/>
      <c r="F16" s="231" t="s">
        <v>5</v>
      </c>
      <c r="G16" s="231"/>
      <c r="H16" s="231"/>
      <c r="I16" s="231"/>
      <c r="J16" s="86">
        <v>1.4999999999999999E-2</v>
      </c>
      <c r="L16" s="77" t="s">
        <v>4</v>
      </c>
      <c r="M16" s="78"/>
      <c r="N16" s="79"/>
      <c r="O16" s="78"/>
      <c r="P16" s="231" t="s">
        <v>5</v>
      </c>
      <c r="Q16" s="231"/>
      <c r="R16" s="231"/>
      <c r="S16" s="231"/>
      <c r="T16" s="86">
        <v>1.4999999999999999E-2</v>
      </c>
    </row>
    <row r="17" spans="2:20" ht="15" thickBot="1" x14ac:dyDescent="0.35">
      <c r="B17" s="77" t="s">
        <v>6</v>
      </c>
      <c r="C17" s="232"/>
      <c r="D17" s="232"/>
      <c r="E17" s="233" t="s">
        <v>7</v>
      </c>
      <c r="F17" s="233"/>
      <c r="G17" s="233"/>
      <c r="H17" s="233"/>
      <c r="I17" s="233"/>
      <c r="J17" s="78">
        <v>6</v>
      </c>
      <c r="L17" s="77" t="s">
        <v>6</v>
      </c>
      <c r="M17" s="232"/>
      <c r="N17" s="232"/>
      <c r="O17" s="233" t="s">
        <v>7</v>
      </c>
      <c r="P17" s="233"/>
      <c r="Q17" s="233"/>
      <c r="R17" s="233"/>
      <c r="S17" s="233"/>
      <c r="T17" s="78">
        <v>6</v>
      </c>
    </row>
    <row r="18" spans="2:20" ht="41.4" thickBot="1" x14ac:dyDescent="0.35">
      <c r="B18" s="89" t="s">
        <v>8</v>
      </c>
      <c r="C18" s="89" t="s">
        <v>9</v>
      </c>
      <c r="D18" s="89" t="s">
        <v>10</v>
      </c>
      <c r="E18" s="90" t="s">
        <v>11</v>
      </c>
      <c r="F18" s="91" t="s">
        <v>12</v>
      </c>
      <c r="G18" s="92" t="s">
        <v>13</v>
      </c>
      <c r="H18" s="92" t="s">
        <v>14</v>
      </c>
      <c r="I18" s="92" t="s">
        <v>15</v>
      </c>
      <c r="J18" s="93" t="s">
        <v>16</v>
      </c>
      <c r="L18" s="89" t="s">
        <v>8</v>
      </c>
      <c r="M18" s="89" t="s">
        <v>9</v>
      </c>
      <c r="N18" s="89" t="s">
        <v>10</v>
      </c>
      <c r="O18" s="90" t="s">
        <v>11</v>
      </c>
      <c r="P18" s="91" t="s">
        <v>12</v>
      </c>
      <c r="Q18" s="92" t="s">
        <v>13</v>
      </c>
      <c r="R18" s="92" t="s">
        <v>14</v>
      </c>
      <c r="S18" s="92" t="s">
        <v>15</v>
      </c>
      <c r="T18" s="93" t="s">
        <v>16</v>
      </c>
    </row>
    <row r="19" spans="2:20" x14ac:dyDescent="0.3">
      <c r="B19" s="94" t="s">
        <v>17</v>
      </c>
      <c r="C19" s="95">
        <f>J14</f>
        <v>200000</v>
      </c>
      <c r="D19" s="95">
        <f>J14/J17</f>
        <v>33333.333333333336</v>
      </c>
      <c r="E19" s="95">
        <f t="shared" ref="E19:E24" si="4">(C19*0.015)</f>
        <v>3000</v>
      </c>
      <c r="F19" s="95">
        <f t="shared" ref="F19:F24" si="5">SUM(D19:E19)</f>
        <v>36333.333333333336</v>
      </c>
      <c r="G19" s="95"/>
      <c r="H19" s="95"/>
      <c r="I19" s="96"/>
      <c r="J19" s="97"/>
      <c r="L19" s="94" t="s">
        <v>17</v>
      </c>
      <c r="M19" s="95">
        <f>T14</f>
        <v>200000</v>
      </c>
      <c r="N19" s="95">
        <f>T14/T17</f>
        <v>33333.333333333336</v>
      </c>
      <c r="O19" s="95">
        <f t="shared" ref="O19:O24" si="6">(M19*0.015)</f>
        <v>3000</v>
      </c>
      <c r="P19" s="95">
        <f t="shared" ref="P19:P24" si="7">SUM(N19:O19)</f>
        <v>36333.333333333336</v>
      </c>
      <c r="Q19" s="95"/>
      <c r="R19" s="95"/>
      <c r="S19" s="96"/>
      <c r="T19" s="97"/>
    </row>
    <row r="20" spans="2:20" x14ac:dyDescent="0.3">
      <c r="B20" s="98" t="s">
        <v>18</v>
      </c>
      <c r="C20" s="121">
        <v>166665</v>
      </c>
      <c r="D20" s="99">
        <v>33333</v>
      </c>
      <c r="E20" s="99">
        <f t="shared" si="4"/>
        <v>2499.9749999999999</v>
      </c>
      <c r="F20" s="99">
        <f t="shared" si="5"/>
        <v>35832.974999999999</v>
      </c>
      <c r="G20" s="99"/>
      <c r="H20" s="99"/>
      <c r="I20" s="100"/>
      <c r="J20" s="101"/>
      <c r="L20" s="98" t="s">
        <v>18</v>
      </c>
      <c r="M20" s="121">
        <v>166665</v>
      </c>
      <c r="N20" s="99">
        <v>33333</v>
      </c>
      <c r="O20" s="99">
        <f t="shared" si="6"/>
        <v>2499.9749999999999</v>
      </c>
      <c r="P20" s="99">
        <f t="shared" si="7"/>
        <v>35832.974999999999</v>
      </c>
      <c r="Q20" s="99"/>
      <c r="R20" s="99"/>
      <c r="S20" s="100"/>
      <c r="T20" s="101"/>
    </row>
    <row r="21" spans="2:20" x14ac:dyDescent="0.3">
      <c r="B21" s="98" t="s">
        <v>19</v>
      </c>
      <c r="C21" s="121">
        <v>133332</v>
      </c>
      <c r="D21" s="99">
        <v>33333</v>
      </c>
      <c r="E21" s="99">
        <f t="shared" si="4"/>
        <v>1999.98</v>
      </c>
      <c r="F21" s="99">
        <f t="shared" si="5"/>
        <v>35332.980000000003</v>
      </c>
      <c r="G21" s="99"/>
      <c r="H21" s="99"/>
      <c r="I21" s="100"/>
      <c r="J21" s="101"/>
      <c r="L21" s="98" t="s">
        <v>19</v>
      </c>
      <c r="M21" s="121">
        <v>133332</v>
      </c>
      <c r="N21" s="99">
        <v>33333</v>
      </c>
      <c r="O21" s="99">
        <f t="shared" si="6"/>
        <v>1999.98</v>
      </c>
      <c r="P21" s="99">
        <f t="shared" si="7"/>
        <v>35332.980000000003</v>
      </c>
      <c r="Q21" s="99"/>
      <c r="R21" s="99"/>
      <c r="S21" s="100"/>
      <c r="T21" s="101"/>
    </row>
    <row r="22" spans="2:20" x14ac:dyDescent="0.3">
      <c r="B22" s="98" t="s">
        <v>20</v>
      </c>
      <c r="C22" s="121">
        <v>99999</v>
      </c>
      <c r="D22" s="99">
        <v>33333</v>
      </c>
      <c r="E22" s="99">
        <f t="shared" si="4"/>
        <v>1499.9849999999999</v>
      </c>
      <c r="F22" s="99">
        <f t="shared" si="5"/>
        <v>34832.985000000001</v>
      </c>
      <c r="G22" s="99"/>
      <c r="H22" s="99"/>
      <c r="I22" s="100"/>
      <c r="J22" s="101"/>
      <c r="L22" s="98" t="s">
        <v>20</v>
      </c>
      <c r="M22" s="121">
        <v>99999</v>
      </c>
      <c r="N22" s="99">
        <v>33333</v>
      </c>
      <c r="O22" s="99">
        <f t="shared" si="6"/>
        <v>1499.9849999999999</v>
      </c>
      <c r="P22" s="99">
        <f t="shared" si="7"/>
        <v>34832.985000000001</v>
      </c>
      <c r="Q22" s="99"/>
      <c r="R22" s="99"/>
      <c r="S22" s="100"/>
      <c r="T22" s="101"/>
    </row>
    <row r="23" spans="2:20" x14ac:dyDescent="0.3">
      <c r="B23" s="98" t="s">
        <v>21</v>
      </c>
      <c r="C23" s="122">
        <v>66666</v>
      </c>
      <c r="D23" s="99">
        <v>33333</v>
      </c>
      <c r="E23" s="99">
        <f t="shared" si="4"/>
        <v>999.99</v>
      </c>
      <c r="F23" s="99">
        <f t="shared" si="5"/>
        <v>34332.99</v>
      </c>
      <c r="G23" s="99"/>
      <c r="H23" s="99"/>
      <c r="I23" s="100"/>
      <c r="J23" s="101"/>
      <c r="L23" s="98" t="s">
        <v>21</v>
      </c>
      <c r="M23" s="122">
        <v>66666</v>
      </c>
      <c r="N23" s="99">
        <v>33333</v>
      </c>
      <c r="O23" s="99">
        <f t="shared" si="6"/>
        <v>999.99</v>
      </c>
      <c r="P23" s="99">
        <f t="shared" si="7"/>
        <v>34332.99</v>
      </c>
      <c r="Q23" s="99"/>
      <c r="R23" s="99"/>
      <c r="S23" s="100"/>
      <c r="T23" s="101"/>
    </row>
    <row r="24" spans="2:20" x14ac:dyDescent="0.3">
      <c r="B24" s="98" t="s">
        <v>23</v>
      </c>
      <c r="C24" s="121">
        <v>33333</v>
      </c>
      <c r="D24" s="99">
        <v>33333</v>
      </c>
      <c r="E24" s="99">
        <f t="shared" si="4"/>
        <v>499.995</v>
      </c>
      <c r="F24" s="99">
        <f t="shared" si="5"/>
        <v>33832.995000000003</v>
      </c>
      <c r="G24" s="99"/>
      <c r="H24" s="99"/>
      <c r="I24" s="100"/>
      <c r="J24" s="101" t="s">
        <v>42</v>
      </c>
      <c r="L24" s="98" t="s">
        <v>23</v>
      </c>
      <c r="M24" s="121">
        <v>33333</v>
      </c>
      <c r="N24" s="99">
        <v>33333</v>
      </c>
      <c r="O24" s="99">
        <f t="shared" si="6"/>
        <v>499.995</v>
      </c>
      <c r="P24" s="99">
        <f t="shared" si="7"/>
        <v>33832.995000000003</v>
      </c>
      <c r="Q24" s="99"/>
      <c r="R24" s="99"/>
      <c r="S24" s="100"/>
      <c r="T24" s="101" t="s">
        <v>42</v>
      </c>
    </row>
    <row r="28" spans="2:20" x14ac:dyDescent="0.3">
      <c r="B28" s="77" t="s">
        <v>0</v>
      </c>
      <c r="C28" s="229" t="s">
        <v>175</v>
      </c>
      <c r="D28" s="229"/>
      <c r="E28" s="229"/>
      <c r="F28" s="79"/>
      <c r="G28" s="80"/>
      <c r="H28" s="231" t="s">
        <v>1</v>
      </c>
      <c r="I28" s="231"/>
      <c r="J28" s="82">
        <v>20000</v>
      </c>
      <c r="L28" s="77" t="s">
        <v>0</v>
      </c>
      <c r="M28" s="229" t="s">
        <v>175</v>
      </c>
      <c r="N28" s="229"/>
      <c r="O28" s="229"/>
      <c r="P28" s="79"/>
      <c r="Q28" s="80"/>
      <c r="R28" s="231" t="s">
        <v>1</v>
      </c>
      <c r="S28" s="231"/>
      <c r="T28" s="82">
        <v>20000</v>
      </c>
    </row>
    <row r="29" spans="2:20" x14ac:dyDescent="0.3">
      <c r="B29" s="77" t="s">
        <v>2</v>
      </c>
      <c r="C29" s="83"/>
      <c r="D29" s="79"/>
      <c r="E29" s="83"/>
      <c r="F29" s="81"/>
      <c r="G29" s="81"/>
      <c r="H29" s="84"/>
      <c r="I29" s="81" t="s">
        <v>3</v>
      </c>
      <c r="J29" s="85" t="s">
        <v>179</v>
      </c>
      <c r="L29" s="77" t="s">
        <v>2</v>
      </c>
      <c r="M29" s="83"/>
      <c r="N29" s="79"/>
      <c r="O29" s="83"/>
      <c r="P29" s="81"/>
      <c r="Q29" s="81"/>
      <c r="R29" s="84"/>
      <c r="S29" s="81" t="s">
        <v>3</v>
      </c>
      <c r="T29" s="85" t="s">
        <v>179</v>
      </c>
    </row>
    <row r="30" spans="2:20" x14ac:dyDescent="0.3">
      <c r="B30" s="77" t="s">
        <v>4</v>
      </c>
      <c r="C30" s="78"/>
      <c r="D30" s="79"/>
      <c r="E30" s="78"/>
      <c r="F30" s="231" t="s">
        <v>5</v>
      </c>
      <c r="G30" s="231"/>
      <c r="H30" s="231"/>
      <c r="I30" s="231"/>
      <c r="J30" s="86">
        <v>1.4999999999999999E-2</v>
      </c>
      <c r="L30" s="77" t="s">
        <v>4</v>
      </c>
      <c r="M30" s="78"/>
      <c r="N30" s="79"/>
      <c r="O30" s="78"/>
      <c r="P30" s="231" t="s">
        <v>5</v>
      </c>
      <c r="Q30" s="231"/>
      <c r="R30" s="231"/>
      <c r="S30" s="231"/>
      <c r="T30" s="86">
        <v>1.4999999999999999E-2</v>
      </c>
    </row>
    <row r="31" spans="2:20" ht="15" thickBot="1" x14ac:dyDescent="0.35">
      <c r="B31" s="77" t="s">
        <v>6</v>
      </c>
      <c r="C31" s="232"/>
      <c r="D31" s="232"/>
      <c r="E31" s="233" t="s">
        <v>7</v>
      </c>
      <c r="F31" s="233"/>
      <c r="G31" s="233"/>
      <c r="H31" s="233"/>
      <c r="I31" s="233"/>
      <c r="J31" s="78">
        <v>6</v>
      </c>
      <c r="L31" s="77" t="s">
        <v>6</v>
      </c>
      <c r="M31" s="232"/>
      <c r="N31" s="232"/>
      <c r="O31" s="233" t="s">
        <v>7</v>
      </c>
      <c r="P31" s="233"/>
      <c r="Q31" s="233"/>
      <c r="R31" s="233"/>
      <c r="S31" s="233"/>
      <c r="T31" s="78">
        <v>6</v>
      </c>
    </row>
    <row r="32" spans="2:20" ht="41.4" thickBot="1" x14ac:dyDescent="0.35">
      <c r="B32" s="89" t="s">
        <v>8</v>
      </c>
      <c r="C32" s="89" t="s">
        <v>9</v>
      </c>
      <c r="D32" s="89" t="s">
        <v>10</v>
      </c>
      <c r="E32" s="90" t="s">
        <v>11</v>
      </c>
      <c r="F32" s="91" t="s">
        <v>12</v>
      </c>
      <c r="G32" s="92" t="s">
        <v>13</v>
      </c>
      <c r="H32" s="92" t="s">
        <v>14</v>
      </c>
      <c r="I32" s="92" t="s">
        <v>15</v>
      </c>
      <c r="J32" s="93" t="s">
        <v>16</v>
      </c>
      <c r="L32" s="89" t="s">
        <v>8</v>
      </c>
      <c r="M32" s="89" t="s">
        <v>9</v>
      </c>
      <c r="N32" s="89" t="s">
        <v>10</v>
      </c>
      <c r="O32" s="90" t="s">
        <v>11</v>
      </c>
      <c r="P32" s="91" t="s">
        <v>12</v>
      </c>
      <c r="Q32" s="92" t="s">
        <v>13</v>
      </c>
      <c r="R32" s="92" t="s">
        <v>14</v>
      </c>
      <c r="S32" s="92" t="s">
        <v>15</v>
      </c>
      <c r="T32" s="93" t="s">
        <v>16</v>
      </c>
    </row>
    <row r="33" spans="2:20" x14ac:dyDescent="0.3">
      <c r="B33" s="94" t="s">
        <v>17</v>
      </c>
      <c r="C33" s="95">
        <f>J28</f>
        <v>20000</v>
      </c>
      <c r="D33" s="95">
        <f>J28/J31</f>
        <v>3333.3333333333335</v>
      </c>
      <c r="E33" s="95">
        <f t="shared" ref="E33:E38" si="8">(C33*0.015)</f>
        <v>300</v>
      </c>
      <c r="F33" s="95">
        <f t="shared" ref="F33:F38" si="9">SUM(D33:E33)</f>
        <v>3633.3333333333335</v>
      </c>
      <c r="G33" s="95"/>
      <c r="H33" s="95"/>
      <c r="I33" s="96"/>
      <c r="J33" s="97"/>
      <c r="L33" s="94" t="s">
        <v>17</v>
      </c>
      <c r="M33" s="95">
        <f>T28</f>
        <v>20000</v>
      </c>
      <c r="N33" s="95">
        <f>T28/T31</f>
        <v>3333.3333333333335</v>
      </c>
      <c r="O33" s="95">
        <f t="shared" ref="O33:O38" si="10">(M33*0.015)</f>
        <v>300</v>
      </c>
      <c r="P33" s="95">
        <f t="shared" ref="P33:P38" si="11">SUM(N33:O33)</f>
        <v>3633.3333333333335</v>
      </c>
      <c r="Q33" s="95"/>
      <c r="R33" s="95"/>
      <c r="S33" s="96"/>
      <c r="T33" s="97"/>
    </row>
    <row r="34" spans="2:20" x14ac:dyDescent="0.3">
      <c r="B34" s="98" t="s">
        <v>18</v>
      </c>
      <c r="C34" s="121">
        <v>16665</v>
      </c>
      <c r="D34" s="99">
        <v>3333</v>
      </c>
      <c r="E34" s="99">
        <f t="shared" si="8"/>
        <v>249.97499999999999</v>
      </c>
      <c r="F34" s="99">
        <f t="shared" si="9"/>
        <v>3582.9749999999999</v>
      </c>
      <c r="G34" s="99"/>
      <c r="H34" s="99"/>
      <c r="I34" s="100"/>
      <c r="J34" s="101"/>
      <c r="L34" s="98" t="s">
        <v>18</v>
      </c>
      <c r="M34" s="121">
        <v>16665</v>
      </c>
      <c r="N34" s="99">
        <v>3333</v>
      </c>
      <c r="O34" s="99">
        <f t="shared" si="10"/>
        <v>249.97499999999999</v>
      </c>
      <c r="P34" s="99">
        <f t="shared" si="11"/>
        <v>3582.9749999999999</v>
      </c>
      <c r="Q34" s="99"/>
      <c r="R34" s="99"/>
      <c r="S34" s="100"/>
      <c r="T34" s="101"/>
    </row>
    <row r="35" spans="2:20" x14ac:dyDescent="0.3">
      <c r="B35" s="98" t="s">
        <v>19</v>
      </c>
      <c r="C35" s="121">
        <v>13332</v>
      </c>
      <c r="D35" s="99">
        <v>3333</v>
      </c>
      <c r="E35" s="99">
        <f t="shared" si="8"/>
        <v>199.98</v>
      </c>
      <c r="F35" s="99">
        <f t="shared" si="9"/>
        <v>3532.98</v>
      </c>
      <c r="G35" s="99"/>
      <c r="H35" s="99"/>
      <c r="I35" s="100"/>
      <c r="J35" s="101"/>
      <c r="L35" s="98" t="s">
        <v>19</v>
      </c>
      <c r="M35" s="121">
        <v>13332</v>
      </c>
      <c r="N35" s="99">
        <v>3333</v>
      </c>
      <c r="O35" s="99">
        <f t="shared" si="10"/>
        <v>199.98</v>
      </c>
      <c r="P35" s="99">
        <f t="shared" si="11"/>
        <v>3532.98</v>
      </c>
      <c r="Q35" s="99"/>
      <c r="R35" s="99"/>
      <c r="S35" s="100"/>
      <c r="T35" s="101"/>
    </row>
    <row r="36" spans="2:20" x14ac:dyDescent="0.3">
      <c r="B36" s="98" t="s">
        <v>20</v>
      </c>
      <c r="C36" s="121">
        <v>9999</v>
      </c>
      <c r="D36" s="99">
        <v>3333</v>
      </c>
      <c r="E36" s="99">
        <f t="shared" si="8"/>
        <v>149.98499999999999</v>
      </c>
      <c r="F36" s="99">
        <f t="shared" si="9"/>
        <v>3482.9850000000001</v>
      </c>
      <c r="G36" s="99"/>
      <c r="H36" s="99"/>
      <c r="I36" s="100"/>
      <c r="J36" s="101"/>
      <c r="L36" s="98" t="s">
        <v>20</v>
      </c>
      <c r="M36" s="121">
        <v>9999</v>
      </c>
      <c r="N36" s="99">
        <v>3333</v>
      </c>
      <c r="O36" s="99">
        <f t="shared" si="10"/>
        <v>149.98499999999999</v>
      </c>
      <c r="P36" s="99">
        <f t="shared" si="11"/>
        <v>3482.9850000000001</v>
      </c>
      <c r="Q36" s="99"/>
      <c r="R36" s="99"/>
      <c r="S36" s="100"/>
      <c r="T36" s="101"/>
    </row>
    <row r="37" spans="2:20" x14ac:dyDescent="0.3">
      <c r="B37" s="98" t="s">
        <v>21</v>
      </c>
      <c r="C37" s="122">
        <v>6666</v>
      </c>
      <c r="D37" s="99">
        <v>3333</v>
      </c>
      <c r="E37" s="99">
        <f t="shared" si="8"/>
        <v>99.99</v>
      </c>
      <c r="F37" s="99">
        <f t="shared" si="9"/>
        <v>3432.99</v>
      </c>
      <c r="G37" s="99"/>
      <c r="H37" s="99"/>
      <c r="I37" s="100"/>
      <c r="J37" s="101"/>
      <c r="L37" s="98" t="s">
        <v>21</v>
      </c>
      <c r="M37" s="122">
        <v>6666</v>
      </c>
      <c r="N37" s="99">
        <v>3333</v>
      </c>
      <c r="O37" s="99">
        <f t="shared" si="10"/>
        <v>99.99</v>
      </c>
      <c r="P37" s="99">
        <f t="shared" si="11"/>
        <v>3432.99</v>
      </c>
      <c r="Q37" s="99"/>
      <c r="R37" s="99"/>
      <c r="S37" s="100"/>
      <c r="T37" s="101"/>
    </row>
    <row r="38" spans="2:20" x14ac:dyDescent="0.3">
      <c r="B38" s="98" t="s">
        <v>23</v>
      </c>
      <c r="C38" s="121">
        <v>3333</v>
      </c>
      <c r="D38" s="99">
        <v>3333</v>
      </c>
      <c r="E38" s="99">
        <f t="shared" si="8"/>
        <v>49.994999999999997</v>
      </c>
      <c r="F38" s="99">
        <f t="shared" si="9"/>
        <v>3382.9949999999999</v>
      </c>
      <c r="G38" s="99"/>
      <c r="H38" s="99"/>
      <c r="I38" s="100"/>
      <c r="J38" s="101" t="s">
        <v>42</v>
      </c>
      <c r="L38" s="98" t="s">
        <v>23</v>
      </c>
      <c r="M38" s="121">
        <v>3333</v>
      </c>
      <c r="N38" s="99">
        <v>3333</v>
      </c>
      <c r="O38" s="99">
        <f t="shared" si="10"/>
        <v>49.994999999999997</v>
      </c>
      <c r="P38" s="99">
        <f t="shared" si="11"/>
        <v>3382.9949999999999</v>
      </c>
      <c r="Q38" s="99"/>
      <c r="R38" s="99"/>
      <c r="S38" s="100"/>
      <c r="T38" s="101" t="s">
        <v>42</v>
      </c>
    </row>
    <row r="42" spans="2:20" x14ac:dyDescent="0.3">
      <c r="B42" s="77" t="s">
        <v>0</v>
      </c>
      <c r="C42" s="229" t="s">
        <v>245</v>
      </c>
      <c r="D42" s="229"/>
      <c r="E42" s="229"/>
      <c r="F42" s="79"/>
      <c r="G42" s="80"/>
      <c r="H42" s="231" t="s">
        <v>1</v>
      </c>
      <c r="I42" s="231"/>
      <c r="J42" s="82">
        <v>10000</v>
      </c>
      <c r="L42" s="77" t="s">
        <v>0</v>
      </c>
      <c r="M42" s="229" t="s">
        <v>245</v>
      </c>
      <c r="N42" s="229"/>
      <c r="O42" s="229"/>
      <c r="P42" s="79"/>
      <c r="Q42" s="80"/>
      <c r="R42" s="231" t="s">
        <v>1</v>
      </c>
      <c r="S42" s="231"/>
      <c r="T42" s="82">
        <v>10000</v>
      </c>
    </row>
    <row r="43" spans="2:20" x14ac:dyDescent="0.3">
      <c r="B43" s="77" t="s">
        <v>2</v>
      </c>
      <c r="C43" s="83"/>
      <c r="D43" s="79"/>
      <c r="E43" s="83"/>
      <c r="F43" s="81"/>
      <c r="G43" s="81"/>
      <c r="H43" s="84"/>
      <c r="I43" s="81" t="s">
        <v>3</v>
      </c>
      <c r="J43" s="85" t="s">
        <v>244</v>
      </c>
      <c r="L43" s="77" t="s">
        <v>2</v>
      </c>
      <c r="M43" s="83"/>
      <c r="N43" s="79"/>
      <c r="O43" s="83"/>
      <c r="P43" s="81"/>
      <c r="Q43" s="81"/>
      <c r="R43" s="84"/>
      <c r="S43" s="81" t="s">
        <v>3</v>
      </c>
      <c r="T43" s="85" t="s">
        <v>244</v>
      </c>
    </row>
    <row r="44" spans="2:20" x14ac:dyDescent="0.3">
      <c r="B44" s="77" t="s">
        <v>4</v>
      </c>
      <c r="C44" s="78"/>
      <c r="D44" s="79"/>
      <c r="E44" s="78"/>
      <c r="F44" s="231" t="s">
        <v>5</v>
      </c>
      <c r="G44" s="231"/>
      <c r="H44" s="231"/>
      <c r="I44" s="231"/>
      <c r="J44" s="86">
        <v>1.4999999999999999E-2</v>
      </c>
      <c r="L44" s="77" t="s">
        <v>4</v>
      </c>
      <c r="M44" s="78"/>
      <c r="N44" s="79"/>
      <c r="O44" s="78"/>
      <c r="P44" s="231" t="s">
        <v>5</v>
      </c>
      <c r="Q44" s="231"/>
      <c r="R44" s="231"/>
      <c r="S44" s="231"/>
      <c r="T44" s="86">
        <v>1.4999999999999999E-2</v>
      </c>
    </row>
    <row r="45" spans="2:20" ht="15" thickBot="1" x14ac:dyDescent="0.35">
      <c r="B45" s="77" t="s">
        <v>6</v>
      </c>
      <c r="C45" s="232"/>
      <c r="D45" s="232"/>
      <c r="E45" s="233" t="s">
        <v>7</v>
      </c>
      <c r="F45" s="233"/>
      <c r="G45" s="233"/>
      <c r="H45" s="233"/>
      <c r="I45" s="233"/>
      <c r="J45" s="78">
        <v>6</v>
      </c>
      <c r="L45" s="77" t="s">
        <v>6</v>
      </c>
      <c r="M45" s="232"/>
      <c r="N45" s="232"/>
      <c r="O45" s="233" t="s">
        <v>7</v>
      </c>
      <c r="P45" s="233"/>
      <c r="Q45" s="233"/>
      <c r="R45" s="233"/>
      <c r="S45" s="233"/>
      <c r="T45" s="78">
        <v>6</v>
      </c>
    </row>
    <row r="46" spans="2:20" ht="41.4" thickBot="1" x14ac:dyDescent="0.35">
      <c r="B46" s="89" t="s">
        <v>8</v>
      </c>
      <c r="C46" s="89" t="s">
        <v>9</v>
      </c>
      <c r="D46" s="89" t="s">
        <v>10</v>
      </c>
      <c r="E46" s="90" t="s">
        <v>11</v>
      </c>
      <c r="F46" s="91" t="s">
        <v>12</v>
      </c>
      <c r="G46" s="92" t="s">
        <v>13</v>
      </c>
      <c r="H46" s="92" t="s">
        <v>14</v>
      </c>
      <c r="I46" s="92" t="s">
        <v>15</v>
      </c>
      <c r="J46" s="93" t="s">
        <v>16</v>
      </c>
      <c r="L46" s="89" t="s">
        <v>8</v>
      </c>
      <c r="M46" s="89" t="s">
        <v>9</v>
      </c>
      <c r="N46" s="89" t="s">
        <v>10</v>
      </c>
      <c r="O46" s="90" t="s">
        <v>11</v>
      </c>
      <c r="P46" s="91" t="s">
        <v>12</v>
      </c>
      <c r="Q46" s="92" t="s">
        <v>13</v>
      </c>
      <c r="R46" s="92" t="s">
        <v>14</v>
      </c>
      <c r="S46" s="92" t="s">
        <v>15</v>
      </c>
      <c r="T46" s="93" t="s">
        <v>16</v>
      </c>
    </row>
    <row r="47" spans="2:20" x14ac:dyDescent="0.3">
      <c r="B47" s="94" t="s">
        <v>17</v>
      </c>
      <c r="C47" s="95">
        <f>J42</f>
        <v>10000</v>
      </c>
      <c r="D47" s="95">
        <f>J42/J45</f>
        <v>1666.6666666666667</v>
      </c>
      <c r="E47" s="95">
        <f t="shared" ref="E47:E52" si="12">(C47*0.015)</f>
        <v>150</v>
      </c>
      <c r="F47" s="95">
        <f t="shared" ref="F47:F52" si="13">SUM(D47:E47)</f>
        <v>1816.6666666666667</v>
      </c>
      <c r="G47" s="95"/>
      <c r="H47" s="95"/>
      <c r="I47" s="96"/>
      <c r="J47" s="97"/>
      <c r="L47" s="94" t="s">
        <v>17</v>
      </c>
      <c r="M47" s="95">
        <f>T42</f>
        <v>10000</v>
      </c>
      <c r="N47" s="95">
        <f>T42/T45</f>
        <v>1666.6666666666667</v>
      </c>
      <c r="O47" s="95">
        <f t="shared" ref="O47:O52" si="14">(M47*0.015)</f>
        <v>150</v>
      </c>
      <c r="P47" s="95">
        <f t="shared" ref="P47:P52" si="15">SUM(N47:O47)</f>
        <v>1816.6666666666667</v>
      </c>
      <c r="Q47" s="95"/>
      <c r="R47" s="95"/>
      <c r="S47" s="96"/>
      <c r="T47" s="97"/>
    </row>
    <row r="48" spans="2:20" x14ac:dyDescent="0.3">
      <c r="B48" s="98" t="s">
        <v>18</v>
      </c>
      <c r="C48" s="121">
        <v>8335</v>
      </c>
      <c r="D48" s="99">
        <v>1667</v>
      </c>
      <c r="E48" s="99">
        <f t="shared" si="12"/>
        <v>125.02499999999999</v>
      </c>
      <c r="F48" s="99">
        <f t="shared" si="13"/>
        <v>1792.0250000000001</v>
      </c>
      <c r="G48" s="99"/>
      <c r="H48" s="99"/>
      <c r="I48" s="100"/>
      <c r="J48" s="101"/>
      <c r="L48" s="98" t="s">
        <v>18</v>
      </c>
      <c r="M48" s="121">
        <v>8335</v>
      </c>
      <c r="N48" s="99">
        <v>1667</v>
      </c>
      <c r="O48" s="99">
        <f t="shared" si="14"/>
        <v>125.02499999999999</v>
      </c>
      <c r="P48" s="99">
        <f t="shared" si="15"/>
        <v>1792.0250000000001</v>
      </c>
      <c r="Q48" s="99"/>
      <c r="R48" s="99"/>
      <c r="S48" s="100"/>
      <c r="T48" s="101"/>
    </row>
    <row r="49" spans="2:20" x14ac:dyDescent="0.3">
      <c r="B49" s="98" t="s">
        <v>19</v>
      </c>
      <c r="C49" s="121">
        <v>6668</v>
      </c>
      <c r="D49" s="99">
        <v>1667</v>
      </c>
      <c r="E49" s="99">
        <f t="shared" si="12"/>
        <v>100.02</v>
      </c>
      <c r="F49" s="99">
        <f t="shared" si="13"/>
        <v>1767.02</v>
      </c>
      <c r="G49" s="99"/>
      <c r="H49" s="99"/>
      <c r="I49" s="100"/>
      <c r="J49" s="101"/>
      <c r="L49" s="98" t="s">
        <v>19</v>
      </c>
      <c r="M49" s="121">
        <v>6668</v>
      </c>
      <c r="N49" s="99">
        <v>1667</v>
      </c>
      <c r="O49" s="99">
        <f t="shared" si="14"/>
        <v>100.02</v>
      </c>
      <c r="P49" s="99">
        <f t="shared" si="15"/>
        <v>1767.02</v>
      </c>
      <c r="Q49" s="99"/>
      <c r="R49" s="99"/>
      <c r="S49" s="100"/>
      <c r="T49" s="101"/>
    </row>
    <row r="50" spans="2:20" x14ac:dyDescent="0.3">
      <c r="B50" s="98" t="s">
        <v>20</v>
      </c>
      <c r="C50" s="121">
        <v>5001</v>
      </c>
      <c r="D50" s="99">
        <v>1667</v>
      </c>
      <c r="E50" s="99">
        <f t="shared" si="12"/>
        <v>75.015000000000001</v>
      </c>
      <c r="F50" s="99">
        <f t="shared" si="13"/>
        <v>1742.0150000000001</v>
      </c>
      <c r="G50" s="99"/>
      <c r="H50" s="99"/>
      <c r="I50" s="100"/>
      <c r="J50" s="101"/>
      <c r="L50" s="98" t="s">
        <v>20</v>
      </c>
      <c r="M50" s="121">
        <v>5001</v>
      </c>
      <c r="N50" s="99">
        <v>1667</v>
      </c>
      <c r="O50" s="99">
        <f t="shared" si="14"/>
        <v>75.015000000000001</v>
      </c>
      <c r="P50" s="99">
        <f t="shared" si="15"/>
        <v>1742.0150000000001</v>
      </c>
      <c r="Q50" s="99"/>
      <c r="R50" s="99"/>
      <c r="S50" s="100"/>
      <c r="T50" s="101"/>
    </row>
    <row r="51" spans="2:20" x14ac:dyDescent="0.3">
      <c r="B51" s="98" t="s">
        <v>21</v>
      </c>
      <c r="C51" s="122">
        <v>3334</v>
      </c>
      <c r="D51" s="99">
        <v>1667</v>
      </c>
      <c r="E51" s="99">
        <f t="shared" si="12"/>
        <v>50.01</v>
      </c>
      <c r="F51" s="99">
        <f t="shared" si="13"/>
        <v>1717.01</v>
      </c>
      <c r="G51" s="99"/>
      <c r="H51" s="99"/>
      <c r="I51" s="100"/>
      <c r="J51" s="101"/>
      <c r="L51" s="98" t="s">
        <v>21</v>
      </c>
      <c r="M51" s="122">
        <v>3334</v>
      </c>
      <c r="N51" s="99">
        <v>1667</v>
      </c>
      <c r="O51" s="99">
        <f t="shared" si="14"/>
        <v>50.01</v>
      </c>
      <c r="P51" s="99">
        <f t="shared" si="15"/>
        <v>1717.01</v>
      </c>
      <c r="Q51" s="99"/>
      <c r="R51" s="99"/>
      <c r="S51" s="100"/>
      <c r="T51" s="101"/>
    </row>
    <row r="52" spans="2:20" x14ac:dyDescent="0.3">
      <c r="B52" s="98" t="s">
        <v>23</v>
      </c>
      <c r="C52" s="121">
        <v>1667</v>
      </c>
      <c r="D52" s="99">
        <v>1667</v>
      </c>
      <c r="E52" s="99">
        <f t="shared" si="12"/>
        <v>25.004999999999999</v>
      </c>
      <c r="F52" s="99">
        <f t="shared" si="13"/>
        <v>1692.0050000000001</v>
      </c>
      <c r="G52" s="99"/>
      <c r="H52" s="99"/>
      <c r="I52" s="100"/>
      <c r="J52" s="101" t="s">
        <v>42</v>
      </c>
      <c r="L52" s="98" t="s">
        <v>23</v>
      </c>
      <c r="M52" s="121">
        <v>1667</v>
      </c>
      <c r="N52" s="99">
        <v>1667</v>
      </c>
      <c r="O52" s="99">
        <f t="shared" si="14"/>
        <v>25.004999999999999</v>
      </c>
      <c r="P52" s="99">
        <f t="shared" si="15"/>
        <v>1692.0050000000001</v>
      </c>
      <c r="Q52" s="99"/>
      <c r="R52" s="99"/>
      <c r="S52" s="100"/>
      <c r="T52" s="101" t="s">
        <v>42</v>
      </c>
    </row>
    <row r="55" spans="2:20" x14ac:dyDescent="0.3">
      <c r="B55" s="77" t="s">
        <v>0</v>
      </c>
      <c r="C55" s="229" t="s">
        <v>187</v>
      </c>
      <c r="D55" s="229"/>
      <c r="E55" s="229"/>
      <c r="F55" s="117" t="s">
        <v>195</v>
      </c>
      <c r="G55" s="80"/>
      <c r="H55" s="231" t="s">
        <v>1</v>
      </c>
      <c r="I55" s="231"/>
      <c r="J55" s="82">
        <v>10000</v>
      </c>
      <c r="L55" s="77" t="s">
        <v>0</v>
      </c>
      <c r="M55" s="229" t="s">
        <v>187</v>
      </c>
      <c r="N55" s="229"/>
      <c r="O55" s="229"/>
      <c r="P55" s="117" t="s">
        <v>195</v>
      </c>
      <c r="Q55" s="80"/>
      <c r="R55" s="231" t="s">
        <v>1</v>
      </c>
      <c r="S55" s="231"/>
      <c r="T55" s="82">
        <v>10000</v>
      </c>
    </row>
    <row r="56" spans="2:20" x14ac:dyDescent="0.3">
      <c r="B56" s="77" t="s">
        <v>2</v>
      </c>
      <c r="C56" s="83"/>
      <c r="D56" s="79"/>
      <c r="E56" s="83"/>
      <c r="F56" s="81"/>
      <c r="G56" s="81"/>
      <c r="H56" s="84"/>
      <c r="I56" s="81" t="s">
        <v>3</v>
      </c>
      <c r="J56" s="85" t="s">
        <v>234</v>
      </c>
      <c r="L56" s="77" t="s">
        <v>2</v>
      </c>
      <c r="M56" s="83"/>
      <c r="N56" s="79"/>
      <c r="O56" s="83"/>
      <c r="P56" s="81"/>
      <c r="Q56" s="81"/>
      <c r="R56" s="84"/>
      <c r="S56" s="81" t="s">
        <v>3</v>
      </c>
      <c r="T56" s="85" t="s">
        <v>234</v>
      </c>
    </row>
    <row r="57" spans="2:20" x14ac:dyDescent="0.3">
      <c r="B57" s="77" t="s">
        <v>4</v>
      </c>
      <c r="C57" s="78"/>
      <c r="D57" s="79"/>
      <c r="E57" s="78"/>
      <c r="F57" s="231" t="s">
        <v>5</v>
      </c>
      <c r="G57" s="231"/>
      <c r="H57" s="231"/>
      <c r="I57" s="231"/>
      <c r="J57" s="86">
        <v>1.4999999999999999E-2</v>
      </c>
      <c r="L57" s="77" t="s">
        <v>4</v>
      </c>
      <c r="M57" s="78"/>
      <c r="N57" s="79"/>
      <c r="O57" s="78"/>
      <c r="P57" s="231" t="s">
        <v>5</v>
      </c>
      <c r="Q57" s="231"/>
      <c r="R57" s="231"/>
      <c r="S57" s="231"/>
      <c r="T57" s="86">
        <v>1.4999999999999999E-2</v>
      </c>
    </row>
    <row r="58" spans="2:20" ht="15" thickBot="1" x14ac:dyDescent="0.35">
      <c r="B58" s="77" t="s">
        <v>6</v>
      </c>
      <c r="C58" s="232"/>
      <c r="D58" s="232"/>
      <c r="E58" s="233" t="s">
        <v>7</v>
      </c>
      <c r="F58" s="233"/>
      <c r="G58" s="233"/>
      <c r="H58" s="233"/>
      <c r="I58" s="233"/>
      <c r="J58" s="78">
        <v>6</v>
      </c>
      <c r="L58" s="77" t="s">
        <v>6</v>
      </c>
      <c r="M58" s="232"/>
      <c r="N58" s="232"/>
      <c r="O58" s="233" t="s">
        <v>7</v>
      </c>
      <c r="P58" s="233"/>
      <c r="Q58" s="233"/>
      <c r="R58" s="233"/>
      <c r="S58" s="233"/>
      <c r="T58" s="78">
        <v>6</v>
      </c>
    </row>
    <row r="59" spans="2:20" ht="41.4" thickBot="1" x14ac:dyDescent="0.35">
      <c r="B59" s="89" t="s">
        <v>8</v>
      </c>
      <c r="C59" s="89" t="s">
        <v>9</v>
      </c>
      <c r="D59" s="89" t="s">
        <v>10</v>
      </c>
      <c r="E59" s="90" t="s">
        <v>11</v>
      </c>
      <c r="F59" s="91" t="s">
        <v>12</v>
      </c>
      <c r="G59" s="92" t="s">
        <v>13</v>
      </c>
      <c r="H59" s="92" t="s">
        <v>14</v>
      </c>
      <c r="I59" s="92" t="s">
        <v>15</v>
      </c>
      <c r="J59" s="93" t="s">
        <v>16</v>
      </c>
      <c r="L59" s="89" t="s">
        <v>8</v>
      </c>
      <c r="M59" s="89" t="s">
        <v>9</v>
      </c>
      <c r="N59" s="89" t="s">
        <v>10</v>
      </c>
      <c r="O59" s="90" t="s">
        <v>11</v>
      </c>
      <c r="P59" s="91" t="s">
        <v>12</v>
      </c>
      <c r="Q59" s="92" t="s">
        <v>13</v>
      </c>
      <c r="R59" s="92" t="s">
        <v>14</v>
      </c>
      <c r="S59" s="92" t="s">
        <v>15</v>
      </c>
      <c r="T59" s="93" t="s">
        <v>16</v>
      </c>
    </row>
    <row r="60" spans="2:20" x14ac:dyDescent="0.3">
      <c r="B60" s="162" t="s">
        <v>17</v>
      </c>
      <c r="C60" s="95">
        <f>J55</f>
        <v>10000</v>
      </c>
      <c r="D60" s="95">
        <f>J55/J58</f>
        <v>1666.6666666666667</v>
      </c>
      <c r="E60" s="95">
        <f t="shared" ref="E60:E65" si="16">(C60*0.015)</f>
        <v>150</v>
      </c>
      <c r="F60" s="95">
        <f t="shared" ref="F60:F65" si="17">SUM(D60:E60)</f>
        <v>1816.6666666666667</v>
      </c>
      <c r="G60" s="95"/>
      <c r="H60" s="95"/>
      <c r="I60" s="96"/>
      <c r="J60" s="97"/>
      <c r="L60" s="94" t="s">
        <v>17</v>
      </c>
      <c r="M60" s="95">
        <f>T55</f>
        <v>10000</v>
      </c>
      <c r="N60" s="95">
        <f>T55/T58</f>
        <v>1666.6666666666667</v>
      </c>
      <c r="O60" s="95">
        <f t="shared" ref="O60:O65" si="18">(M60*0.015)</f>
        <v>150</v>
      </c>
      <c r="P60" s="95">
        <f t="shared" ref="P60:P65" si="19">SUM(N60:O60)</f>
        <v>1816.6666666666667</v>
      </c>
      <c r="Q60" s="95"/>
      <c r="R60" s="95"/>
      <c r="S60" s="96"/>
      <c r="T60" s="97"/>
    </row>
    <row r="61" spans="2:20" x14ac:dyDescent="0.3">
      <c r="B61" s="163" t="s">
        <v>18</v>
      </c>
      <c r="C61" s="135">
        <v>8335</v>
      </c>
      <c r="D61" s="99">
        <v>1667</v>
      </c>
      <c r="E61" s="99">
        <f t="shared" si="16"/>
        <v>125.02499999999999</v>
      </c>
      <c r="F61" s="99">
        <f t="shared" si="17"/>
        <v>1792.0250000000001</v>
      </c>
      <c r="G61" s="99"/>
      <c r="H61" s="99"/>
      <c r="I61" s="100"/>
      <c r="J61" s="101"/>
      <c r="L61" s="98" t="s">
        <v>18</v>
      </c>
      <c r="M61" s="135">
        <v>8335</v>
      </c>
      <c r="N61" s="99">
        <v>1667</v>
      </c>
      <c r="O61" s="99">
        <f t="shared" si="18"/>
        <v>125.02499999999999</v>
      </c>
      <c r="P61" s="99">
        <f t="shared" si="19"/>
        <v>1792.0250000000001</v>
      </c>
      <c r="Q61" s="99"/>
      <c r="R61" s="99"/>
      <c r="S61" s="100"/>
      <c r="T61" s="101"/>
    </row>
    <row r="62" spans="2:20" x14ac:dyDescent="0.3">
      <c r="B62" s="163" t="s">
        <v>19</v>
      </c>
      <c r="C62" s="135">
        <v>6668</v>
      </c>
      <c r="D62" s="99">
        <v>1667</v>
      </c>
      <c r="E62" s="99">
        <f t="shared" si="16"/>
        <v>100.02</v>
      </c>
      <c r="F62" s="99">
        <f t="shared" si="17"/>
        <v>1767.02</v>
      </c>
      <c r="G62" s="99"/>
      <c r="H62" s="99"/>
      <c r="I62" s="100"/>
      <c r="J62" s="101"/>
      <c r="L62" s="98" t="s">
        <v>19</v>
      </c>
      <c r="M62" s="135">
        <v>6668</v>
      </c>
      <c r="N62" s="99">
        <v>1667</v>
      </c>
      <c r="O62" s="99">
        <f t="shared" si="18"/>
        <v>100.02</v>
      </c>
      <c r="P62" s="99">
        <f t="shared" si="19"/>
        <v>1767.02</v>
      </c>
      <c r="Q62" s="99"/>
      <c r="R62" s="99"/>
      <c r="S62" s="100"/>
      <c r="T62" s="101"/>
    </row>
    <row r="63" spans="2:20" x14ac:dyDescent="0.3">
      <c r="B63" s="163" t="s">
        <v>20</v>
      </c>
      <c r="C63" s="135">
        <v>5001</v>
      </c>
      <c r="D63" s="99">
        <v>1667</v>
      </c>
      <c r="E63" s="99">
        <f t="shared" si="16"/>
        <v>75.015000000000001</v>
      </c>
      <c r="F63" s="99">
        <f t="shared" si="17"/>
        <v>1742.0150000000001</v>
      </c>
      <c r="G63" s="99"/>
      <c r="H63" s="99"/>
      <c r="I63" s="100"/>
      <c r="J63" s="101"/>
      <c r="L63" s="98" t="s">
        <v>20</v>
      </c>
      <c r="M63" s="135">
        <v>5001</v>
      </c>
      <c r="N63" s="99">
        <v>1667</v>
      </c>
      <c r="O63" s="99">
        <f t="shared" si="18"/>
        <v>75.015000000000001</v>
      </c>
      <c r="P63" s="99">
        <f t="shared" si="19"/>
        <v>1742.0150000000001</v>
      </c>
      <c r="Q63" s="99"/>
      <c r="R63" s="99"/>
      <c r="S63" s="100"/>
      <c r="T63" s="101"/>
    </row>
    <row r="64" spans="2:20" x14ac:dyDescent="0.3">
      <c r="B64" s="163" t="s">
        <v>21</v>
      </c>
      <c r="C64" s="136">
        <v>3334</v>
      </c>
      <c r="D64" s="99">
        <v>1667</v>
      </c>
      <c r="E64" s="99">
        <f t="shared" si="16"/>
        <v>50.01</v>
      </c>
      <c r="F64" s="99">
        <f t="shared" si="17"/>
        <v>1717.01</v>
      </c>
      <c r="G64" s="99"/>
      <c r="H64" s="99"/>
      <c r="I64" s="100"/>
      <c r="J64" s="101"/>
      <c r="L64" s="98" t="s">
        <v>21</v>
      </c>
      <c r="M64" s="136">
        <v>3334</v>
      </c>
      <c r="N64" s="99">
        <v>1667</v>
      </c>
      <c r="O64" s="99">
        <f t="shared" si="18"/>
        <v>50.01</v>
      </c>
      <c r="P64" s="99">
        <f t="shared" si="19"/>
        <v>1717.01</v>
      </c>
      <c r="Q64" s="99"/>
      <c r="R64" s="99"/>
      <c r="S64" s="100"/>
      <c r="T64" s="101"/>
    </row>
    <row r="65" spans="2:20" x14ac:dyDescent="0.3">
      <c r="B65" s="163" t="s">
        <v>23</v>
      </c>
      <c r="C65" s="135">
        <v>1667</v>
      </c>
      <c r="D65" s="99">
        <v>1667</v>
      </c>
      <c r="E65" s="99">
        <f t="shared" si="16"/>
        <v>25.004999999999999</v>
      </c>
      <c r="F65" s="99">
        <f t="shared" si="17"/>
        <v>1692.0050000000001</v>
      </c>
      <c r="G65" s="99"/>
      <c r="H65" s="99"/>
      <c r="I65" s="100"/>
      <c r="J65" s="101" t="s">
        <v>42</v>
      </c>
      <c r="L65" s="98" t="s">
        <v>23</v>
      </c>
      <c r="M65" s="135">
        <v>1667</v>
      </c>
      <c r="N65" s="99">
        <v>1667</v>
      </c>
      <c r="O65" s="99">
        <f t="shared" si="18"/>
        <v>25.004999999999999</v>
      </c>
      <c r="P65" s="99">
        <f t="shared" si="19"/>
        <v>1692.0050000000001</v>
      </c>
      <c r="Q65" s="99"/>
      <c r="R65" s="99"/>
      <c r="S65" s="100"/>
      <c r="T65" s="101" t="s">
        <v>42</v>
      </c>
    </row>
    <row r="68" spans="2:20" x14ac:dyDescent="0.3">
      <c r="B68" s="77" t="s">
        <v>0</v>
      </c>
      <c r="C68" s="229" t="s">
        <v>210</v>
      </c>
      <c r="D68" s="229"/>
      <c r="E68" s="229"/>
      <c r="F68" s="79"/>
      <c r="G68" s="80"/>
      <c r="H68" s="231" t="s">
        <v>1</v>
      </c>
      <c r="I68" s="231"/>
      <c r="J68" s="82">
        <v>170000</v>
      </c>
      <c r="L68" s="77" t="s">
        <v>0</v>
      </c>
      <c r="M68" s="229" t="s">
        <v>210</v>
      </c>
      <c r="N68" s="229"/>
      <c r="O68" s="229"/>
      <c r="P68" s="79"/>
      <c r="Q68" s="80"/>
      <c r="R68" s="231" t="s">
        <v>1</v>
      </c>
      <c r="S68" s="231"/>
      <c r="T68" s="82">
        <v>170000</v>
      </c>
    </row>
    <row r="69" spans="2:20" x14ac:dyDescent="0.3">
      <c r="B69" s="77" t="s">
        <v>2</v>
      </c>
      <c r="C69" s="83"/>
      <c r="D69" s="79"/>
      <c r="E69" s="83"/>
      <c r="F69" s="81"/>
      <c r="G69" s="81"/>
      <c r="H69" s="84"/>
      <c r="I69" s="81" t="s">
        <v>3</v>
      </c>
      <c r="J69" s="85" t="s">
        <v>329</v>
      </c>
      <c r="L69" s="77" t="s">
        <v>2</v>
      </c>
      <c r="M69" s="83"/>
      <c r="N69" s="79"/>
      <c r="O69" s="83"/>
      <c r="P69" s="81"/>
      <c r="Q69" s="81"/>
      <c r="R69" s="84"/>
      <c r="S69" s="81" t="s">
        <v>3</v>
      </c>
      <c r="T69" s="85" t="s">
        <v>329</v>
      </c>
    </row>
    <row r="70" spans="2:20" x14ac:dyDescent="0.3">
      <c r="B70" s="77" t="s">
        <v>4</v>
      </c>
      <c r="C70" s="78"/>
      <c r="D70" s="79"/>
      <c r="E70" s="78"/>
      <c r="F70" s="231" t="s">
        <v>5</v>
      </c>
      <c r="G70" s="231"/>
      <c r="H70" s="231"/>
      <c r="I70" s="231"/>
      <c r="J70" s="86">
        <v>1.4999999999999999E-2</v>
      </c>
      <c r="L70" s="77" t="s">
        <v>4</v>
      </c>
      <c r="M70" s="78"/>
      <c r="N70" s="79"/>
      <c r="O70" s="78"/>
      <c r="P70" s="231" t="s">
        <v>5</v>
      </c>
      <c r="Q70" s="231"/>
      <c r="R70" s="231"/>
      <c r="S70" s="231"/>
      <c r="T70" s="86">
        <v>1.4999999999999999E-2</v>
      </c>
    </row>
    <row r="71" spans="2:20" ht="15" thickBot="1" x14ac:dyDescent="0.35">
      <c r="B71" s="77" t="s">
        <v>6</v>
      </c>
      <c r="C71" s="232"/>
      <c r="D71" s="232"/>
      <c r="E71" s="233" t="s">
        <v>7</v>
      </c>
      <c r="F71" s="233"/>
      <c r="G71" s="233"/>
      <c r="H71" s="233"/>
      <c r="I71" s="233"/>
      <c r="J71" s="78">
        <v>6</v>
      </c>
      <c r="L71" s="77" t="s">
        <v>6</v>
      </c>
      <c r="M71" s="232"/>
      <c r="N71" s="232"/>
      <c r="O71" s="233" t="s">
        <v>7</v>
      </c>
      <c r="P71" s="233"/>
      <c r="Q71" s="233"/>
      <c r="R71" s="233"/>
      <c r="S71" s="233"/>
      <c r="T71" s="78">
        <v>6</v>
      </c>
    </row>
    <row r="72" spans="2:20" ht="41.4" thickBot="1" x14ac:dyDescent="0.35">
      <c r="B72" s="89" t="s">
        <v>8</v>
      </c>
      <c r="C72" s="89" t="s">
        <v>9</v>
      </c>
      <c r="D72" s="89" t="s">
        <v>10</v>
      </c>
      <c r="E72" s="90" t="s">
        <v>11</v>
      </c>
      <c r="F72" s="91" t="s">
        <v>12</v>
      </c>
      <c r="G72" s="92" t="s">
        <v>13</v>
      </c>
      <c r="H72" s="92" t="s">
        <v>14</v>
      </c>
      <c r="I72" s="92" t="s">
        <v>15</v>
      </c>
      <c r="J72" s="93" t="s">
        <v>16</v>
      </c>
      <c r="L72" s="89" t="s">
        <v>8</v>
      </c>
      <c r="M72" s="89" t="s">
        <v>9</v>
      </c>
      <c r="N72" s="89" t="s">
        <v>10</v>
      </c>
      <c r="O72" s="90" t="s">
        <v>11</v>
      </c>
      <c r="P72" s="91" t="s">
        <v>12</v>
      </c>
      <c r="Q72" s="92" t="s">
        <v>13</v>
      </c>
      <c r="R72" s="92" t="s">
        <v>14</v>
      </c>
      <c r="S72" s="92" t="s">
        <v>15</v>
      </c>
      <c r="T72" s="93" t="s">
        <v>16</v>
      </c>
    </row>
    <row r="73" spans="2:20" x14ac:dyDescent="0.3">
      <c r="B73" s="94" t="s">
        <v>17</v>
      </c>
      <c r="C73" s="95">
        <f>J68</f>
        <v>170000</v>
      </c>
      <c r="D73" s="95">
        <f>J68/J71</f>
        <v>28333.333333333332</v>
      </c>
      <c r="E73" s="95">
        <f t="shared" ref="E73:E78" si="20">(C73*0.015)</f>
        <v>2550</v>
      </c>
      <c r="F73" s="95">
        <f t="shared" ref="F73:F78" si="21">SUM(D73:E73)</f>
        <v>30883.333333333332</v>
      </c>
      <c r="G73" s="95"/>
      <c r="H73" s="95"/>
      <c r="I73" s="96"/>
      <c r="J73" s="97"/>
      <c r="L73" s="94" t="s">
        <v>17</v>
      </c>
      <c r="M73" s="95">
        <f>T68</f>
        <v>170000</v>
      </c>
      <c r="N73" s="95">
        <f>T68/T71</f>
        <v>28333.333333333332</v>
      </c>
      <c r="O73" s="95">
        <f t="shared" ref="O73:O78" si="22">(M73*0.015)</f>
        <v>2550</v>
      </c>
      <c r="P73" s="95">
        <f t="shared" ref="P73:P78" si="23">SUM(N73:O73)</f>
        <v>30883.333333333332</v>
      </c>
      <c r="Q73" s="95"/>
      <c r="R73" s="95"/>
      <c r="S73" s="96"/>
      <c r="T73" s="97"/>
    </row>
    <row r="74" spans="2:20" x14ac:dyDescent="0.3">
      <c r="B74" s="98" t="s">
        <v>18</v>
      </c>
      <c r="C74" s="121">
        <v>131665</v>
      </c>
      <c r="D74" s="99">
        <v>28333</v>
      </c>
      <c r="E74" s="99">
        <f t="shared" si="20"/>
        <v>1974.9749999999999</v>
      </c>
      <c r="F74" s="99">
        <f t="shared" si="21"/>
        <v>30307.974999999999</v>
      </c>
      <c r="G74" s="99"/>
      <c r="H74" s="99"/>
      <c r="I74" s="100"/>
      <c r="J74" s="101"/>
      <c r="L74" s="98" t="s">
        <v>18</v>
      </c>
      <c r="M74" s="121">
        <v>131665</v>
      </c>
      <c r="N74" s="99">
        <v>28333</v>
      </c>
      <c r="O74" s="99">
        <f t="shared" si="22"/>
        <v>1974.9749999999999</v>
      </c>
      <c r="P74" s="99">
        <f t="shared" si="23"/>
        <v>30307.974999999999</v>
      </c>
      <c r="Q74" s="99"/>
      <c r="R74" s="99"/>
      <c r="S74" s="100"/>
      <c r="T74" s="101"/>
    </row>
    <row r="75" spans="2:20" x14ac:dyDescent="0.3">
      <c r="B75" s="98" t="s">
        <v>19</v>
      </c>
      <c r="C75" s="121">
        <v>108332</v>
      </c>
      <c r="D75" s="99">
        <v>28333</v>
      </c>
      <c r="E75" s="99">
        <f t="shared" si="20"/>
        <v>1624.98</v>
      </c>
      <c r="F75" s="99">
        <f t="shared" si="21"/>
        <v>29957.98</v>
      </c>
      <c r="G75" s="99"/>
      <c r="H75" s="99"/>
      <c r="I75" s="100"/>
      <c r="J75" s="101"/>
      <c r="L75" s="98" t="s">
        <v>19</v>
      </c>
      <c r="M75" s="121">
        <v>108332</v>
      </c>
      <c r="N75" s="99">
        <v>28333</v>
      </c>
      <c r="O75" s="99">
        <f t="shared" si="22"/>
        <v>1624.98</v>
      </c>
      <c r="P75" s="99">
        <f t="shared" si="23"/>
        <v>29957.98</v>
      </c>
      <c r="Q75" s="99"/>
      <c r="R75" s="99"/>
      <c r="S75" s="100"/>
      <c r="T75" s="101"/>
    </row>
    <row r="76" spans="2:20" x14ac:dyDescent="0.3">
      <c r="B76" s="98" t="s">
        <v>20</v>
      </c>
      <c r="C76" s="121">
        <v>79999</v>
      </c>
      <c r="D76" s="99">
        <v>28333</v>
      </c>
      <c r="E76" s="99">
        <f t="shared" si="20"/>
        <v>1199.9849999999999</v>
      </c>
      <c r="F76" s="99">
        <f t="shared" si="21"/>
        <v>29532.985000000001</v>
      </c>
      <c r="G76" s="99"/>
      <c r="H76" s="99"/>
      <c r="I76" s="100"/>
      <c r="J76" s="101"/>
      <c r="L76" s="98" t="s">
        <v>20</v>
      </c>
      <c r="M76" s="121">
        <v>79999</v>
      </c>
      <c r="N76" s="99">
        <v>28333</v>
      </c>
      <c r="O76" s="99">
        <f t="shared" si="22"/>
        <v>1199.9849999999999</v>
      </c>
      <c r="P76" s="99">
        <f t="shared" si="23"/>
        <v>29532.985000000001</v>
      </c>
      <c r="Q76" s="99"/>
      <c r="R76" s="99"/>
      <c r="S76" s="100"/>
      <c r="T76" s="101"/>
    </row>
    <row r="77" spans="2:20" x14ac:dyDescent="0.3">
      <c r="B77" s="98" t="s">
        <v>21</v>
      </c>
      <c r="C77" s="122">
        <v>56666</v>
      </c>
      <c r="D77" s="99">
        <v>28333</v>
      </c>
      <c r="E77" s="99">
        <f t="shared" si="20"/>
        <v>849.99</v>
      </c>
      <c r="F77" s="99">
        <f t="shared" si="21"/>
        <v>29182.99</v>
      </c>
      <c r="G77" s="99"/>
      <c r="H77" s="99"/>
      <c r="I77" s="100"/>
      <c r="J77" s="101"/>
      <c r="L77" s="98" t="s">
        <v>21</v>
      </c>
      <c r="M77" s="122">
        <v>56666</v>
      </c>
      <c r="N77" s="99">
        <v>28333</v>
      </c>
      <c r="O77" s="99">
        <f t="shared" si="22"/>
        <v>849.99</v>
      </c>
      <c r="P77" s="99">
        <f t="shared" si="23"/>
        <v>29182.99</v>
      </c>
      <c r="Q77" s="99"/>
      <c r="R77" s="99"/>
      <c r="S77" s="100"/>
      <c r="T77" s="101"/>
    </row>
    <row r="78" spans="2:20" x14ac:dyDescent="0.3">
      <c r="B78" s="98" t="s">
        <v>23</v>
      </c>
      <c r="C78" s="121">
        <v>28333</v>
      </c>
      <c r="D78" s="99">
        <v>28333</v>
      </c>
      <c r="E78" s="99">
        <f t="shared" si="20"/>
        <v>424.995</v>
      </c>
      <c r="F78" s="99">
        <f t="shared" si="21"/>
        <v>28757.994999999999</v>
      </c>
      <c r="G78" s="99"/>
      <c r="H78" s="99"/>
      <c r="I78" s="100"/>
      <c r="J78" s="101" t="s">
        <v>42</v>
      </c>
      <c r="L78" s="98" t="s">
        <v>23</v>
      </c>
      <c r="M78" s="121">
        <v>28333</v>
      </c>
      <c r="N78" s="99">
        <v>28333</v>
      </c>
      <c r="O78" s="99">
        <f t="shared" si="22"/>
        <v>424.995</v>
      </c>
      <c r="P78" s="99">
        <f t="shared" si="23"/>
        <v>28757.994999999999</v>
      </c>
      <c r="Q78" s="99"/>
      <c r="R78" s="99"/>
      <c r="S78" s="100"/>
      <c r="T78" s="101" t="s">
        <v>42</v>
      </c>
    </row>
  </sheetData>
  <mergeCells count="60">
    <mergeCell ref="C71:D71"/>
    <mergeCell ref="E71:I71"/>
    <mergeCell ref="M71:N71"/>
    <mergeCell ref="O71:S71"/>
    <mergeCell ref="C68:E68"/>
    <mergeCell ref="H68:I68"/>
    <mergeCell ref="M68:O68"/>
    <mergeCell ref="R68:S68"/>
    <mergeCell ref="F70:I70"/>
    <mergeCell ref="P70:S70"/>
    <mergeCell ref="C58:D58"/>
    <mergeCell ref="E58:I58"/>
    <mergeCell ref="M58:N58"/>
    <mergeCell ref="O58:S58"/>
    <mergeCell ref="C55:E55"/>
    <mergeCell ref="H55:I55"/>
    <mergeCell ref="M55:O55"/>
    <mergeCell ref="R55:S55"/>
    <mergeCell ref="F57:I57"/>
    <mergeCell ref="P57:S57"/>
    <mergeCell ref="M1:O1"/>
    <mergeCell ref="R1:S1"/>
    <mergeCell ref="P3:S3"/>
    <mergeCell ref="M4:N4"/>
    <mergeCell ref="O4:S4"/>
    <mergeCell ref="C1:E1"/>
    <mergeCell ref="H1:I1"/>
    <mergeCell ref="F3:I3"/>
    <mergeCell ref="C4:D4"/>
    <mergeCell ref="E4:I4"/>
    <mergeCell ref="F16:I16"/>
    <mergeCell ref="C17:D17"/>
    <mergeCell ref="E17:I17"/>
    <mergeCell ref="M14:O14"/>
    <mergeCell ref="R14:S14"/>
    <mergeCell ref="P16:S16"/>
    <mergeCell ref="M17:N17"/>
    <mergeCell ref="O17:S17"/>
    <mergeCell ref="C14:E14"/>
    <mergeCell ref="H14:I14"/>
    <mergeCell ref="M28:O28"/>
    <mergeCell ref="R28:S28"/>
    <mergeCell ref="P30:S30"/>
    <mergeCell ref="M31:N31"/>
    <mergeCell ref="O31:S31"/>
    <mergeCell ref="C28:E28"/>
    <mergeCell ref="H28:I28"/>
    <mergeCell ref="F30:I30"/>
    <mergeCell ref="C31:D31"/>
    <mergeCell ref="E31:I31"/>
    <mergeCell ref="C42:E42"/>
    <mergeCell ref="H42:I42"/>
    <mergeCell ref="F44:I44"/>
    <mergeCell ref="C45:D45"/>
    <mergeCell ref="E45:I45"/>
    <mergeCell ref="M42:O42"/>
    <mergeCell ref="R42:S42"/>
    <mergeCell ref="P44:S44"/>
    <mergeCell ref="M45:N45"/>
    <mergeCell ref="O45:S45"/>
  </mergeCells>
  <pageMargins left="0.25" right="0.25" top="0.75" bottom="0.75" header="0.3" footer="0.3"/>
  <pageSetup paperSize="9" scale="90" orientation="landscape" horizontalDpi="4294967292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7412-E6B6-4D2A-A9A0-4C4AF6159B2D}">
  <dimension ref="B1:T14"/>
  <sheetViews>
    <sheetView workbookViewId="0">
      <selection activeCell="W26" sqref="W26"/>
    </sheetView>
  </sheetViews>
  <sheetFormatPr defaultRowHeight="14.4" x14ac:dyDescent="0.3"/>
  <cols>
    <col min="1" max="1" width="1.33203125" customWidth="1"/>
    <col min="2" max="2" width="11.21875" customWidth="1"/>
    <col min="11" max="11" width="6.33203125" customWidth="1"/>
    <col min="12" max="12" width="12" customWidth="1"/>
  </cols>
  <sheetData>
    <row r="1" spans="2:20" x14ac:dyDescent="0.3">
      <c r="B1" s="77" t="s">
        <v>0</v>
      </c>
      <c r="C1" s="77" t="s">
        <v>324</v>
      </c>
      <c r="D1" s="112"/>
      <c r="E1" s="112"/>
      <c r="F1" s="79"/>
      <c r="G1" s="80"/>
      <c r="I1" s="81" t="s">
        <v>1</v>
      </c>
      <c r="J1" s="82">
        <v>200000</v>
      </c>
      <c r="L1" s="77" t="s">
        <v>0</v>
      </c>
      <c r="M1" s="77" t="s">
        <v>324</v>
      </c>
      <c r="N1" s="112"/>
      <c r="O1" s="112"/>
      <c r="P1" s="79"/>
      <c r="Q1" s="80"/>
      <c r="S1" s="81" t="s">
        <v>1</v>
      </c>
      <c r="T1" s="82">
        <v>200000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328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328</v>
      </c>
    </row>
    <row r="3" spans="2:20" x14ac:dyDescent="0.3">
      <c r="B3" s="77" t="s">
        <v>4</v>
      </c>
      <c r="C3" s="78"/>
      <c r="D3" s="79"/>
      <c r="E3" s="78"/>
      <c r="F3" s="81"/>
      <c r="G3" s="81"/>
      <c r="H3" s="81"/>
      <c r="I3" s="81" t="s">
        <v>5</v>
      </c>
      <c r="J3" s="86">
        <v>1.4999999999999999E-2</v>
      </c>
      <c r="L3" s="77" t="s">
        <v>4</v>
      </c>
      <c r="M3" s="78"/>
      <c r="N3" s="79"/>
      <c r="O3" s="78"/>
      <c r="P3" s="81"/>
      <c r="Q3" s="81"/>
      <c r="R3" s="81"/>
      <c r="S3" s="81" t="s">
        <v>5</v>
      </c>
      <c r="T3" s="86">
        <v>1.4999999999999999E-2</v>
      </c>
    </row>
    <row r="4" spans="2:20" ht="15" thickBot="1" x14ac:dyDescent="0.35">
      <c r="B4" s="77" t="s">
        <v>6</v>
      </c>
      <c r="C4" s="87"/>
      <c r="D4" s="87"/>
      <c r="E4" s="88"/>
      <c r="F4" s="88"/>
      <c r="G4" s="88"/>
      <c r="H4" s="88"/>
      <c r="I4" s="88" t="s">
        <v>7</v>
      </c>
      <c r="J4" s="78">
        <v>8</v>
      </c>
      <c r="L4" s="77" t="s">
        <v>6</v>
      </c>
      <c r="M4" s="87"/>
      <c r="N4" s="87"/>
      <c r="O4" s="88"/>
      <c r="P4" s="88"/>
      <c r="Q4" s="88"/>
      <c r="R4" s="88"/>
      <c r="S4" s="88" t="s">
        <v>7</v>
      </c>
      <c r="T4" s="78">
        <v>8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v>100000</v>
      </c>
      <c r="D6" s="95">
        <f>J1/J4</f>
        <v>25000</v>
      </c>
      <c r="E6" s="95">
        <v>3000</v>
      </c>
      <c r="F6" s="95">
        <f t="shared" ref="F6:F13" si="0">SUM(D6:E6)</f>
        <v>28000</v>
      </c>
      <c r="G6" s="95"/>
      <c r="H6" s="95"/>
      <c r="I6" s="96"/>
      <c r="J6" s="97"/>
      <c r="L6" s="94" t="s">
        <v>17</v>
      </c>
      <c r="M6" s="95">
        <v>100000</v>
      </c>
      <c r="N6" s="95">
        <f>T1/T4</f>
        <v>25000</v>
      </c>
      <c r="O6" s="95">
        <v>3000</v>
      </c>
      <c r="P6" s="95">
        <f t="shared" ref="P6:P13" si="1">SUM(N6:O6)</f>
        <v>28000</v>
      </c>
      <c r="Q6" s="95"/>
      <c r="R6" s="95"/>
      <c r="S6" s="96"/>
      <c r="T6" s="97"/>
    </row>
    <row r="7" spans="2:20" x14ac:dyDescent="0.3">
      <c r="B7" s="98" t="s">
        <v>18</v>
      </c>
      <c r="C7" s="99">
        <v>175000</v>
      </c>
      <c r="D7" s="99">
        <v>25000</v>
      </c>
      <c r="E7" s="99">
        <f t="shared" ref="E7:E13" si="2">(C7*0.015)</f>
        <v>2625</v>
      </c>
      <c r="F7" s="99">
        <f t="shared" si="0"/>
        <v>27625</v>
      </c>
      <c r="G7" s="99"/>
      <c r="H7" s="99"/>
      <c r="I7" s="100"/>
      <c r="J7" s="101"/>
      <c r="L7" s="98" t="s">
        <v>18</v>
      </c>
      <c r="M7" s="99">
        <v>175000</v>
      </c>
      <c r="N7" s="99">
        <v>25000</v>
      </c>
      <c r="O7" s="99">
        <f t="shared" ref="O7:O9" si="3">(M7*0.015)</f>
        <v>2625</v>
      </c>
      <c r="P7" s="99">
        <f t="shared" si="1"/>
        <v>27625</v>
      </c>
      <c r="Q7" s="99"/>
      <c r="R7" s="99"/>
      <c r="S7" s="100"/>
      <c r="T7" s="101"/>
    </row>
    <row r="8" spans="2:20" ht="15" thickBot="1" x14ac:dyDescent="0.35">
      <c r="B8" s="98" t="s">
        <v>19</v>
      </c>
      <c r="C8" s="99">
        <v>150000</v>
      </c>
      <c r="D8" s="99">
        <v>25000</v>
      </c>
      <c r="E8" s="99">
        <f t="shared" si="2"/>
        <v>2250</v>
      </c>
      <c r="F8" s="99">
        <f t="shared" si="0"/>
        <v>27250</v>
      </c>
      <c r="G8" s="99"/>
      <c r="H8" s="99"/>
      <c r="I8" s="100"/>
      <c r="J8" s="101"/>
      <c r="L8" s="98" t="s">
        <v>19</v>
      </c>
      <c r="M8" s="99">
        <v>150000</v>
      </c>
      <c r="N8" s="99">
        <v>25000</v>
      </c>
      <c r="O8" s="99">
        <f t="shared" si="3"/>
        <v>2250</v>
      </c>
      <c r="P8" s="99">
        <f t="shared" si="1"/>
        <v>27250</v>
      </c>
      <c r="Q8" s="99"/>
      <c r="R8" s="99"/>
      <c r="S8" s="100"/>
      <c r="T8" s="101"/>
    </row>
    <row r="9" spans="2:20" x14ac:dyDescent="0.3">
      <c r="B9" s="98" t="s">
        <v>20</v>
      </c>
      <c r="C9" s="99">
        <v>125000</v>
      </c>
      <c r="D9" s="95">
        <v>25000</v>
      </c>
      <c r="E9" s="99">
        <f t="shared" si="2"/>
        <v>1875</v>
      </c>
      <c r="F9" s="99">
        <f t="shared" si="0"/>
        <v>26875</v>
      </c>
      <c r="G9" s="99"/>
      <c r="H9" s="99"/>
      <c r="I9" s="100"/>
      <c r="J9" s="101"/>
      <c r="L9" s="98" t="s">
        <v>20</v>
      </c>
      <c r="M9" s="99">
        <v>125000</v>
      </c>
      <c r="N9" s="95">
        <v>25000</v>
      </c>
      <c r="O9" s="99">
        <f t="shared" si="3"/>
        <v>1875</v>
      </c>
      <c r="P9" s="99">
        <f t="shared" si="1"/>
        <v>26875</v>
      </c>
      <c r="Q9" s="99"/>
      <c r="R9" s="99"/>
      <c r="S9" s="100"/>
      <c r="T9" s="101"/>
    </row>
    <row r="10" spans="2:20" x14ac:dyDescent="0.3">
      <c r="B10" s="98" t="s">
        <v>21</v>
      </c>
      <c r="C10" s="99">
        <v>10000</v>
      </c>
      <c r="D10" s="99">
        <v>25000</v>
      </c>
      <c r="E10" s="99">
        <v>1500</v>
      </c>
      <c r="F10" s="99">
        <f t="shared" si="0"/>
        <v>26500</v>
      </c>
      <c r="G10" s="99"/>
      <c r="H10" s="99"/>
      <c r="I10" s="100"/>
      <c r="J10" s="101"/>
      <c r="L10" s="98" t="s">
        <v>21</v>
      </c>
      <c r="M10" s="99">
        <v>10000</v>
      </c>
      <c r="N10" s="99">
        <v>25000</v>
      </c>
      <c r="O10" s="99">
        <v>1500</v>
      </c>
      <c r="P10" s="99">
        <f t="shared" si="1"/>
        <v>26500</v>
      </c>
      <c r="Q10" s="99"/>
      <c r="R10" s="99"/>
      <c r="S10" s="100"/>
      <c r="T10" s="101"/>
    </row>
    <row r="11" spans="2:20" ht="15" thickBot="1" x14ac:dyDescent="0.35">
      <c r="B11" s="98" t="s">
        <v>23</v>
      </c>
      <c r="C11" s="99">
        <v>75000</v>
      </c>
      <c r="D11" s="99">
        <v>25000</v>
      </c>
      <c r="E11" s="99">
        <f t="shared" si="2"/>
        <v>1125</v>
      </c>
      <c r="F11" s="99">
        <f t="shared" si="0"/>
        <v>26125</v>
      </c>
      <c r="G11" s="99"/>
      <c r="H11" s="99"/>
      <c r="I11" s="100"/>
      <c r="J11" s="101"/>
      <c r="L11" s="98" t="s">
        <v>23</v>
      </c>
      <c r="M11" s="99">
        <v>75000</v>
      </c>
      <c r="N11" s="99">
        <v>25000</v>
      </c>
      <c r="O11" s="99">
        <f t="shared" ref="O11:O13" si="4">(M11*0.015)</f>
        <v>1125</v>
      </c>
      <c r="P11" s="99">
        <f t="shared" si="1"/>
        <v>26125</v>
      </c>
      <c r="Q11" s="99"/>
      <c r="R11" s="99"/>
      <c r="S11" s="100"/>
      <c r="T11" s="101"/>
    </row>
    <row r="12" spans="2:20" x14ac:dyDescent="0.3">
      <c r="B12" s="98" t="s">
        <v>24</v>
      </c>
      <c r="C12" s="99">
        <v>50000</v>
      </c>
      <c r="D12" s="95">
        <v>25000</v>
      </c>
      <c r="E12" s="99">
        <f t="shared" si="2"/>
        <v>750</v>
      </c>
      <c r="F12" s="99">
        <f t="shared" si="0"/>
        <v>25750</v>
      </c>
      <c r="G12" s="99"/>
      <c r="H12" s="99"/>
      <c r="I12" s="100"/>
      <c r="J12" s="101"/>
      <c r="L12" s="98" t="s">
        <v>24</v>
      </c>
      <c r="M12" s="99">
        <v>50000</v>
      </c>
      <c r="N12" s="95">
        <v>25000</v>
      </c>
      <c r="O12" s="99">
        <f t="shared" si="4"/>
        <v>750</v>
      </c>
      <c r="P12" s="99">
        <f t="shared" si="1"/>
        <v>25750</v>
      </c>
      <c r="Q12" s="99"/>
      <c r="R12" s="99"/>
      <c r="S12" s="100"/>
      <c r="T12" s="101"/>
    </row>
    <row r="13" spans="2:20" x14ac:dyDescent="0.3">
      <c r="B13" s="98" t="s">
        <v>25</v>
      </c>
      <c r="C13" s="99">
        <v>25000</v>
      </c>
      <c r="D13" s="99">
        <v>25000</v>
      </c>
      <c r="E13" s="99">
        <f t="shared" si="2"/>
        <v>375</v>
      </c>
      <c r="F13" s="99">
        <f t="shared" si="0"/>
        <v>25375</v>
      </c>
      <c r="G13" s="99"/>
      <c r="H13" s="99"/>
      <c r="I13" s="100"/>
      <c r="J13" s="101" t="s">
        <v>42</v>
      </c>
      <c r="L13" s="98" t="s">
        <v>25</v>
      </c>
      <c r="M13" s="99">
        <v>25000</v>
      </c>
      <c r="N13" s="99">
        <v>25000</v>
      </c>
      <c r="O13" s="99">
        <f t="shared" si="4"/>
        <v>375</v>
      </c>
      <c r="P13" s="99">
        <f t="shared" si="1"/>
        <v>25375</v>
      </c>
      <c r="Q13" s="99"/>
      <c r="R13" s="99"/>
      <c r="S13" s="100"/>
      <c r="T13" s="101" t="s">
        <v>42</v>
      </c>
    </row>
    <row r="14" spans="2:20" x14ac:dyDescent="0.3">
      <c r="F14" s="3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29D4-7F49-4825-9827-522F93448FBA}">
  <dimension ref="B1:T86"/>
  <sheetViews>
    <sheetView workbookViewId="0"/>
  </sheetViews>
  <sheetFormatPr defaultRowHeight="14.4" x14ac:dyDescent="0.3"/>
  <cols>
    <col min="1" max="1" width="2.5546875" customWidth="1"/>
    <col min="2" max="2" width="10.5546875" customWidth="1"/>
    <col min="12" max="12" width="11" customWidth="1"/>
  </cols>
  <sheetData>
    <row r="1" spans="2:20" x14ac:dyDescent="0.3">
      <c r="B1" s="77" t="s">
        <v>0</v>
      </c>
      <c r="C1" s="77" t="s">
        <v>137</v>
      </c>
      <c r="D1" s="112"/>
      <c r="E1" s="112"/>
      <c r="F1" s="79"/>
      <c r="G1" s="80"/>
      <c r="I1" s="81" t="s">
        <v>1</v>
      </c>
      <c r="J1" s="82">
        <v>40125</v>
      </c>
      <c r="L1" s="77" t="s">
        <v>0</v>
      </c>
      <c r="M1" s="77" t="s">
        <v>137</v>
      </c>
      <c r="N1" s="112"/>
      <c r="O1" s="112"/>
      <c r="P1" s="79"/>
      <c r="Q1" s="80"/>
      <c r="S1" s="81" t="s">
        <v>1</v>
      </c>
      <c r="T1" s="82">
        <v>40125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229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229</v>
      </c>
    </row>
    <row r="3" spans="2:20" x14ac:dyDescent="0.3">
      <c r="B3" s="77" t="s">
        <v>4</v>
      </c>
      <c r="C3" s="78"/>
      <c r="D3" s="79"/>
      <c r="E3" s="78"/>
      <c r="F3" s="81"/>
      <c r="G3" s="81"/>
      <c r="H3" s="81"/>
      <c r="I3" s="81" t="s">
        <v>5</v>
      </c>
      <c r="J3" s="86">
        <v>1.4999999999999999E-2</v>
      </c>
      <c r="L3" s="77" t="s">
        <v>4</v>
      </c>
      <c r="M3" s="78"/>
      <c r="N3" s="79"/>
      <c r="O3" s="78"/>
      <c r="P3" s="81"/>
      <c r="Q3" s="81"/>
      <c r="R3" s="81"/>
      <c r="S3" s="81" t="s">
        <v>5</v>
      </c>
      <c r="T3" s="86">
        <v>1.4999999999999999E-2</v>
      </c>
    </row>
    <row r="4" spans="2:20" ht="15" thickBot="1" x14ac:dyDescent="0.35">
      <c r="B4" s="77" t="s">
        <v>6</v>
      </c>
      <c r="C4" s="87"/>
      <c r="D4" s="87"/>
      <c r="E4" s="88"/>
      <c r="F4" s="88"/>
      <c r="G4" s="88"/>
      <c r="H4" s="88"/>
      <c r="I4" s="88" t="s">
        <v>7</v>
      </c>
      <c r="J4" s="78">
        <v>15</v>
      </c>
      <c r="L4" s="77" t="s">
        <v>6</v>
      </c>
      <c r="M4" s="87"/>
      <c r="N4" s="87"/>
      <c r="O4" s="88"/>
      <c r="P4" s="88"/>
      <c r="Q4" s="88"/>
      <c r="R4" s="88"/>
      <c r="S4" s="88" t="s">
        <v>7</v>
      </c>
      <c r="T4" s="78">
        <v>15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f>J1</f>
        <v>40125</v>
      </c>
      <c r="D6" s="95">
        <f>J1/J4</f>
        <v>2675</v>
      </c>
      <c r="E6" s="95">
        <f>(C6*0.015)</f>
        <v>601.875</v>
      </c>
      <c r="F6" s="95">
        <f t="shared" ref="F6:F20" si="0">SUM(D6:E6)</f>
        <v>3276.875</v>
      </c>
      <c r="G6" s="95"/>
      <c r="H6" s="126"/>
      <c r="I6" s="96"/>
      <c r="J6" s="97"/>
      <c r="L6" s="94" t="s">
        <v>17</v>
      </c>
      <c r="M6" s="95">
        <f>T1</f>
        <v>40125</v>
      </c>
      <c r="N6" s="95">
        <f>T1/T4</f>
        <v>2675</v>
      </c>
      <c r="O6" s="95">
        <f>(M6*0.015)</f>
        <v>601.875</v>
      </c>
      <c r="P6" s="95">
        <f t="shared" ref="P6:P20" si="1">SUM(N6:O6)</f>
        <v>3276.875</v>
      </c>
      <c r="Q6" s="95"/>
      <c r="R6" s="126"/>
      <c r="S6" s="96"/>
      <c r="T6" s="97"/>
    </row>
    <row r="7" spans="2:20" x14ac:dyDescent="0.3">
      <c r="B7" s="98" t="s">
        <v>18</v>
      </c>
      <c r="C7" s="99">
        <v>37450</v>
      </c>
      <c r="D7" s="99">
        <v>2675</v>
      </c>
      <c r="E7" s="99">
        <f t="shared" ref="E7:E20" si="2">(C7*0.015)</f>
        <v>561.75</v>
      </c>
      <c r="F7" s="99">
        <f t="shared" si="0"/>
        <v>3236.75</v>
      </c>
      <c r="G7" s="99"/>
      <c r="H7" s="127"/>
      <c r="I7" s="100"/>
      <c r="J7" s="101"/>
      <c r="L7" s="98" t="s">
        <v>18</v>
      </c>
      <c r="M7" s="99">
        <v>37450</v>
      </c>
      <c r="N7" s="99">
        <v>2675</v>
      </c>
      <c r="O7" s="99">
        <f t="shared" ref="O7:O20" si="3">(M7*0.015)</f>
        <v>561.75</v>
      </c>
      <c r="P7" s="99">
        <f t="shared" si="1"/>
        <v>3236.75</v>
      </c>
      <c r="Q7" s="99"/>
      <c r="R7" s="127"/>
      <c r="S7" s="100"/>
      <c r="T7" s="101"/>
    </row>
    <row r="8" spans="2:20" x14ac:dyDescent="0.3">
      <c r="B8" s="98" t="s">
        <v>19</v>
      </c>
      <c r="C8" s="99">
        <v>34775</v>
      </c>
      <c r="D8" s="99">
        <v>2675</v>
      </c>
      <c r="E8" s="99">
        <f t="shared" si="2"/>
        <v>521.625</v>
      </c>
      <c r="F8" s="99">
        <f t="shared" si="0"/>
        <v>3196.625</v>
      </c>
      <c r="G8" s="99"/>
      <c r="H8" s="127"/>
      <c r="I8" s="100"/>
      <c r="J8" s="101"/>
      <c r="L8" s="98" t="s">
        <v>19</v>
      </c>
      <c r="M8" s="99">
        <v>34775</v>
      </c>
      <c r="N8" s="99">
        <v>2675</v>
      </c>
      <c r="O8" s="99">
        <f t="shared" si="3"/>
        <v>521.625</v>
      </c>
      <c r="P8" s="99">
        <f t="shared" si="1"/>
        <v>3196.625</v>
      </c>
      <c r="Q8" s="99"/>
      <c r="R8" s="127"/>
      <c r="S8" s="100"/>
      <c r="T8" s="101"/>
    </row>
    <row r="9" spans="2:20" ht="15" thickBot="1" x14ac:dyDescent="0.35">
      <c r="B9" s="98" t="s">
        <v>20</v>
      </c>
      <c r="C9" s="99">
        <v>32100</v>
      </c>
      <c r="D9" s="99">
        <v>2675</v>
      </c>
      <c r="E9" s="99">
        <f t="shared" si="2"/>
        <v>481.5</v>
      </c>
      <c r="F9" s="99">
        <f t="shared" si="0"/>
        <v>3156.5</v>
      </c>
      <c r="G9" s="99"/>
      <c r="H9" s="127"/>
      <c r="I9" s="100"/>
      <c r="J9" s="101"/>
      <c r="L9" s="98" t="s">
        <v>20</v>
      </c>
      <c r="M9" s="99">
        <v>32100</v>
      </c>
      <c r="N9" s="99">
        <v>2675</v>
      </c>
      <c r="O9" s="99">
        <f t="shared" si="3"/>
        <v>481.5</v>
      </c>
      <c r="P9" s="99">
        <f t="shared" si="1"/>
        <v>3156.5</v>
      </c>
      <c r="Q9" s="99"/>
      <c r="R9" s="127"/>
      <c r="S9" s="100"/>
      <c r="T9" s="101"/>
    </row>
    <row r="10" spans="2:20" x14ac:dyDescent="0.3">
      <c r="B10" s="98" t="s">
        <v>21</v>
      </c>
      <c r="C10" s="99">
        <v>29425</v>
      </c>
      <c r="D10" s="95">
        <v>2675</v>
      </c>
      <c r="E10" s="99">
        <f t="shared" si="2"/>
        <v>441.375</v>
      </c>
      <c r="F10" s="99">
        <f t="shared" si="0"/>
        <v>3116.375</v>
      </c>
      <c r="G10" s="99"/>
      <c r="H10" s="99"/>
      <c r="I10" s="100"/>
      <c r="J10" s="101"/>
      <c r="L10" s="98" t="s">
        <v>21</v>
      </c>
      <c r="M10" s="99">
        <v>29425</v>
      </c>
      <c r="N10" s="95">
        <v>2675</v>
      </c>
      <c r="O10" s="99">
        <f t="shared" si="3"/>
        <v>441.375</v>
      </c>
      <c r="P10" s="99">
        <f t="shared" si="1"/>
        <v>3116.375</v>
      </c>
      <c r="Q10" s="99"/>
      <c r="R10" s="99"/>
      <c r="S10" s="100"/>
      <c r="T10" s="101"/>
    </row>
    <row r="11" spans="2:20" x14ac:dyDescent="0.3">
      <c r="B11" s="98" t="s">
        <v>23</v>
      </c>
      <c r="C11" s="99">
        <v>26750</v>
      </c>
      <c r="D11" s="99">
        <v>2675</v>
      </c>
      <c r="E11" s="99">
        <f t="shared" si="2"/>
        <v>401.25</v>
      </c>
      <c r="F11" s="99">
        <f t="shared" si="0"/>
        <v>3076.25</v>
      </c>
      <c r="G11" s="99"/>
      <c r="H11" s="99"/>
      <c r="I11" s="100"/>
      <c r="J11" s="101"/>
      <c r="L11" s="98" t="s">
        <v>23</v>
      </c>
      <c r="M11" s="99">
        <v>26750</v>
      </c>
      <c r="N11" s="99">
        <v>2675</v>
      </c>
      <c r="O11" s="99">
        <f t="shared" si="3"/>
        <v>401.25</v>
      </c>
      <c r="P11" s="99">
        <f t="shared" si="1"/>
        <v>3076.25</v>
      </c>
      <c r="Q11" s="99"/>
      <c r="R11" s="99"/>
      <c r="S11" s="100"/>
      <c r="T11" s="101"/>
    </row>
    <row r="12" spans="2:20" x14ac:dyDescent="0.3">
      <c r="B12" s="98" t="s">
        <v>24</v>
      </c>
      <c r="C12" s="99">
        <v>24075</v>
      </c>
      <c r="D12" s="99">
        <v>2675</v>
      </c>
      <c r="E12" s="99">
        <f t="shared" si="2"/>
        <v>361.125</v>
      </c>
      <c r="F12" s="99">
        <f t="shared" si="0"/>
        <v>3036.125</v>
      </c>
      <c r="G12" s="99"/>
      <c r="H12" s="99"/>
      <c r="I12" s="100"/>
      <c r="J12" s="101"/>
      <c r="L12" s="98" t="s">
        <v>24</v>
      </c>
      <c r="M12" s="99">
        <v>24075</v>
      </c>
      <c r="N12" s="99">
        <v>2675</v>
      </c>
      <c r="O12" s="99">
        <f t="shared" si="3"/>
        <v>361.125</v>
      </c>
      <c r="P12" s="99">
        <f t="shared" si="1"/>
        <v>3036.125</v>
      </c>
      <c r="Q12" s="99"/>
      <c r="R12" s="99"/>
      <c r="S12" s="100"/>
      <c r="T12" s="101"/>
    </row>
    <row r="13" spans="2:20" ht="15" thickBot="1" x14ac:dyDescent="0.35">
      <c r="B13" s="98" t="s">
        <v>25</v>
      </c>
      <c r="C13" s="99">
        <v>21400</v>
      </c>
      <c r="D13" s="99">
        <v>2675</v>
      </c>
      <c r="E13" s="99">
        <f t="shared" si="2"/>
        <v>321</v>
      </c>
      <c r="F13" s="99">
        <f t="shared" si="0"/>
        <v>2996</v>
      </c>
      <c r="G13" s="99"/>
      <c r="H13" s="99"/>
      <c r="I13" s="100"/>
      <c r="J13" s="101"/>
      <c r="L13" s="98" t="s">
        <v>25</v>
      </c>
      <c r="M13" s="99">
        <v>21400</v>
      </c>
      <c r="N13" s="99">
        <v>2675</v>
      </c>
      <c r="O13" s="99">
        <f t="shared" si="3"/>
        <v>321</v>
      </c>
      <c r="P13" s="99">
        <f t="shared" si="1"/>
        <v>2996</v>
      </c>
      <c r="Q13" s="99"/>
      <c r="R13" s="99"/>
      <c r="S13" s="100"/>
      <c r="T13" s="101"/>
    </row>
    <row r="14" spans="2:20" x14ac:dyDescent="0.3">
      <c r="B14" s="98" t="s">
        <v>26</v>
      </c>
      <c r="C14" s="99">
        <v>18725</v>
      </c>
      <c r="D14" s="95">
        <v>2675</v>
      </c>
      <c r="E14" s="99">
        <f t="shared" si="2"/>
        <v>280.875</v>
      </c>
      <c r="F14" s="99">
        <f t="shared" si="0"/>
        <v>2955.875</v>
      </c>
      <c r="G14" s="99"/>
      <c r="H14" s="99"/>
      <c r="I14" s="100"/>
      <c r="J14" s="101"/>
      <c r="L14" s="106" t="s">
        <v>26</v>
      </c>
      <c r="M14" s="99">
        <v>18725</v>
      </c>
      <c r="N14" s="95">
        <v>2675</v>
      </c>
      <c r="O14" s="99">
        <f t="shared" si="3"/>
        <v>280.875</v>
      </c>
      <c r="P14" s="99">
        <f t="shared" si="1"/>
        <v>2955.875</v>
      </c>
      <c r="Q14" s="99"/>
      <c r="R14" s="99"/>
      <c r="S14" s="100"/>
      <c r="T14" s="101"/>
    </row>
    <row r="15" spans="2:20" x14ac:dyDescent="0.3">
      <c r="B15" s="98" t="s">
        <v>27</v>
      </c>
      <c r="C15" s="99">
        <v>16050</v>
      </c>
      <c r="D15" s="99">
        <v>2675</v>
      </c>
      <c r="E15" s="99">
        <f t="shared" si="2"/>
        <v>240.75</v>
      </c>
      <c r="F15" s="99">
        <f t="shared" si="0"/>
        <v>2915.75</v>
      </c>
      <c r="G15" s="99"/>
      <c r="H15" s="99"/>
      <c r="I15" s="100"/>
      <c r="J15" s="101"/>
      <c r="L15" s="106" t="s">
        <v>27</v>
      </c>
      <c r="M15" s="99">
        <v>16050</v>
      </c>
      <c r="N15" s="99">
        <v>2675</v>
      </c>
      <c r="O15" s="99">
        <f t="shared" si="3"/>
        <v>240.75</v>
      </c>
      <c r="P15" s="99">
        <f t="shared" si="1"/>
        <v>2915.75</v>
      </c>
      <c r="Q15" s="99"/>
      <c r="R15" s="99"/>
      <c r="S15" s="100"/>
      <c r="T15" s="101"/>
    </row>
    <row r="16" spans="2:20" x14ac:dyDescent="0.3">
      <c r="B16" s="98" t="s">
        <v>28</v>
      </c>
      <c r="C16" s="99">
        <v>13375</v>
      </c>
      <c r="D16" s="99">
        <v>2675</v>
      </c>
      <c r="E16" s="99">
        <f t="shared" si="2"/>
        <v>200.625</v>
      </c>
      <c r="F16" s="99">
        <f t="shared" si="0"/>
        <v>2875.625</v>
      </c>
      <c r="G16" s="99"/>
      <c r="H16" s="99"/>
      <c r="I16" s="100"/>
      <c r="J16" s="101"/>
      <c r="L16" s="106" t="s">
        <v>28</v>
      </c>
      <c r="M16" s="99">
        <v>13375</v>
      </c>
      <c r="N16" s="99">
        <v>2675</v>
      </c>
      <c r="O16" s="99">
        <f t="shared" si="3"/>
        <v>200.625</v>
      </c>
      <c r="P16" s="99">
        <f t="shared" si="1"/>
        <v>2875.625</v>
      </c>
      <c r="Q16" s="99"/>
      <c r="R16" s="99"/>
      <c r="S16" s="100"/>
      <c r="T16" s="101"/>
    </row>
    <row r="17" spans="2:20" ht="15" thickBot="1" x14ac:dyDescent="0.35">
      <c r="B17" s="98" t="s">
        <v>29</v>
      </c>
      <c r="C17" s="99">
        <v>10700</v>
      </c>
      <c r="D17" s="99">
        <v>2675</v>
      </c>
      <c r="E17" s="99">
        <f t="shared" si="2"/>
        <v>160.5</v>
      </c>
      <c r="F17" s="99">
        <f t="shared" si="0"/>
        <v>2835.5</v>
      </c>
      <c r="G17" s="99"/>
      <c r="H17" s="99"/>
      <c r="I17" s="100"/>
      <c r="J17" s="101"/>
      <c r="L17" s="106" t="s">
        <v>29</v>
      </c>
      <c r="M17" s="99">
        <v>10700</v>
      </c>
      <c r="N17" s="99">
        <v>2675</v>
      </c>
      <c r="O17" s="99">
        <f t="shared" si="3"/>
        <v>160.5</v>
      </c>
      <c r="P17" s="99">
        <f t="shared" si="1"/>
        <v>2835.5</v>
      </c>
      <c r="Q17" s="99"/>
      <c r="R17" s="99"/>
      <c r="S17" s="100"/>
      <c r="T17" s="101"/>
    </row>
    <row r="18" spans="2:20" x14ac:dyDescent="0.3">
      <c r="B18" s="98" t="s">
        <v>30</v>
      </c>
      <c r="C18" s="99">
        <v>8025</v>
      </c>
      <c r="D18" s="95">
        <v>2675</v>
      </c>
      <c r="E18" s="99">
        <f t="shared" si="2"/>
        <v>120.375</v>
      </c>
      <c r="F18" s="99">
        <f t="shared" si="0"/>
        <v>2795.375</v>
      </c>
      <c r="G18" s="99"/>
      <c r="H18" s="99"/>
      <c r="I18" s="100"/>
      <c r="J18" s="101"/>
      <c r="L18" s="106" t="s">
        <v>30</v>
      </c>
      <c r="M18" s="99">
        <v>8025</v>
      </c>
      <c r="N18" s="95">
        <v>2675</v>
      </c>
      <c r="O18" s="99">
        <f t="shared" si="3"/>
        <v>120.375</v>
      </c>
      <c r="P18" s="99">
        <f t="shared" si="1"/>
        <v>2795.375</v>
      </c>
      <c r="Q18" s="99"/>
      <c r="R18" s="99"/>
      <c r="S18" s="100"/>
      <c r="T18" s="101"/>
    </row>
    <row r="19" spans="2:20" x14ac:dyDescent="0.3">
      <c r="B19" s="98" t="s">
        <v>31</v>
      </c>
      <c r="C19" s="99">
        <v>5350</v>
      </c>
      <c r="D19" s="99">
        <v>2675</v>
      </c>
      <c r="E19" s="99">
        <f t="shared" si="2"/>
        <v>80.25</v>
      </c>
      <c r="F19" s="99">
        <f t="shared" si="0"/>
        <v>2755.25</v>
      </c>
      <c r="G19" s="99"/>
      <c r="H19" s="99"/>
      <c r="I19" s="100"/>
      <c r="J19" s="101"/>
      <c r="L19" s="106" t="s">
        <v>31</v>
      </c>
      <c r="M19" s="99">
        <v>5350</v>
      </c>
      <c r="N19" s="99">
        <v>2675</v>
      </c>
      <c r="O19" s="99">
        <f t="shared" si="3"/>
        <v>80.25</v>
      </c>
      <c r="P19" s="99">
        <f t="shared" si="1"/>
        <v>2755.25</v>
      </c>
      <c r="Q19" s="99"/>
      <c r="R19" s="99"/>
      <c r="S19" s="100"/>
      <c r="T19" s="101"/>
    </row>
    <row r="20" spans="2:20" x14ac:dyDescent="0.3">
      <c r="B20" s="98" t="s">
        <v>32</v>
      </c>
      <c r="C20" s="99">
        <v>2675</v>
      </c>
      <c r="D20" s="99">
        <v>2675</v>
      </c>
      <c r="E20" s="99">
        <f t="shared" si="2"/>
        <v>40.125</v>
      </c>
      <c r="F20" s="99">
        <f t="shared" si="0"/>
        <v>2715.125</v>
      </c>
      <c r="G20" s="99"/>
      <c r="H20" s="99"/>
      <c r="I20" s="100"/>
      <c r="J20" s="101" t="s">
        <v>42</v>
      </c>
      <c r="L20" s="106" t="s">
        <v>32</v>
      </c>
      <c r="M20" s="99">
        <v>2675</v>
      </c>
      <c r="N20" s="99">
        <v>2675</v>
      </c>
      <c r="O20" s="99">
        <f t="shared" si="3"/>
        <v>40.125</v>
      </c>
      <c r="P20" s="99">
        <f t="shared" si="1"/>
        <v>2715.125</v>
      </c>
      <c r="Q20" s="99"/>
      <c r="R20" s="99"/>
      <c r="S20" s="100"/>
      <c r="T20" s="101" t="s">
        <v>42</v>
      </c>
    </row>
    <row r="23" spans="2:20" x14ac:dyDescent="0.3">
      <c r="B23" s="77" t="s">
        <v>0</v>
      </c>
      <c r="C23" s="77" t="s">
        <v>231</v>
      </c>
      <c r="D23" s="112"/>
      <c r="E23" s="112"/>
      <c r="F23" s="79"/>
      <c r="G23" s="80"/>
      <c r="I23" s="81" t="s">
        <v>1</v>
      </c>
      <c r="J23" s="82">
        <v>20000</v>
      </c>
      <c r="L23" s="77" t="s">
        <v>0</v>
      </c>
      <c r="M23" s="77" t="s">
        <v>231</v>
      </c>
      <c r="N23" s="112"/>
      <c r="O23" s="112"/>
      <c r="P23" s="79"/>
      <c r="Q23" s="80"/>
      <c r="S23" s="81" t="s">
        <v>1</v>
      </c>
      <c r="T23" s="82">
        <v>20000</v>
      </c>
    </row>
    <row r="24" spans="2:20" x14ac:dyDescent="0.3">
      <c r="B24" s="77" t="s">
        <v>2</v>
      </c>
      <c r="C24" s="83"/>
      <c r="D24" s="79"/>
      <c r="E24" s="83"/>
      <c r="F24" s="81"/>
      <c r="G24" s="81"/>
      <c r="H24" s="84"/>
      <c r="I24" s="81" t="s">
        <v>3</v>
      </c>
      <c r="J24" s="85" t="s">
        <v>183</v>
      </c>
      <c r="L24" s="77" t="s">
        <v>2</v>
      </c>
      <c r="M24" s="83"/>
      <c r="N24" s="79"/>
      <c r="O24" s="83"/>
      <c r="P24" s="81"/>
      <c r="Q24" s="81"/>
      <c r="R24" s="84"/>
      <c r="S24" s="81" t="s">
        <v>3</v>
      </c>
      <c r="T24" s="85" t="s">
        <v>183</v>
      </c>
    </row>
    <row r="25" spans="2:20" x14ac:dyDescent="0.3">
      <c r="B25" s="77" t="s">
        <v>4</v>
      </c>
      <c r="C25" s="78"/>
      <c r="D25" s="79"/>
      <c r="E25" s="78"/>
      <c r="F25" s="81"/>
      <c r="G25" s="81"/>
      <c r="H25" s="81"/>
      <c r="I25" s="81" t="s">
        <v>5</v>
      </c>
      <c r="J25" s="86">
        <v>1.4999999999999999E-2</v>
      </c>
      <c r="L25" s="77" t="s">
        <v>4</v>
      </c>
      <c r="M25" s="78"/>
      <c r="N25" s="79"/>
      <c r="O25" s="78"/>
      <c r="P25" s="81"/>
      <c r="Q25" s="81"/>
      <c r="R25" s="81"/>
      <c r="S25" s="81" t="s">
        <v>5</v>
      </c>
      <c r="T25" s="86">
        <v>1.4999999999999999E-2</v>
      </c>
    </row>
    <row r="26" spans="2:20" ht="15" thickBot="1" x14ac:dyDescent="0.35">
      <c r="B26" s="77" t="s">
        <v>6</v>
      </c>
      <c r="C26" s="87"/>
      <c r="D26" s="87"/>
      <c r="E26" s="88"/>
      <c r="F26" s="88"/>
      <c r="G26" s="88"/>
      <c r="H26" s="88"/>
      <c r="I26" s="88" t="s">
        <v>7</v>
      </c>
      <c r="J26" s="78">
        <v>15</v>
      </c>
      <c r="L26" s="77" t="s">
        <v>6</v>
      </c>
      <c r="M26" s="87"/>
      <c r="N26" s="87"/>
      <c r="O26" s="88"/>
      <c r="P26" s="88"/>
      <c r="Q26" s="88"/>
      <c r="R26" s="88"/>
      <c r="S26" s="88" t="s">
        <v>7</v>
      </c>
      <c r="T26" s="78">
        <v>15</v>
      </c>
    </row>
    <row r="27" spans="2:20" ht="41.4" thickBot="1" x14ac:dyDescent="0.35">
      <c r="B27" s="89" t="s">
        <v>8</v>
      </c>
      <c r="C27" s="89" t="s">
        <v>9</v>
      </c>
      <c r="D27" s="89" t="s">
        <v>10</v>
      </c>
      <c r="E27" s="90" t="s">
        <v>11</v>
      </c>
      <c r="F27" s="91" t="s">
        <v>12</v>
      </c>
      <c r="G27" s="92" t="s">
        <v>13</v>
      </c>
      <c r="H27" s="92" t="s">
        <v>14</v>
      </c>
      <c r="I27" s="92" t="s">
        <v>15</v>
      </c>
      <c r="J27" s="93" t="s">
        <v>16</v>
      </c>
      <c r="L27" s="89" t="s">
        <v>8</v>
      </c>
      <c r="M27" s="89" t="s">
        <v>9</v>
      </c>
      <c r="N27" s="89" t="s">
        <v>10</v>
      </c>
      <c r="O27" s="90" t="s">
        <v>11</v>
      </c>
      <c r="P27" s="91" t="s">
        <v>12</v>
      </c>
      <c r="Q27" s="92" t="s">
        <v>13</v>
      </c>
      <c r="R27" s="92" t="s">
        <v>14</v>
      </c>
      <c r="S27" s="92" t="s">
        <v>15</v>
      </c>
      <c r="T27" s="93" t="s">
        <v>16</v>
      </c>
    </row>
    <row r="28" spans="2:20" x14ac:dyDescent="0.3">
      <c r="B28" s="94" t="s">
        <v>17</v>
      </c>
      <c r="C28" s="95">
        <f>J23</f>
        <v>20000</v>
      </c>
      <c r="D28" s="95">
        <f>J23/J26</f>
        <v>1333.3333333333333</v>
      </c>
      <c r="E28" s="95">
        <f>(C28*0.015)</f>
        <v>300</v>
      </c>
      <c r="F28" s="95">
        <f t="shared" ref="F28:F42" si="4">SUM(D28:E28)</f>
        <v>1633.3333333333333</v>
      </c>
      <c r="G28" s="95"/>
      <c r="H28" s="126"/>
      <c r="I28" s="96"/>
      <c r="J28" s="97"/>
      <c r="L28" s="94" t="s">
        <v>17</v>
      </c>
      <c r="M28" s="95">
        <f>T23</f>
        <v>20000</v>
      </c>
      <c r="N28" s="95">
        <f>T23/T26</f>
        <v>1333.3333333333333</v>
      </c>
      <c r="O28" s="95">
        <f>(M28*0.015)</f>
        <v>300</v>
      </c>
      <c r="P28" s="95">
        <f t="shared" ref="P28:P42" si="5">SUM(N28:O28)</f>
        <v>1633.3333333333333</v>
      </c>
      <c r="Q28" s="95"/>
      <c r="R28" s="126"/>
      <c r="S28" s="96"/>
      <c r="T28" s="97"/>
    </row>
    <row r="29" spans="2:20" x14ac:dyDescent="0.3">
      <c r="B29" s="98" t="s">
        <v>18</v>
      </c>
      <c r="C29" s="99">
        <v>18662</v>
      </c>
      <c r="D29" s="99">
        <v>1333</v>
      </c>
      <c r="E29" s="99">
        <f t="shared" ref="E29:E42" si="6">(C29*0.015)</f>
        <v>279.93</v>
      </c>
      <c r="F29" s="99">
        <f t="shared" si="4"/>
        <v>1612.93</v>
      </c>
      <c r="G29" s="99"/>
      <c r="H29" s="127"/>
      <c r="I29" s="100"/>
      <c r="J29" s="101"/>
      <c r="L29" s="98" t="s">
        <v>18</v>
      </c>
      <c r="M29" s="99">
        <v>18662</v>
      </c>
      <c r="N29" s="99">
        <v>1333</v>
      </c>
      <c r="O29" s="99">
        <f t="shared" ref="O29:O42" si="7">(M29*0.015)</f>
        <v>279.93</v>
      </c>
      <c r="P29" s="99">
        <f t="shared" si="5"/>
        <v>1612.93</v>
      </c>
      <c r="Q29" s="99"/>
      <c r="R29" s="127"/>
      <c r="S29" s="100"/>
      <c r="T29" s="101"/>
    </row>
    <row r="30" spans="2:20" x14ac:dyDescent="0.3">
      <c r="B30" s="98" t="s">
        <v>19</v>
      </c>
      <c r="C30" s="99">
        <v>17329</v>
      </c>
      <c r="D30" s="99">
        <v>1333</v>
      </c>
      <c r="E30" s="99">
        <f t="shared" si="6"/>
        <v>259.935</v>
      </c>
      <c r="F30" s="99">
        <f t="shared" si="4"/>
        <v>1592.9349999999999</v>
      </c>
      <c r="G30" s="99"/>
      <c r="H30" s="127"/>
      <c r="I30" s="100"/>
      <c r="J30" s="101"/>
      <c r="L30" s="98" t="s">
        <v>19</v>
      </c>
      <c r="M30" s="99">
        <v>17329</v>
      </c>
      <c r="N30" s="99">
        <v>1333</v>
      </c>
      <c r="O30" s="99">
        <f t="shared" si="7"/>
        <v>259.935</v>
      </c>
      <c r="P30" s="99">
        <f t="shared" si="5"/>
        <v>1592.9349999999999</v>
      </c>
      <c r="Q30" s="99"/>
      <c r="R30" s="127"/>
      <c r="S30" s="100"/>
      <c r="T30" s="101"/>
    </row>
    <row r="31" spans="2:20" ht="15" thickBot="1" x14ac:dyDescent="0.35">
      <c r="B31" s="98" t="s">
        <v>20</v>
      </c>
      <c r="C31" s="99">
        <v>15996</v>
      </c>
      <c r="D31" s="99">
        <v>1333</v>
      </c>
      <c r="E31" s="99">
        <f t="shared" si="6"/>
        <v>239.94</v>
      </c>
      <c r="F31" s="99">
        <f t="shared" si="4"/>
        <v>1572.94</v>
      </c>
      <c r="G31" s="99"/>
      <c r="H31" s="127"/>
      <c r="I31" s="100"/>
      <c r="J31" s="101"/>
      <c r="L31" s="98" t="s">
        <v>20</v>
      </c>
      <c r="M31" s="99">
        <v>15996</v>
      </c>
      <c r="N31" s="99">
        <v>1333</v>
      </c>
      <c r="O31" s="99">
        <f t="shared" si="7"/>
        <v>239.94</v>
      </c>
      <c r="P31" s="99">
        <f t="shared" si="5"/>
        <v>1572.94</v>
      </c>
      <c r="Q31" s="99"/>
      <c r="R31" s="127"/>
      <c r="S31" s="100"/>
      <c r="T31" s="101"/>
    </row>
    <row r="32" spans="2:20" x14ac:dyDescent="0.3">
      <c r="B32" s="98" t="s">
        <v>21</v>
      </c>
      <c r="C32" s="99">
        <v>14663</v>
      </c>
      <c r="D32" s="95">
        <v>1333</v>
      </c>
      <c r="E32" s="99">
        <f t="shared" si="6"/>
        <v>219.94499999999999</v>
      </c>
      <c r="F32" s="99">
        <f t="shared" si="4"/>
        <v>1552.9449999999999</v>
      </c>
      <c r="G32" s="99"/>
      <c r="H32" s="99"/>
      <c r="I32" s="100"/>
      <c r="J32" s="101"/>
      <c r="L32" s="98" t="s">
        <v>21</v>
      </c>
      <c r="M32" s="99">
        <v>14663</v>
      </c>
      <c r="N32" s="95">
        <v>1333</v>
      </c>
      <c r="O32" s="99">
        <f t="shared" si="7"/>
        <v>219.94499999999999</v>
      </c>
      <c r="P32" s="99">
        <f t="shared" si="5"/>
        <v>1552.9449999999999</v>
      </c>
      <c r="Q32" s="99"/>
      <c r="R32" s="99"/>
      <c r="S32" s="100"/>
      <c r="T32" s="101"/>
    </row>
    <row r="33" spans="2:20" x14ac:dyDescent="0.3">
      <c r="B33" s="98" t="s">
        <v>23</v>
      </c>
      <c r="C33" s="99">
        <v>13330</v>
      </c>
      <c r="D33" s="99">
        <v>1333</v>
      </c>
      <c r="E33" s="99">
        <f t="shared" si="6"/>
        <v>199.95</v>
      </c>
      <c r="F33" s="99">
        <f t="shared" si="4"/>
        <v>1532.95</v>
      </c>
      <c r="G33" s="99"/>
      <c r="H33" s="99"/>
      <c r="I33" s="100"/>
      <c r="J33" s="101"/>
      <c r="L33" s="98" t="s">
        <v>23</v>
      </c>
      <c r="M33" s="99">
        <v>13330</v>
      </c>
      <c r="N33" s="99">
        <v>1333</v>
      </c>
      <c r="O33" s="99">
        <f t="shared" si="7"/>
        <v>199.95</v>
      </c>
      <c r="P33" s="99">
        <f t="shared" si="5"/>
        <v>1532.95</v>
      </c>
      <c r="Q33" s="99"/>
      <c r="R33" s="99"/>
      <c r="S33" s="100"/>
      <c r="T33" s="101"/>
    </row>
    <row r="34" spans="2:20" x14ac:dyDescent="0.3">
      <c r="B34" s="98" t="s">
        <v>24</v>
      </c>
      <c r="C34" s="99">
        <v>11997</v>
      </c>
      <c r="D34" s="99">
        <v>1333</v>
      </c>
      <c r="E34" s="99">
        <f t="shared" si="6"/>
        <v>179.95499999999998</v>
      </c>
      <c r="F34" s="99">
        <f t="shared" si="4"/>
        <v>1512.9549999999999</v>
      </c>
      <c r="G34" s="99"/>
      <c r="H34" s="99"/>
      <c r="I34" s="100"/>
      <c r="J34" s="101"/>
      <c r="L34" s="98" t="s">
        <v>24</v>
      </c>
      <c r="M34" s="99">
        <v>11997</v>
      </c>
      <c r="N34" s="99">
        <v>1333</v>
      </c>
      <c r="O34" s="99">
        <f t="shared" si="7"/>
        <v>179.95499999999998</v>
      </c>
      <c r="P34" s="99">
        <f t="shared" si="5"/>
        <v>1512.9549999999999</v>
      </c>
      <c r="Q34" s="99"/>
      <c r="R34" s="99"/>
      <c r="S34" s="100"/>
      <c r="T34" s="101"/>
    </row>
    <row r="35" spans="2:20" ht="15" thickBot="1" x14ac:dyDescent="0.35">
      <c r="B35" s="98" t="s">
        <v>25</v>
      </c>
      <c r="C35" s="99">
        <v>10664</v>
      </c>
      <c r="D35" s="99">
        <v>1333</v>
      </c>
      <c r="E35" s="99">
        <f t="shared" si="6"/>
        <v>159.96</v>
      </c>
      <c r="F35" s="99">
        <f t="shared" si="4"/>
        <v>1492.96</v>
      </c>
      <c r="G35" s="99"/>
      <c r="H35" s="99"/>
      <c r="I35" s="100"/>
      <c r="J35" s="101"/>
      <c r="L35" s="98" t="s">
        <v>25</v>
      </c>
      <c r="M35" s="99">
        <v>10664</v>
      </c>
      <c r="N35" s="99">
        <v>1333</v>
      </c>
      <c r="O35" s="99">
        <f t="shared" si="7"/>
        <v>159.96</v>
      </c>
      <c r="P35" s="99">
        <f t="shared" si="5"/>
        <v>1492.96</v>
      </c>
      <c r="Q35" s="99"/>
      <c r="R35" s="99"/>
      <c r="S35" s="100"/>
      <c r="T35" s="101"/>
    </row>
    <row r="36" spans="2:20" x14ac:dyDescent="0.3">
      <c r="B36" s="98" t="s">
        <v>26</v>
      </c>
      <c r="C36" s="99">
        <v>9331</v>
      </c>
      <c r="D36" s="95">
        <v>1333</v>
      </c>
      <c r="E36" s="99">
        <f t="shared" si="6"/>
        <v>139.965</v>
      </c>
      <c r="F36" s="99">
        <f t="shared" si="4"/>
        <v>1472.9649999999999</v>
      </c>
      <c r="G36" s="99"/>
      <c r="H36" s="99"/>
      <c r="I36" s="100"/>
      <c r="J36" s="101"/>
      <c r="L36" s="98" t="s">
        <v>26</v>
      </c>
      <c r="M36" s="99">
        <v>9331</v>
      </c>
      <c r="N36" s="95">
        <v>1333</v>
      </c>
      <c r="O36" s="99">
        <f t="shared" si="7"/>
        <v>139.965</v>
      </c>
      <c r="P36" s="99">
        <f t="shared" si="5"/>
        <v>1472.9649999999999</v>
      </c>
      <c r="Q36" s="99"/>
      <c r="R36" s="99"/>
      <c r="S36" s="100"/>
      <c r="T36" s="101"/>
    </row>
    <row r="37" spans="2:20" x14ac:dyDescent="0.3">
      <c r="B37" s="98" t="s">
        <v>27</v>
      </c>
      <c r="C37" s="99">
        <v>7998</v>
      </c>
      <c r="D37" s="99">
        <v>1333</v>
      </c>
      <c r="E37" s="99">
        <f t="shared" si="6"/>
        <v>119.97</v>
      </c>
      <c r="F37" s="99">
        <f t="shared" si="4"/>
        <v>1452.97</v>
      </c>
      <c r="G37" s="99"/>
      <c r="H37" s="99"/>
      <c r="I37" s="100"/>
      <c r="J37" s="101"/>
      <c r="L37" s="98" t="s">
        <v>27</v>
      </c>
      <c r="M37" s="99">
        <v>7998</v>
      </c>
      <c r="N37" s="99">
        <v>1333</v>
      </c>
      <c r="O37" s="99">
        <f t="shared" si="7"/>
        <v>119.97</v>
      </c>
      <c r="P37" s="99">
        <f t="shared" si="5"/>
        <v>1452.97</v>
      </c>
      <c r="Q37" s="99"/>
      <c r="R37" s="99"/>
      <c r="S37" s="100"/>
      <c r="T37" s="101"/>
    </row>
    <row r="38" spans="2:20" x14ac:dyDescent="0.3">
      <c r="B38" s="98" t="s">
        <v>28</v>
      </c>
      <c r="C38" s="99">
        <v>6665</v>
      </c>
      <c r="D38" s="99">
        <v>1333</v>
      </c>
      <c r="E38" s="99">
        <f t="shared" si="6"/>
        <v>99.974999999999994</v>
      </c>
      <c r="F38" s="99">
        <f t="shared" si="4"/>
        <v>1432.9749999999999</v>
      </c>
      <c r="G38" s="99"/>
      <c r="H38" s="99"/>
      <c r="I38" s="100"/>
      <c r="J38" s="101"/>
      <c r="L38" s="98" t="s">
        <v>28</v>
      </c>
      <c r="M38" s="99">
        <v>6665</v>
      </c>
      <c r="N38" s="99">
        <v>1333</v>
      </c>
      <c r="O38" s="99">
        <f t="shared" si="7"/>
        <v>99.974999999999994</v>
      </c>
      <c r="P38" s="99">
        <f t="shared" si="5"/>
        <v>1432.9749999999999</v>
      </c>
      <c r="Q38" s="99"/>
      <c r="R38" s="99"/>
      <c r="S38" s="100"/>
      <c r="T38" s="101"/>
    </row>
    <row r="39" spans="2:20" ht="15" thickBot="1" x14ac:dyDescent="0.35">
      <c r="B39" s="98" t="s">
        <v>29</v>
      </c>
      <c r="C39" s="99">
        <v>5332</v>
      </c>
      <c r="D39" s="99">
        <v>1333</v>
      </c>
      <c r="E39" s="99">
        <f t="shared" si="6"/>
        <v>79.98</v>
      </c>
      <c r="F39" s="99">
        <f t="shared" si="4"/>
        <v>1412.98</v>
      </c>
      <c r="G39" s="99"/>
      <c r="H39" s="99"/>
      <c r="I39" s="100"/>
      <c r="J39" s="101"/>
      <c r="L39" s="98" t="s">
        <v>29</v>
      </c>
      <c r="M39" s="99">
        <v>5332</v>
      </c>
      <c r="N39" s="99">
        <v>1333</v>
      </c>
      <c r="O39" s="99">
        <f t="shared" si="7"/>
        <v>79.98</v>
      </c>
      <c r="P39" s="99">
        <f t="shared" si="5"/>
        <v>1412.98</v>
      </c>
      <c r="Q39" s="99"/>
      <c r="R39" s="99"/>
      <c r="S39" s="100"/>
      <c r="T39" s="101"/>
    </row>
    <row r="40" spans="2:20" x14ac:dyDescent="0.3">
      <c r="B40" s="98" t="s">
        <v>30</v>
      </c>
      <c r="C40" s="99">
        <v>3999</v>
      </c>
      <c r="D40" s="95">
        <v>1333</v>
      </c>
      <c r="E40" s="99">
        <f t="shared" si="6"/>
        <v>59.984999999999999</v>
      </c>
      <c r="F40" s="99">
        <f t="shared" si="4"/>
        <v>1392.9849999999999</v>
      </c>
      <c r="G40" s="99"/>
      <c r="H40" s="99"/>
      <c r="I40" s="100"/>
      <c r="J40" s="101"/>
      <c r="L40" s="98" t="s">
        <v>30</v>
      </c>
      <c r="M40" s="99">
        <v>3999</v>
      </c>
      <c r="N40" s="95">
        <v>1333</v>
      </c>
      <c r="O40" s="99">
        <f t="shared" si="7"/>
        <v>59.984999999999999</v>
      </c>
      <c r="P40" s="99">
        <f t="shared" si="5"/>
        <v>1392.9849999999999</v>
      </c>
      <c r="Q40" s="99"/>
      <c r="R40" s="99"/>
      <c r="S40" s="100"/>
      <c r="T40" s="101"/>
    </row>
    <row r="41" spans="2:20" x14ac:dyDescent="0.3">
      <c r="B41" s="98" t="s">
        <v>31</v>
      </c>
      <c r="C41" s="99">
        <v>2666</v>
      </c>
      <c r="D41" s="99">
        <v>1333</v>
      </c>
      <c r="E41" s="99">
        <f t="shared" si="6"/>
        <v>39.99</v>
      </c>
      <c r="F41" s="99">
        <f t="shared" si="4"/>
        <v>1372.99</v>
      </c>
      <c r="G41" s="99"/>
      <c r="H41" s="99"/>
      <c r="I41" s="100"/>
      <c r="J41" s="101"/>
      <c r="L41" s="98" t="s">
        <v>31</v>
      </c>
      <c r="M41" s="99">
        <v>2666</v>
      </c>
      <c r="N41" s="99">
        <v>1333</v>
      </c>
      <c r="O41" s="99">
        <f t="shared" si="7"/>
        <v>39.99</v>
      </c>
      <c r="P41" s="99">
        <f t="shared" si="5"/>
        <v>1372.99</v>
      </c>
      <c r="Q41" s="99"/>
      <c r="R41" s="99"/>
      <c r="S41" s="100"/>
      <c r="T41" s="101"/>
    </row>
    <row r="42" spans="2:20" x14ac:dyDescent="0.3">
      <c r="B42" s="98" t="s">
        <v>32</v>
      </c>
      <c r="C42" s="99">
        <v>1333</v>
      </c>
      <c r="D42" s="99">
        <v>1333</v>
      </c>
      <c r="E42" s="99">
        <f t="shared" si="6"/>
        <v>19.995000000000001</v>
      </c>
      <c r="F42" s="99">
        <f t="shared" si="4"/>
        <v>1352.9949999999999</v>
      </c>
      <c r="G42" s="99"/>
      <c r="H42" s="99"/>
      <c r="I42" s="100"/>
      <c r="J42" s="101" t="s">
        <v>42</v>
      </c>
      <c r="L42" s="98" t="s">
        <v>32</v>
      </c>
      <c r="M42" s="99">
        <v>1333</v>
      </c>
      <c r="N42" s="99">
        <v>1333</v>
      </c>
      <c r="O42" s="99">
        <f t="shared" si="7"/>
        <v>19.995000000000001</v>
      </c>
      <c r="P42" s="99">
        <f t="shared" si="5"/>
        <v>1352.9949999999999</v>
      </c>
      <c r="Q42" s="99"/>
      <c r="R42" s="99"/>
      <c r="S42" s="100"/>
      <c r="T42" s="101" t="s">
        <v>42</v>
      </c>
    </row>
    <row r="43" spans="2:20" x14ac:dyDescent="0.3">
      <c r="D43" s="38"/>
      <c r="E43" s="38"/>
      <c r="N43" s="38"/>
      <c r="O43" s="38">
        <f>SUM(O28:O42)</f>
        <v>2399.4749999999995</v>
      </c>
    </row>
    <row r="45" spans="2:20" x14ac:dyDescent="0.3">
      <c r="B45" s="77" t="s">
        <v>0</v>
      </c>
      <c r="C45" s="77"/>
      <c r="D45" s="112"/>
      <c r="E45" s="112"/>
      <c r="F45" s="79"/>
      <c r="G45" s="80"/>
      <c r="I45" s="81" t="s">
        <v>1</v>
      </c>
      <c r="J45" s="82">
        <v>150000</v>
      </c>
      <c r="L45" s="77" t="s">
        <v>0</v>
      </c>
      <c r="M45" s="77"/>
      <c r="N45" s="112"/>
      <c r="O45" s="112"/>
      <c r="P45" s="79"/>
      <c r="Q45" s="80"/>
      <c r="S45" s="81" t="s">
        <v>1</v>
      </c>
      <c r="T45" s="82">
        <v>150000</v>
      </c>
    </row>
    <row r="46" spans="2:20" x14ac:dyDescent="0.3">
      <c r="B46" s="77" t="s">
        <v>2</v>
      </c>
      <c r="C46" s="83"/>
      <c r="D46" s="79"/>
      <c r="E46" s="83"/>
      <c r="F46" s="81"/>
      <c r="G46" s="81"/>
      <c r="H46" s="84"/>
      <c r="I46" s="81" t="s">
        <v>3</v>
      </c>
      <c r="J46" s="85" t="s">
        <v>233</v>
      </c>
      <c r="L46" s="77" t="s">
        <v>2</v>
      </c>
      <c r="M46" s="83"/>
      <c r="N46" s="79"/>
      <c r="O46" s="83"/>
      <c r="P46" s="81"/>
      <c r="Q46" s="81"/>
      <c r="R46" s="84"/>
      <c r="S46" s="81" t="s">
        <v>3</v>
      </c>
      <c r="T46" s="85" t="s">
        <v>233</v>
      </c>
    </row>
    <row r="47" spans="2:20" x14ac:dyDescent="0.3">
      <c r="B47" s="77" t="s">
        <v>4</v>
      </c>
      <c r="C47" s="78"/>
      <c r="D47" s="79"/>
      <c r="E47" s="78"/>
      <c r="F47" s="81"/>
      <c r="G47" s="81"/>
      <c r="H47" s="81"/>
      <c r="I47" s="81" t="s">
        <v>5</v>
      </c>
      <c r="J47" s="86">
        <v>1.4999999999999999E-2</v>
      </c>
      <c r="L47" s="77" t="s">
        <v>4</v>
      </c>
      <c r="M47" s="78"/>
      <c r="N47" s="79"/>
      <c r="O47" s="78"/>
      <c r="P47" s="81"/>
      <c r="Q47" s="81"/>
      <c r="R47" s="81"/>
      <c r="S47" s="81" t="s">
        <v>5</v>
      </c>
      <c r="T47" s="86">
        <v>1.4999999999999999E-2</v>
      </c>
    </row>
    <row r="48" spans="2:20" ht="15" thickBot="1" x14ac:dyDescent="0.35">
      <c r="B48" s="77" t="s">
        <v>6</v>
      </c>
      <c r="C48" s="87"/>
      <c r="D48" s="87"/>
      <c r="E48" s="88"/>
      <c r="F48" s="88"/>
      <c r="G48" s="88"/>
      <c r="H48" s="88"/>
      <c r="I48" s="88" t="s">
        <v>7</v>
      </c>
      <c r="J48" s="78">
        <v>15</v>
      </c>
      <c r="L48" s="77" t="s">
        <v>6</v>
      </c>
      <c r="M48" s="87"/>
      <c r="N48" s="87"/>
      <c r="O48" s="88"/>
      <c r="P48" s="88"/>
      <c r="Q48" s="88"/>
      <c r="R48" s="88"/>
      <c r="S48" s="88" t="s">
        <v>7</v>
      </c>
      <c r="T48" s="78">
        <v>15</v>
      </c>
    </row>
    <row r="49" spans="2:20" ht="41.4" thickBot="1" x14ac:dyDescent="0.35">
      <c r="B49" s="89" t="s">
        <v>8</v>
      </c>
      <c r="C49" s="89" t="s">
        <v>9</v>
      </c>
      <c r="D49" s="89" t="s">
        <v>10</v>
      </c>
      <c r="E49" s="90" t="s">
        <v>11</v>
      </c>
      <c r="F49" s="91" t="s">
        <v>12</v>
      </c>
      <c r="G49" s="92" t="s">
        <v>13</v>
      </c>
      <c r="H49" s="92" t="s">
        <v>14</v>
      </c>
      <c r="I49" s="92" t="s">
        <v>15</v>
      </c>
      <c r="J49" s="93" t="s">
        <v>16</v>
      </c>
      <c r="L49" s="89" t="s">
        <v>8</v>
      </c>
      <c r="M49" s="89" t="s">
        <v>9</v>
      </c>
      <c r="N49" s="89" t="s">
        <v>10</v>
      </c>
      <c r="O49" s="90" t="s">
        <v>11</v>
      </c>
      <c r="P49" s="91" t="s">
        <v>12</v>
      </c>
      <c r="Q49" s="92" t="s">
        <v>13</v>
      </c>
      <c r="R49" s="92" t="s">
        <v>14</v>
      </c>
      <c r="S49" s="92" t="s">
        <v>15</v>
      </c>
      <c r="T49" s="93" t="s">
        <v>16</v>
      </c>
    </row>
    <row r="50" spans="2:20" x14ac:dyDescent="0.3">
      <c r="B50" s="94" t="s">
        <v>17</v>
      </c>
      <c r="C50" s="95">
        <f>J45</f>
        <v>150000</v>
      </c>
      <c r="D50" s="95">
        <f>J45/J48</f>
        <v>10000</v>
      </c>
      <c r="E50" s="95">
        <f>(C50*0.015)</f>
        <v>2250</v>
      </c>
      <c r="F50" s="95">
        <f t="shared" ref="F50:F64" si="8">SUM(D50:E50)</f>
        <v>12250</v>
      </c>
      <c r="G50" s="95"/>
      <c r="H50" s="126"/>
      <c r="I50" s="96"/>
      <c r="J50" s="97"/>
      <c r="L50" s="94" t="s">
        <v>17</v>
      </c>
      <c r="M50" s="95">
        <f>T45</f>
        <v>150000</v>
      </c>
      <c r="N50" s="95">
        <f>T45/T48</f>
        <v>10000</v>
      </c>
      <c r="O50" s="95">
        <f>(M50*0.015)</f>
        <v>2250</v>
      </c>
      <c r="P50" s="95">
        <f t="shared" ref="P50:P64" si="9">SUM(N50:O50)</f>
        <v>12250</v>
      </c>
      <c r="Q50" s="95"/>
      <c r="R50" s="126"/>
      <c r="S50" s="96"/>
      <c r="T50" s="97"/>
    </row>
    <row r="51" spans="2:20" x14ac:dyDescent="0.3">
      <c r="B51" s="98" t="s">
        <v>18</v>
      </c>
      <c r="C51" s="99">
        <v>140000</v>
      </c>
      <c r="D51" s="99">
        <v>10000</v>
      </c>
      <c r="E51" s="99">
        <f t="shared" ref="E51:E64" si="10">(C51*0.015)</f>
        <v>2100</v>
      </c>
      <c r="F51" s="99">
        <f t="shared" si="8"/>
        <v>12100</v>
      </c>
      <c r="G51" s="99"/>
      <c r="H51" s="127"/>
      <c r="I51" s="100"/>
      <c r="J51" s="101"/>
      <c r="L51" s="98" t="s">
        <v>18</v>
      </c>
      <c r="M51" s="99">
        <v>140000</v>
      </c>
      <c r="N51" s="99">
        <v>10000</v>
      </c>
      <c r="O51" s="99">
        <f t="shared" ref="O51:O64" si="11">(M51*0.015)</f>
        <v>2100</v>
      </c>
      <c r="P51" s="99">
        <f t="shared" si="9"/>
        <v>12100</v>
      </c>
      <c r="Q51" s="99"/>
      <c r="R51" s="127"/>
      <c r="S51" s="100"/>
      <c r="T51" s="101"/>
    </row>
    <row r="52" spans="2:20" x14ac:dyDescent="0.3">
      <c r="B52" s="98" t="s">
        <v>19</v>
      </c>
      <c r="C52" s="99">
        <v>130000</v>
      </c>
      <c r="D52" s="99">
        <v>10000</v>
      </c>
      <c r="E52" s="99">
        <f t="shared" si="10"/>
        <v>1950</v>
      </c>
      <c r="F52" s="99">
        <f t="shared" si="8"/>
        <v>11950</v>
      </c>
      <c r="G52" s="99"/>
      <c r="H52" s="127"/>
      <c r="I52" s="100"/>
      <c r="J52" s="101"/>
      <c r="L52" s="98" t="s">
        <v>19</v>
      </c>
      <c r="M52" s="99">
        <v>130000</v>
      </c>
      <c r="N52" s="99">
        <v>10000</v>
      </c>
      <c r="O52" s="99">
        <f t="shared" si="11"/>
        <v>1950</v>
      </c>
      <c r="P52" s="99">
        <f t="shared" si="9"/>
        <v>11950</v>
      </c>
      <c r="Q52" s="99"/>
      <c r="R52" s="127"/>
      <c r="S52" s="100"/>
      <c r="T52" s="101"/>
    </row>
    <row r="53" spans="2:20" ht="15" thickBot="1" x14ac:dyDescent="0.35">
      <c r="B53" s="98" t="s">
        <v>20</v>
      </c>
      <c r="C53" s="99">
        <v>120000</v>
      </c>
      <c r="D53" s="99">
        <v>10000</v>
      </c>
      <c r="E53" s="99">
        <f t="shared" si="10"/>
        <v>1800</v>
      </c>
      <c r="F53" s="99">
        <f t="shared" si="8"/>
        <v>11800</v>
      </c>
      <c r="G53" s="99"/>
      <c r="H53" s="127"/>
      <c r="I53" s="100"/>
      <c r="J53" s="101"/>
      <c r="L53" s="98" t="s">
        <v>20</v>
      </c>
      <c r="M53" s="99">
        <v>120000</v>
      </c>
      <c r="N53" s="99">
        <v>10000</v>
      </c>
      <c r="O53" s="99">
        <f t="shared" si="11"/>
        <v>1800</v>
      </c>
      <c r="P53" s="99">
        <f t="shared" si="9"/>
        <v>11800</v>
      </c>
      <c r="Q53" s="99"/>
      <c r="R53" s="127"/>
      <c r="S53" s="100"/>
      <c r="T53" s="101"/>
    </row>
    <row r="54" spans="2:20" x14ac:dyDescent="0.3">
      <c r="B54" s="98" t="s">
        <v>21</v>
      </c>
      <c r="C54" s="99">
        <v>110000</v>
      </c>
      <c r="D54" s="95">
        <v>10000</v>
      </c>
      <c r="E54" s="99">
        <f t="shared" si="10"/>
        <v>1650</v>
      </c>
      <c r="F54" s="99">
        <f t="shared" si="8"/>
        <v>11650</v>
      </c>
      <c r="G54" s="99"/>
      <c r="H54" s="99"/>
      <c r="I54" s="100"/>
      <c r="J54" s="101"/>
      <c r="L54" s="98" t="s">
        <v>21</v>
      </c>
      <c r="M54" s="99">
        <v>110000</v>
      </c>
      <c r="N54" s="95">
        <v>10000</v>
      </c>
      <c r="O54" s="99">
        <f t="shared" si="11"/>
        <v>1650</v>
      </c>
      <c r="P54" s="99">
        <f t="shared" si="9"/>
        <v>11650</v>
      </c>
      <c r="Q54" s="99"/>
      <c r="R54" s="99"/>
      <c r="S54" s="100"/>
      <c r="T54" s="101"/>
    </row>
    <row r="55" spans="2:20" x14ac:dyDescent="0.3">
      <c r="B55" s="98" t="s">
        <v>23</v>
      </c>
      <c r="C55" s="99">
        <v>100000</v>
      </c>
      <c r="D55" s="99">
        <v>10000</v>
      </c>
      <c r="E55" s="99">
        <f t="shared" si="10"/>
        <v>1500</v>
      </c>
      <c r="F55" s="99">
        <f t="shared" si="8"/>
        <v>11500</v>
      </c>
      <c r="G55" s="99"/>
      <c r="H55" s="99"/>
      <c r="I55" s="100"/>
      <c r="J55" s="101"/>
      <c r="L55" s="98" t="s">
        <v>23</v>
      </c>
      <c r="M55" s="99">
        <v>100000</v>
      </c>
      <c r="N55" s="99">
        <v>10000</v>
      </c>
      <c r="O55" s="99">
        <f t="shared" si="11"/>
        <v>1500</v>
      </c>
      <c r="P55" s="99">
        <f t="shared" si="9"/>
        <v>11500</v>
      </c>
      <c r="Q55" s="99"/>
      <c r="R55" s="99"/>
      <c r="S55" s="100"/>
      <c r="T55" s="101"/>
    </row>
    <row r="56" spans="2:20" x14ac:dyDescent="0.3">
      <c r="B56" s="98" t="s">
        <v>24</v>
      </c>
      <c r="C56" s="99">
        <v>90000</v>
      </c>
      <c r="D56" s="99">
        <v>10000</v>
      </c>
      <c r="E56" s="99">
        <f t="shared" si="10"/>
        <v>1350</v>
      </c>
      <c r="F56" s="99">
        <f t="shared" si="8"/>
        <v>11350</v>
      </c>
      <c r="G56" s="99"/>
      <c r="H56" s="99"/>
      <c r="I56" s="100"/>
      <c r="J56" s="101"/>
      <c r="L56" s="98" t="s">
        <v>24</v>
      </c>
      <c r="M56" s="99">
        <v>90000</v>
      </c>
      <c r="N56" s="99">
        <v>10000</v>
      </c>
      <c r="O56" s="99">
        <f t="shared" si="11"/>
        <v>1350</v>
      </c>
      <c r="P56" s="99">
        <f t="shared" si="9"/>
        <v>11350</v>
      </c>
      <c r="Q56" s="99"/>
      <c r="R56" s="99"/>
      <c r="S56" s="100"/>
      <c r="T56" s="101"/>
    </row>
    <row r="57" spans="2:20" ht="15" thickBot="1" x14ac:dyDescent="0.35">
      <c r="B57" s="98" t="s">
        <v>25</v>
      </c>
      <c r="C57" s="99">
        <v>80000</v>
      </c>
      <c r="D57" s="99">
        <v>10000</v>
      </c>
      <c r="E57" s="99">
        <f t="shared" si="10"/>
        <v>1200</v>
      </c>
      <c r="F57" s="99">
        <f t="shared" si="8"/>
        <v>11200</v>
      </c>
      <c r="G57" s="99"/>
      <c r="H57" s="99"/>
      <c r="I57" s="100"/>
      <c r="J57" s="101"/>
      <c r="L57" s="98" t="s">
        <v>25</v>
      </c>
      <c r="M57" s="99">
        <v>80000</v>
      </c>
      <c r="N57" s="99">
        <v>10000</v>
      </c>
      <c r="O57" s="99">
        <f t="shared" si="11"/>
        <v>1200</v>
      </c>
      <c r="P57" s="99">
        <f t="shared" si="9"/>
        <v>11200</v>
      </c>
      <c r="Q57" s="99"/>
      <c r="R57" s="99"/>
      <c r="S57" s="100"/>
      <c r="T57" s="101"/>
    </row>
    <row r="58" spans="2:20" x14ac:dyDescent="0.3">
      <c r="B58" s="98" t="s">
        <v>26</v>
      </c>
      <c r="C58" s="99">
        <v>70000</v>
      </c>
      <c r="D58" s="95">
        <v>10000</v>
      </c>
      <c r="E58" s="99">
        <f t="shared" si="10"/>
        <v>1050</v>
      </c>
      <c r="F58" s="99">
        <f t="shared" si="8"/>
        <v>11050</v>
      </c>
      <c r="G58" s="99"/>
      <c r="H58" s="99"/>
      <c r="I58" s="100"/>
      <c r="J58" s="101"/>
      <c r="L58" s="98" t="s">
        <v>26</v>
      </c>
      <c r="M58" s="99">
        <v>70000</v>
      </c>
      <c r="N58" s="95">
        <v>10000</v>
      </c>
      <c r="O58" s="99">
        <f t="shared" si="11"/>
        <v>1050</v>
      </c>
      <c r="P58" s="99">
        <f t="shared" si="9"/>
        <v>11050</v>
      </c>
      <c r="Q58" s="99"/>
      <c r="R58" s="99"/>
      <c r="S58" s="100"/>
      <c r="T58" s="101"/>
    </row>
    <row r="59" spans="2:20" x14ac:dyDescent="0.3">
      <c r="B59" s="98" t="s">
        <v>27</v>
      </c>
      <c r="C59" s="99">
        <v>60000</v>
      </c>
      <c r="D59" s="99">
        <v>10000</v>
      </c>
      <c r="E59" s="99">
        <f t="shared" si="10"/>
        <v>900</v>
      </c>
      <c r="F59" s="99">
        <f t="shared" si="8"/>
        <v>10900</v>
      </c>
      <c r="G59" s="99"/>
      <c r="H59" s="99"/>
      <c r="I59" s="100"/>
      <c r="J59" s="101"/>
      <c r="L59" s="98" t="s">
        <v>27</v>
      </c>
      <c r="M59" s="99">
        <v>60000</v>
      </c>
      <c r="N59" s="99">
        <v>10000</v>
      </c>
      <c r="O59" s="99">
        <f t="shared" si="11"/>
        <v>900</v>
      </c>
      <c r="P59" s="99">
        <f t="shared" si="9"/>
        <v>10900</v>
      </c>
      <c r="Q59" s="99"/>
      <c r="R59" s="99"/>
      <c r="S59" s="100"/>
      <c r="T59" s="101"/>
    </row>
    <row r="60" spans="2:20" x14ac:dyDescent="0.3">
      <c r="B60" s="98" t="s">
        <v>28</v>
      </c>
      <c r="C60" s="99">
        <v>50000</v>
      </c>
      <c r="D60" s="99">
        <v>10000</v>
      </c>
      <c r="E60" s="99">
        <f t="shared" si="10"/>
        <v>750</v>
      </c>
      <c r="F60" s="99">
        <f t="shared" si="8"/>
        <v>10750</v>
      </c>
      <c r="G60" s="99"/>
      <c r="H60" s="99"/>
      <c r="I60" s="100"/>
      <c r="J60" s="101"/>
      <c r="L60" s="98" t="s">
        <v>28</v>
      </c>
      <c r="M60" s="99">
        <v>50000</v>
      </c>
      <c r="N60" s="99">
        <v>10000</v>
      </c>
      <c r="O60" s="99">
        <f t="shared" si="11"/>
        <v>750</v>
      </c>
      <c r="P60" s="99">
        <f t="shared" si="9"/>
        <v>10750</v>
      </c>
      <c r="Q60" s="99"/>
      <c r="R60" s="99"/>
      <c r="S60" s="100"/>
      <c r="T60" s="101"/>
    </row>
    <row r="61" spans="2:20" ht="15" thickBot="1" x14ac:dyDescent="0.35">
      <c r="B61" s="98" t="s">
        <v>29</v>
      </c>
      <c r="C61" s="99">
        <v>40000</v>
      </c>
      <c r="D61" s="99">
        <v>10000</v>
      </c>
      <c r="E61" s="99">
        <f t="shared" si="10"/>
        <v>600</v>
      </c>
      <c r="F61" s="99">
        <f t="shared" si="8"/>
        <v>10600</v>
      </c>
      <c r="G61" s="99"/>
      <c r="H61" s="99"/>
      <c r="I61" s="100"/>
      <c r="J61" s="101"/>
      <c r="L61" s="98" t="s">
        <v>29</v>
      </c>
      <c r="M61" s="99">
        <v>40000</v>
      </c>
      <c r="N61" s="99">
        <v>10000</v>
      </c>
      <c r="O61" s="99">
        <f t="shared" si="11"/>
        <v>600</v>
      </c>
      <c r="P61" s="99">
        <f t="shared" si="9"/>
        <v>10600</v>
      </c>
      <c r="Q61" s="99"/>
      <c r="R61" s="99"/>
      <c r="S61" s="100"/>
      <c r="T61" s="101"/>
    </row>
    <row r="62" spans="2:20" x14ac:dyDescent="0.3">
      <c r="B62" s="98" t="s">
        <v>30</v>
      </c>
      <c r="C62" s="99">
        <v>30000</v>
      </c>
      <c r="D62" s="95">
        <v>10000</v>
      </c>
      <c r="E62" s="99">
        <f t="shared" si="10"/>
        <v>450</v>
      </c>
      <c r="F62" s="99">
        <f t="shared" si="8"/>
        <v>10450</v>
      </c>
      <c r="G62" s="99"/>
      <c r="H62" s="99"/>
      <c r="I62" s="100"/>
      <c r="J62" s="101"/>
      <c r="L62" s="98" t="s">
        <v>30</v>
      </c>
      <c r="M62" s="99">
        <v>30000</v>
      </c>
      <c r="N62" s="95">
        <v>10000</v>
      </c>
      <c r="O62" s="99">
        <f t="shared" si="11"/>
        <v>450</v>
      </c>
      <c r="P62" s="99">
        <f t="shared" si="9"/>
        <v>10450</v>
      </c>
      <c r="Q62" s="99"/>
      <c r="R62" s="99"/>
      <c r="S62" s="100"/>
      <c r="T62" s="101"/>
    </row>
    <row r="63" spans="2:20" x14ac:dyDescent="0.3">
      <c r="B63" s="98" t="s">
        <v>31</v>
      </c>
      <c r="C63" s="99">
        <v>20000</v>
      </c>
      <c r="D63" s="99">
        <v>10000</v>
      </c>
      <c r="E63" s="99">
        <f t="shared" si="10"/>
        <v>300</v>
      </c>
      <c r="F63" s="99">
        <f t="shared" si="8"/>
        <v>10300</v>
      </c>
      <c r="G63" s="99"/>
      <c r="H63" s="99"/>
      <c r="I63" s="100"/>
      <c r="J63" s="101"/>
      <c r="L63" s="98" t="s">
        <v>31</v>
      </c>
      <c r="M63" s="99">
        <v>20000</v>
      </c>
      <c r="N63" s="99">
        <v>10000</v>
      </c>
      <c r="O63" s="99">
        <f t="shared" si="11"/>
        <v>300</v>
      </c>
      <c r="P63" s="99">
        <f t="shared" si="9"/>
        <v>10300</v>
      </c>
      <c r="Q63" s="99"/>
      <c r="R63" s="99"/>
      <c r="S63" s="100"/>
      <c r="T63" s="101"/>
    </row>
    <row r="64" spans="2:20" x14ac:dyDescent="0.3">
      <c r="B64" s="98" t="s">
        <v>32</v>
      </c>
      <c r="C64" s="99">
        <v>10000</v>
      </c>
      <c r="D64" s="99">
        <v>10000</v>
      </c>
      <c r="E64" s="99">
        <f t="shared" si="10"/>
        <v>150</v>
      </c>
      <c r="F64" s="99">
        <f t="shared" si="8"/>
        <v>10150</v>
      </c>
      <c r="G64" s="99"/>
      <c r="H64" s="99"/>
      <c r="I64" s="100"/>
      <c r="J64" s="101" t="s">
        <v>42</v>
      </c>
      <c r="L64" s="98" t="s">
        <v>32</v>
      </c>
      <c r="M64" s="99">
        <v>10000</v>
      </c>
      <c r="N64" s="99">
        <v>10000</v>
      </c>
      <c r="O64" s="99">
        <f t="shared" si="11"/>
        <v>150</v>
      </c>
      <c r="P64" s="99">
        <f t="shared" si="9"/>
        <v>10150</v>
      </c>
      <c r="Q64" s="99"/>
      <c r="R64" s="99"/>
      <c r="S64" s="100"/>
      <c r="T64" s="101" t="s">
        <v>42</v>
      </c>
    </row>
    <row r="67" spans="2:20" x14ac:dyDescent="0.3">
      <c r="B67" s="77" t="s">
        <v>0</v>
      </c>
      <c r="C67" s="77" t="s">
        <v>91</v>
      </c>
      <c r="D67" s="112"/>
      <c r="E67" s="112"/>
      <c r="F67" s="79"/>
      <c r="G67" s="80"/>
      <c r="I67" s="81" t="s">
        <v>1</v>
      </c>
      <c r="J67" s="82">
        <v>150000</v>
      </c>
      <c r="L67" s="77" t="s">
        <v>0</v>
      </c>
      <c r="M67" s="77" t="s">
        <v>91</v>
      </c>
      <c r="N67" s="112"/>
      <c r="O67" s="112"/>
      <c r="P67" s="79"/>
      <c r="Q67" s="80"/>
      <c r="S67" s="81" t="s">
        <v>1</v>
      </c>
      <c r="T67" s="82">
        <v>150000</v>
      </c>
    </row>
    <row r="68" spans="2:20" x14ac:dyDescent="0.3">
      <c r="B68" s="77" t="s">
        <v>2</v>
      </c>
      <c r="C68" s="83"/>
      <c r="D68" s="79"/>
      <c r="E68" s="83"/>
      <c r="F68" s="81"/>
      <c r="G68" s="81"/>
      <c r="H68" s="84"/>
      <c r="I68" s="81" t="s">
        <v>3</v>
      </c>
      <c r="J68" s="85" t="s">
        <v>251</v>
      </c>
      <c r="L68" s="77" t="s">
        <v>2</v>
      </c>
      <c r="M68" s="83"/>
      <c r="N68" s="79"/>
      <c r="O68" s="83"/>
      <c r="P68" s="81"/>
      <c r="Q68" s="81"/>
      <c r="R68" s="84"/>
      <c r="S68" s="81" t="s">
        <v>3</v>
      </c>
      <c r="T68" s="85" t="s">
        <v>251</v>
      </c>
    </row>
    <row r="69" spans="2:20" x14ac:dyDescent="0.3">
      <c r="B69" s="77" t="s">
        <v>4</v>
      </c>
      <c r="C69" s="78"/>
      <c r="D69" s="79"/>
      <c r="E69" s="78"/>
      <c r="F69" s="81"/>
      <c r="G69" s="81"/>
      <c r="H69" s="81"/>
      <c r="I69" s="81" t="s">
        <v>5</v>
      </c>
      <c r="J69" s="86">
        <v>1.4999999999999999E-2</v>
      </c>
      <c r="L69" s="77" t="s">
        <v>4</v>
      </c>
      <c r="M69" s="78"/>
      <c r="N69" s="79"/>
      <c r="O69" s="78"/>
      <c r="P69" s="81"/>
      <c r="Q69" s="81"/>
      <c r="R69" s="81"/>
      <c r="S69" s="81" t="s">
        <v>5</v>
      </c>
      <c r="T69" s="86">
        <v>1.4999999999999999E-2</v>
      </c>
    </row>
    <row r="70" spans="2:20" ht="15" thickBot="1" x14ac:dyDescent="0.35">
      <c r="B70" s="77" t="s">
        <v>6</v>
      </c>
      <c r="C70" s="87"/>
      <c r="D70" s="87"/>
      <c r="E70" s="88"/>
      <c r="F70" s="88"/>
      <c r="G70" s="88"/>
      <c r="H70" s="88"/>
      <c r="I70" s="88" t="s">
        <v>7</v>
      </c>
      <c r="J70" s="78">
        <v>15</v>
      </c>
      <c r="L70" s="77" t="s">
        <v>6</v>
      </c>
      <c r="M70" s="87"/>
      <c r="N70" s="87"/>
      <c r="O70" s="88"/>
      <c r="P70" s="88"/>
      <c r="Q70" s="88"/>
      <c r="R70" s="88"/>
      <c r="S70" s="88" t="s">
        <v>7</v>
      </c>
      <c r="T70" s="78">
        <v>15</v>
      </c>
    </row>
    <row r="71" spans="2:20" ht="41.4" thickBot="1" x14ac:dyDescent="0.35">
      <c r="B71" s="89" t="s">
        <v>8</v>
      </c>
      <c r="C71" s="89" t="s">
        <v>9</v>
      </c>
      <c r="D71" s="89" t="s">
        <v>10</v>
      </c>
      <c r="E71" s="90" t="s">
        <v>11</v>
      </c>
      <c r="F71" s="91" t="s">
        <v>12</v>
      </c>
      <c r="G71" s="92" t="s">
        <v>13</v>
      </c>
      <c r="H71" s="92" t="s">
        <v>14</v>
      </c>
      <c r="I71" s="92" t="s">
        <v>15</v>
      </c>
      <c r="J71" s="93" t="s">
        <v>16</v>
      </c>
      <c r="L71" s="89" t="s">
        <v>8</v>
      </c>
      <c r="M71" s="89" t="s">
        <v>9</v>
      </c>
      <c r="N71" s="89" t="s">
        <v>10</v>
      </c>
      <c r="O71" s="90" t="s">
        <v>11</v>
      </c>
      <c r="P71" s="91" t="s">
        <v>12</v>
      </c>
      <c r="Q71" s="92" t="s">
        <v>13</v>
      </c>
      <c r="R71" s="92" t="s">
        <v>14</v>
      </c>
      <c r="S71" s="92" t="s">
        <v>15</v>
      </c>
      <c r="T71" s="93" t="s">
        <v>16</v>
      </c>
    </row>
    <row r="72" spans="2:20" x14ac:dyDescent="0.3">
      <c r="B72" s="94" t="s">
        <v>17</v>
      </c>
      <c r="C72" s="95">
        <f>J67</f>
        <v>150000</v>
      </c>
      <c r="D72" s="95">
        <f>J67/J70</f>
        <v>10000</v>
      </c>
      <c r="E72" s="95">
        <f t="shared" ref="E72:E86" si="12">(C72*0.015)</f>
        <v>2250</v>
      </c>
      <c r="F72" s="95">
        <f t="shared" ref="F72:F86" si="13">SUM(D72:E72)</f>
        <v>12250</v>
      </c>
      <c r="G72" s="95"/>
      <c r="H72" s="95"/>
      <c r="I72" s="96"/>
      <c r="J72" s="97"/>
      <c r="L72" s="94" t="s">
        <v>17</v>
      </c>
      <c r="M72" s="95">
        <f>T67</f>
        <v>150000</v>
      </c>
      <c r="N72" s="95">
        <f>T67/T70</f>
        <v>10000</v>
      </c>
      <c r="O72" s="95">
        <f t="shared" ref="O72:O86" si="14">(M72*0.015)</f>
        <v>2250</v>
      </c>
      <c r="P72" s="95">
        <f t="shared" ref="P72:P86" si="15">SUM(N72:O72)</f>
        <v>12250</v>
      </c>
      <c r="Q72" s="95"/>
      <c r="R72" s="95"/>
      <c r="S72" s="96"/>
      <c r="T72" s="97"/>
    </row>
    <row r="73" spans="2:20" x14ac:dyDescent="0.3">
      <c r="B73" s="98" t="s">
        <v>18</v>
      </c>
      <c r="C73" s="99">
        <v>140000</v>
      </c>
      <c r="D73" s="99">
        <v>10000</v>
      </c>
      <c r="E73" s="99">
        <f t="shared" si="12"/>
        <v>2100</v>
      </c>
      <c r="F73" s="99">
        <f t="shared" si="13"/>
        <v>12100</v>
      </c>
      <c r="G73" s="99"/>
      <c r="H73" s="99"/>
      <c r="I73" s="100"/>
      <c r="J73" s="101"/>
      <c r="L73" s="98" t="s">
        <v>18</v>
      </c>
      <c r="M73" s="99">
        <v>140000</v>
      </c>
      <c r="N73" s="99">
        <v>10000</v>
      </c>
      <c r="O73" s="99">
        <f t="shared" si="14"/>
        <v>2100</v>
      </c>
      <c r="P73" s="99">
        <f t="shared" si="15"/>
        <v>12100</v>
      </c>
      <c r="Q73" s="99"/>
      <c r="R73" s="99"/>
      <c r="S73" s="100"/>
      <c r="T73" s="101"/>
    </row>
    <row r="74" spans="2:20" ht="15" thickBot="1" x14ac:dyDescent="0.35">
      <c r="B74" s="98" t="s">
        <v>19</v>
      </c>
      <c r="C74" s="99">
        <v>130000</v>
      </c>
      <c r="D74" s="99">
        <v>10000</v>
      </c>
      <c r="E74" s="99">
        <f t="shared" si="12"/>
        <v>1950</v>
      </c>
      <c r="F74" s="99">
        <f t="shared" si="13"/>
        <v>11950</v>
      </c>
      <c r="G74" s="99"/>
      <c r="H74" s="99"/>
      <c r="I74" s="100"/>
      <c r="J74" s="101"/>
      <c r="L74" s="98" t="s">
        <v>19</v>
      </c>
      <c r="M74" s="99">
        <v>130000</v>
      </c>
      <c r="N74" s="99">
        <v>10000</v>
      </c>
      <c r="O74" s="99">
        <f t="shared" si="14"/>
        <v>1950</v>
      </c>
      <c r="P74" s="99">
        <f t="shared" si="15"/>
        <v>11950</v>
      </c>
      <c r="Q74" s="99"/>
      <c r="R74" s="99"/>
      <c r="S74" s="100"/>
      <c r="T74" s="101"/>
    </row>
    <row r="75" spans="2:20" x14ac:dyDescent="0.3">
      <c r="B75" s="98" t="s">
        <v>20</v>
      </c>
      <c r="C75" s="99">
        <v>120000</v>
      </c>
      <c r="D75" s="95">
        <v>10000</v>
      </c>
      <c r="E75" s="99">
        <f t="shared" si="12"/>
        <v>1800</v>
      </c>
      <c r="F75" s="99">
        <f t="shared" si="13"/>
        <v>11800</v>
      </c>
      <c r="G75" s="99"/>
      <c r="H75" s="99"/>
      <c r="I75" s="100"/>
      <c r="J75" s="101"/>
      <c r="L75" s="98" t="s">
        <v>20</v>
      </c>
      <c r="M75" s="99">
        <v>120000</v>
      </c>
      <c r="N75" s="95">
        <v>10000</v>
      </c>
      <c r="O75" s="99">
        <f t="shared" si="14"/>
        <v>1800</v>
      </c>
      <c r="P75" s="99">
        <f t="shared" si="15"/>
        <v>11800</v>
      </c>
      <c r="Q75" s="99"/>
      <c r="R75" s="99"/>
      <c r="S75" s="100"/>
      <c r="T75" s="101"/>
    </row>
    <row r="76" spans="2:20" x14ac:dyDescent="0.3">
      <c r="B76" s="98" t="s">
        <v>21</v>
      </c>
      <c r="C76" s="99">
        <v>110000</v>
      </c>
      <c r="D76" s="99">
        <v>10000</v>
      </c>
      <c r="E76" s="99">
        <f t="shared" si="12"/>
        <v>1650</v>
      </c>
      <c r="F76" s="99">
        <f t="shared" si="13"/>
        <v>11650</v>
      </c>
      <c r="G76" s="99"/>
      <c r="H76" s="99"/>
      <c r="I76" s="100"/>
      <c r="J76" s="101"/>
      <c r="L76" s="98" t="s">
        <v>21</v>
      </c>
      <c r="M76" s="99">
        <v>110000</v>
      </c>
      <c r="N76" s="99">
        <v>10000</v>
      </c>
      <c r="O76" s="99">
        <f t="shared" si="14"/>
        <v>1650</v>
      </c>
      <c r="P76" s="99">
        <f t="shared" si="15"/>
        <v>11650</v>
      </c>
      <c r="Q76" s="99"/>
      <c r="R76" s="99"/>
      <c r="S76" s="100"/>
      <c r="T76" s="101"/>
    </row>
    <row r="77" spans="2:20" ht="15" thickBot="1" x14ac:dyDescent="0.35">
      <c r="B77" s="98" t="s">
        <v>23</v>
      </c>
      <c r="C77" s="99">
        <v>100000</v>
      </c>
      <c r="D77" s="99">
        <v>10000</v>
      </c>
      <c r="E77" s="99">
        <f t="shared" si="12"/>
        <v>1500</v>
      </c>
      <c r="F77" s="99">
        <f t="shared" si="13"/>
        <v>11500</v>
      </c>
      <c r="G77" s="99"/>
      <c r="H77" s="99"/>
      <c r="I77" s="100"/>
      <c r="J77" s="101"/>
      <c r="L77" s="98" t="s">
        <v>23</v>
      </c>
      <c r="M77" s="99">
        <v>100000</v>
      </c>
      <c r="N77" s="99">
        <v>10000</v>
      </c>
      <c r="O77" s="99">
        <f t="shared" si="14"/>
        <v>1500</v>
      </c>
      <c r="P77" s="99">
        <f t="shared" si="15"/>
        <v>11500</v>
      </c>
      <c r="Q77" s="99"/>
      <c r="R77" s="99"/>
      <c r="S77" s="100"/>
      <c r="T77" s="101"/>
    </row>
    <row r="78" spans="2:20" x14ac:dyDescent="0.3">
      <c r="B78" s="98" t="s">
        <v>24</v>
      </c>
      <c r="C78" s="99">
        <v>90000</v>
      </c>
      <c r="D78" s="95">
        <v>10000</v>
      </c>
      <c r="E78" s="99">
        <f t="shared" si="12"/>
        <v>1350</v>
      </c>
      <c r="F78" s="99">
        <f t="shared" si="13"/>
        <v>11350</v>
      </c>
      <c r="G78" s="99"/>
      <c r="H78" s="99"/>
      <c r="I78" s="100"/>
      <c r="J78" s="101"/>
      <c r="L78" s="98" t="s">
        <v>24</v>
      </c>
      <c r="M78" s="99">
        <v>90000</v>
      </c>
      <c r="N78" s="95">
        <v>10000</v>
      </c>
      <c r="O78" s="99">
        <f t="shared" si="14"/>
        <v>1350</v>
      </c>
      <c r="P78" s="99">
        <f t="shared" si="15"/>
        <v>11350</v>
      </c>
      <c r="Q78" s="99"/>
      <c r="R78" s="99"/>
      <c r="S78" s="100"/>
      <c r="T78" s="101"/>
    </row>
    <row r="79" spans="2:20" x14ac:dyDescent="0.3">
      <c r="B79" s="98" t="s">
        <v>25</v>
      </c>
      <c r="C79" s="99">
        <v>80000</v>
      </c>
      <c r="D79" s="99">
        <v>10000</v>
      </c>
      <c r="E79" s="99">
        <f t="shared" si="12"/>
        <v>1200</v>
      </c>
      <c r="F79" s="99">
        <f t="shared" si="13"/>
        <v>11200</v>
      </c>
      <c r="G79" s="99"/>
      <c r="H79" s="99"/>
      <c r="I79" s="100"/>
      <c r="J79" s="101"/>
      <c r="L79" s="98" t="s">
        <v>25</v>
      </c>
      <c r="M79" s="99">
        <v>80000</v>
      </c>
      <c r="N79" s="99">
        <v>10000</v>
      </c>
      <c r="O79" s="99">
        <f t="shared" si="14"/>
        <v>1200</v>
      </c>
      <c r="P79" s="99">
        <f t="shared" si="15"/>
        <v>11200</v>
      </c>
      <c r="Q79" s="99"/>
      <c r="R79" s="99"/>
      <c r="S79" s="100"/>
      <c r="T79" s="101"/>
    </row>
    <row r="80" spans="2:20" ht="15" thickBot="1" x14ac:dyDescent="0.35">
      <c r="B80" s="98" t="s">
        <v>26</v>
      </c>
      <c r="C80" s="99">
        <v>70000</v>
      </c>
      <c r="D80" s="99">
        <v>10000</v>
      </c>
      <c r="E80" s="99">
        <f t="shared" si="12"/>
        <v>1050</v>
      </c>
      <c r="F80" s="99">
        <f t="shared" si="13"/>
        <v>11050</v>
      </c>
      <c r="G80" s="99"/>
      <c r="H80" s="99"/>
      <c r="I80" s="100"/>
      <c r="J80" s="101"/>
      <c r="L80" s="98" t="s">
        <v>26</v>
      </c>
      <c r="M80" s="99">
        <v>70000</v>
      </c>
      <c r="N80" s="99">
        <v>10000</v>
      </c>
      <c r="O80" s="99">
        <f t="shared" si="14"/>
        <v>1050</v>
      </c>
      <c r="P80" s="99">
        <f t="shared" si="15"/>
        <v>11050</v>
      </c>
      <c r="Q80" s="99"/>
      <c r="R80" s="99"/>
      <c r="S80" s="100"/>
      <c r="T80" s="101"/>
    </row>
    <row r="81" spans="2:20" x14ac:dyDescent="0.3">
      <c r="B81" s="98" t="s">
        <v>27</v>
      </c>
      <c r="C81" s="99">
        <v>60000</v>
      </c>
      <c r="D81" s="95">
        <v>10000</v>
      </c>
      <c r="E81" s="99">
        <f t="shared" si="12"/>
        <v>900</v>
      </c>
      <c r="F81" s="99">
        <f t="shared" si="13"/>
        <v>10900</v>
      </c>
      <c r="G81" s="99"/>
      <c r="H81" s="99"/>
      <c r="I81" s="100"/>
      <c r="J81" s="101"/>
      <c r="L81" s="98" t="s">
        <v>27</v>
      </c>
      <c r="M81" s="99">
        <v>60000</v>
      </c>
      <c r="N81" s="95">
        <v>10000</v>
      </c>
      <c r="O81" s="99">
        <f t="shared" si="14"/>
        <v>900</v>
      </c>
      <c r="P81" s="99">
        <f t="shared" si="15"/>
        <v>10900</v>
      </c>
      <c r="Q81" s="99"/>
      <c r="R81" s="99"/>
      <c r="S81" s="100"/>
      <c r="T81" s="101"/>
    </row>
    <row r="82" spans="2:20" x14ac:dyDescent="0.3">
      <c r="B82" s="98" t="s">
        <v>28</v>
      </c>
      <c r="C82" s="99">
        <v>50000</v>
      </c>
      <c r="D82" s="99">
        <v>10000</v>
      </c>
      <c r="E82" s="99">
        <f t="shared" si="12"/>
        <v>750</v>
      </c>
      <c r="F82" s="99">
        <f t="shared" si="13"/>
        <v>10750</v>
      </c>
      <c r="G82" s="99"/>
      <c r="H82" s="99"/>
      <c r="I82" s="100"/>
      <c r="J82" s="101"/>
      <c r="L82" s="98" t="s">
        <v>28</v>
      </c>
      <c r="M82" s="99">
        <v>50000</v>
      </c>
      <c r="N82" s="99">
        <v>10000</v>
      </c>
      <c r="O82" s="99">
        <f t="shared" si="14"/>
        <v>750</v>
      </c>
      <c r="P82" s="99">
        <f t="shared" si="15"/>
        <v>10750</v>
      </c>
      <c r="Q82" s="99"/>
      <c r="R82" s="99"/>
      <c r="S82" s="100"/>
      <c r="T82" s="101"/>
    </row>
    <row r="83" spans="2:20" ht="15" thickBot="1" x14ac:dyDescent="0.35">
      <c r="B83" s="98" t="s">
        <v>29</v>
      </c>
      <c r="C83" s="99">
        <v>40000</v>
      </c>
      <c r="D83" s="99">
        <v>10000</v>
      </c>
      <c r="E83" s="99">
        <f t="shared" si="12"/>
        <v>600</v>
      </c>
      <c r="F83" s="99">
        <f t="shared" si="13"/>
        <v>10600</v>
      </c>
      <c r="G83" s="99"/>
      <c r="H83" s="99"/>
      <c r="I83" s="100"/>
      <c r="J83" s="101"/>
      <c r="L83" s="98" t="s">
        <v>29</v>
      </c>
      <c r="M83" s="99">
        <v>40000</v>
      </c>
      <c r="N83" s="99">
        <v>10000</v>
      </c>
      <c r="O83" s="99">
        <f t="shared" si="14"/>
        <v>600</v>
      </c>
      <c r="P83" s="99">
        <f t="shared" si="15"/>
        <v>10600</v>
      </c>
      <c r="Q83" s="99"/>
      <c r="R83" s="99"/>
      <c r="S83" s="100"/>
      <c r="T83" s="101"/>
    </row>
    <row r="84" spans="2:20" x14ac:dyDescent="0.3">
      <c r="B84" s="98" t="s">
        <v>30</v>
      </c>
      <c r="C84" s="99">
        <v>30000</v>
      </c>
      <c r="D84" s="95">
        <v>10000</v>
      </c>
      <c r="E84" s="99">
        <f t="shared" si="12"/>
        <v>450</v>
      </c>
      <c r="F84" s="99">
        <f t="shared" si="13"/>
        <v>10450</v>
      </c>
      <c r="G84" s="99"/>
      <c r="H84" s="99"/>
      <c r="I84" s="100"/>
      <c r="J84" s="101"/>
      <c r="L84" s="98" t="s">
        <v>30</v>
      </c>
      <c r="M84" s="99">
        <v>30000</v>
      </c>
      <c r="N84" s="95">
        <v>10000</v>
      </c>
      <c r="O84" s="99">
        <f t="shared" si="14"/>
        <v>450</v>
      </c>
      <c r="P84" s="99">
        <f t="shared" si="15"/>
        <v>10450</v>
      </c>
      <c r="Q84" s="99"/>
      <c r="R84" s="99"/>
      <c r="S84" s="100"/>
      <c r="T84" s="101"/>
    </row>
    <row r="85" spans="2:20" x14ac:dyDescent="0.3">
      <c r="B85" s="98" t="s">
        <v>31</v>
      </c>
      <c r="C85" s="99">
        <v>20000</v>
      </c>
      <c r="D85" s="99">
        <v>10000</v>
      </c>
      <c r="E85" s="99">
        <f t="shared" si="12"/>
        <v>300</v>
      </c>
      <c r="F85" s="99">
        <f t="shared" si="13"/>
        <v>10300</v>
      </c>
      <c r="G85" s="99"/>
      <c r="H85" s="99"/>
      <c r="I85" s="100"/>
      <c r="J85" s="101"/>
      <c r="L85" s="98" t="s">
        <v>31</v>
      </c>
      <c r="M85" s="99">
        <v>20000</v>
      </c>
      <c r="N85" s="99">
        <v>10000</v>
      </c>
      <c r="O85" s="99">
        <f t="shared" si="14"/>
        <v>300</v>
      </c>
      <c r="P85" s="99">
        <f t="shared" si="15"/>
        <v>10300</v>
      </c>
      <c r="Q85" s="99"/>
      <c r="R85" s="99"/>
      <c r="S85" s="100"/>
      <c r="T85" s="101"/>
    </row>
    <row r="86" spans="2:20" x14ac:dyDescent="0.3">
      <c r="B86" s="98" t="s">
        <v>32</v>
      </c>
      <c r="C86" s="99">
        <v>10000</v>
      </c>
      <c r="D86" s="99">
        <v>10000</v>
      </c>
      <c r="E86" s="99">
        <f t="shared" si="12"/>
        <v>150</v>
      </c>
      <c r="F86" s="99">
        <f t="shared" si="13"/>
        <v>10150</v>
      </c>
      <c r="G86" s="99"/>
      <c r="H86" s="99"/>
      <c r="I86" s="100"/>
      <c r="J86" s="101" t="s">
        <v>42</v>
      </c>
      <c r="L86" s="98" t="s">
        <v>32</v>
      </c>
      <c r="M86" s="99">
        <v>10000</v>
      </c>
      <c r="N86" s="99">
        <v>10000</v>
      </c>
      <c r="O86" s="99">
        <f t="shared" si="14"/>
        <v>150</v>
      </c>
      <c r="P86" s="99">
        <f t="shared" si="15"/>
        <v>10150</v>
      </c>
      <c r="Q86" s="99"/>
      <c r="R86" s="99"/>
      <c r="S86" s="100"/>
      <c r="T86" s="101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B8F9E-A3E2-4D8A-BFC1-5D89E6DA37FD}">
  <dimension ref="B1:T26"/>
  <sheetViews>
    <sheetView topLeftCell="A4" workbookViewId="0">
      <selection activeCell="F6" sqref="F6:F26"/>
    </sheetView>
  </sheetViews>
  <sheetFormatPr defaultRowHeight="14.4" x14ac:dyDescent="0.3"/>
  <cols>
    <col min="1" max="1" width="1" customWidth="1"/>
  </cols>
  <sheetData>
    <row r="1" spans="2:20" x14ac:dyDescent="0.3">
      <c r="B1" s="77" t="s">
        <v>0</v>
      </c>
      <c r="C1" s="77" t="s">
        <v>216</v>
      </c>
      <c r="D1" s="112"/>
      <c r="E1" s="112"/>
      <c r="F1" s="79"/>
      <c r="G1" s="80"/>
      <c r="I1" s="81" t="s">
        <v>1</v>
      </c>
      <c r="J1" s="82">
        <v>30000</v>
      </c>
      <c r="L1" s="77" t="s">
        <v>0</v>
      </c>
      <c r="M1" s="77" t="s">
        <v>216</v>
      </c>
      <c r="N1" s="112"/>
      <c r="O1" s="112"/>
      <c r="P1" s="79"/>
      <c r="Q1" s="80"/>
      <c r="S1" s="81" t="s">
        <v>1</v>
      </c>
      <c r="T1" s="82">
        <v>30000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215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215</v>
      </c>
    </row>
    <row r="3" spans="2:20" x14ac:dyDescent="0.3">
      <c r="B3" s="77" t="s">
        <v>4</v>
      </c>
      <c r="C3" s="78"/>
      <c r="D3" s="79"/>
      <c r="E3" s="78"/>
      <c r="F3" s="81"/>
      <c r="G3" s="81"/>
      <c r="H3" s="81"/>
      <c r="I3" s="81" t="s">
        <v>5</v>
      </c>
      <c r="J3" s="86">
        <v>1.4999999999999999E-2</v>
      </c>
      <c r="L3" s="77" t="s">
        <v>4</v>
      </c>
      <c r="M3" s="78"/>
      <c r="N3" s="79"/>
      <c r="O3" s="78"/>
      <c r="P3" s="81"/>
      <c r="Q3" s="81"/>
      <c r="R3" s="81"/>
      <c r="S3" s="81" t="s">
        <v>5</v>
      </c>
      <c r="T3" s="86">
        <v>1.4999999999999999E-2</v>
      </c>
    </row>
    <row r="4" spans="2:20" ht="15" thickBot="1" x14ac:dyDescent="0.35">
      <c r="B4" s="77" t="s">
        <v>6</v>
      </c>
      <c r="C4" s="87"/>
      <c r="D4" s="87"/>
      <c r="E4" s="88"/>
      <c r="F4" s="88"/>
      <c r="G4" s="88"/>
      <c r="H4" s="88"/>
      <c r="I4" s="88" t="s">
        <v>7</v>
      </c>
      <c r="J4" s="78">
        <v>20</v>
      </c>
      <c r="L4" s="77" t="s">
        <v>6</v>
      </c>
      <c r="M4" s="87"/>
      <c r="N4" s="87"/>
      <c r="O4" s="88"/>
      <c r="P4" s="88"/>
      <c r="Q4" s="88"/>
      <c r="R4" s="88"/>
      <c r="S4" s="88" t="s">
        <v>7</v>
      </c>
      <c r="T4" s="78">
        <v>20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v>30000</v>
      </c>
      <c r="D6" s="95">
        <f>J1/J4</f>
        <v>1500</v>
      </c>
      <c r="E6" s="95">
        <f t="shared" ref="E6:E25" si="0">(C6*0.015)</f>
        <v>450</v>
      </c>
      <c r="F6" s="95">
        <f t="shared" ref="F6:F25" si="1">SUM(D6:E6)</f>
        <v>1950</v>
      </c>
      <c r="G6" s="95">
        <v>1950</v>
      </c>
      <c r="H6" s="95"/>
      <c r="I6" s="96"/>
      <c r="J6" s="97"/>
      <c r="L6" s="94" t="s">
        <v>17</v>
      </c>
      <c r="M6" s="95">
        <v>30000</v>
      </c>
      <c r="N6" s="95">
        <f>T1/T4</f>
        <v>1500</v>
      </c>
      <c r="O6" s="95">
        <f t="shared" ref="O6:O25" si="2">(M6*0.015)</f>
        <v>450</v>
      </c>
      <c r="P6" s="95">
        <f t="shared" ref="P6:P25" si="3">SUM(N6:O6)</f>
        <v>1950</v>
      </c>
      <c r="Q6" s="95"/>
      <c r="R6" s="95"/>
      <c r="S6" s="96"/>
      <c r="T6" s="97"/>
    </row>
    <row r="7" spans="2:20" x14ac:dyDescent="0.3">
      <c r="B7" s="98" t="s">
        <v>18</v>
      </c>
      <c r="C7" s="99">
        <v>28500</v>
      </c>
      <c r="D7" s="99">
        <v>1500</v>
      </c>
      <c r="E7" s="99">
        <f t="shared" si="0"/>
        <v>427.5</v>
      </c>
      <c r="F7" s="99">
        <f t="shared" si="1"/>
        <v>1927.5</v>
      </c>
      <c r="G7" s="99">
        <v>1928</v>
      </c>
      <c r="H7" s="99"/>
      <c r="I7" s="100"/>
      <c r="J7" s="101"/>
      <c r="L7" s="98" t="s">
        <v>18</v>
      </c>
      <c r="M7" s="99">
        <v>28500</v>
      </c>
      <c r="N7" s="99">
        <v>1500</v>
      </c>
      <c r="O7" s="99">
        <f t="shared" si="2"/>
        <v>427.5</v>
      </c>
      <c r="P7" s="99">
        <f t="shared" si="3"/>
        <v>1927.5</v>
      </c>
      <c r="Q7" s="99"/>
      <c r="R7" s="99"/>
      <c r="S7" s="100"/>
      <c r="T7" s="101"/>
    </row>
    <row r="8" spans="2:20" x14ac:dyDescent="0.3">
      <c r="B8" s="98" t="s">
        <v>19</v>
      </c>
      <c r="C8" s="99">
        <v>27000</v>
      </c>
      <c r="D8" s="99">
        <v>1500</v>
      </c>
      <c r="E8" s="99">
        <f t="shared" si="0"/>
        <v>405</v>
      </c>
      <c r="F8" s="99">
        <f t="shared" si="1"/>
        <v>1905</v>
      </c>
      <c r="G8" s="99">
        <v>1905</v>
      </c>
      <c r="H8" s="99"/>
      <c r="I8" s="100"/>
      <c r="J8" s="101"/>
      <c r="L8" s="98" t="s">
        <v>19</v>
      </c>
      <c r="M8" s="99">
        <v>27000</v>
      </c>
      <c r="N8" s="99">
        <v>1500</v>
      </c>
      <c r="O8" s="99">
        <f t="shared" si="2"/>
        <v>405</v>
      </c>
      <c r="P8" s="99">
        <f t="shared" si="3"/>
        <v>1905</v>
      </c>
      <c r="Q8" s="99"/>
      <c r="R8" s="99"/>
      <c r="S8" s="100"/>
      <c r="T8" s="101"/>
    </row>
    <row r="9" spans="2:20" ht="15" thickBot="1" x14ac:dyDescent="0.35">
      <c r="B9" s="98" t="s">
        <v>20</v>
      </c>
      <c r="C9" s="99">
        <v>25500</v>
      </c>
      <c r="D9" s="99">
        <v>1500</v>
      </c>
      <c r="E9" s="99">
        <f t="shared" si="0"/>
        <v>382.5</v>
      </c>
      <c r="F9" s="99">
        <f t="shared" si="1"/>
        <v>1882.5</v>
      </c>
      <c r="G9" s="99">
        <v>1883</v>
      </c>
      <c r="H9" s="99"/>
      <c r="I9" s="100"/>
      <c r="J9" s="101"/>
      <c r="L9" s="98" t="s">
        <v>20</v>
      </c>
      <c r="M9" s="99">
        <v>25500</v>
      </c>
      <c r="N9" s="99">
        <v>1500</v>
      </c>
      <c r="O9" s="99">
        <f t="shared" si="2"/>
        <v>382.5</v>
      </c>
      <c r="P9" s="99">
        <f t="shared" si="3"/>
        <v>1882.5</v>
      </c>
      <c r="Q9" s="99"/>
      <c r="R9" s="99"/>
      <c r="S9" s="100"/>
      <c r="T9" s="101"/>
    </row>
    <row r="10" spans="2:20" x14ac:dyDescent="0.3">
      <c r="B10" s="98" t="s">
        <v>21</v>
      </c>
      <c r="C10" s="99">
        <v>24000</v>
      </c>
      <c r="D10" s="95">
        <v>1500</v>
      </c>
      <c r="E10" s="99">
        <f t="shared" si="0"/>
        <v>360</v>
      </c>
      <c r="F10" s="99">
        <f t="shared" si="1"/>
        <v>1860</v>
      </c>
      <c r="G10" s="99">
        <v>3698</v>
      </c>
      <c r="H10" s="99"/>
      <c r="I10" s="100"/>
      <c r="J10" s="101"/>
      <c r="L10" s="98" t="s">
        <v>21</v>
      </c>
      <c r="M10" s="99">
        <v>24000</v>
      </c>
      <c r="N10" s="95">
        <v>1500</v>
      </c>
      <c r="O10" s="99">
        <f t="shared" si="2"/>
        <v>360</v>
      </c>
      <c r="P10" s="99">
        <f t="shared" si="3"/>
        <v>1860</v>
      </c>
      <c r="Q10" s="99"/>
      <c r="R10" s="99"/>
      <c r="S10" s="100"/>
      <c r="T10" s="101"/>
    </row>
    <row r="11" spans="2:20" ht="15" thickBot="1" x14ac:dyDescent="0.35">
      <c r="B11" s="98" t="s">
        <v>23</v>
      </c>
      <c r="C11" s="99">
        <v>22500</v>
      </c>
      <c r="D11" s="99">
        <v>1500</v>
      </c>
      <c r="E11" s="99">
        <f t="shared" si="0"/>
        <v>337.5</v>
      </c>
      <c r="F11" s="99">
        <f t="shared" si="1"/>
        <v>1837.5</v>
      </c>
      <c r="G11" s="99">
        <v>3608</v>
      </c>
      <c r="H11" s="99"/>
      <c r="I11" s="100"/>
      <c r="J11" s="101"/>
      <c r="L11" s="98" t="s">
        <v>23</v>
      </c>
      <c r="M11" s="99">
        <v>22500</v>
      </c>
      <c r="N11" s="99">
        <v>1500</v>
      </c>
      <c r="O11" s="99">
        <f t="shared" si="2"/>
        <v>337.5</v>
      </c>
      <c r="P11" s="99">
        <f t="shared" si="3"/>
        <v>1837.5</v>
      </c>
      <c r="Q11" s="99"/>
      <c r="R11" s="99"/>
      <c r="S11" s="100"/>
      <c r="T11" s="101"/>
    </row>
    <row r="12" spans="2:20" x14ac:dyDescent="0.3">
      <c r="B12" s="98" t="s">
        <v>24</v>
      </c>
      <c r="C12" s="99">
        <v>21000</v>
      </c>
      <c r="D12" s="95">
        <v>1500</v>
      </c>
      <c r="E12" s="99">
        <f t="shared" si="0"/>
        <v>315</v>
      </c>
      <c r="F12" s="99">
        <f t="shared" si="1"/>
        <v>1815</v>
      </c>
      <c r="G12" s="99">
        <v>3518</v>
      </c>
      <c r="H12" s="99"/>
      <c r="I12" s="100"/>
      <c r="J12" s="101"/>
      <c r="L12" s="98" t="s">
        <v>24</v>
      </c>
      <c r="M12" s="99">
        <v>21000</v>
      </c>
      <c r="N12" s="95">
        <v>1500</v>
      </c>
      <c r="O12" s="99">
        <f t="shared" si="2"/>
        <v>315</v>
      </c>
      <c r="P12" s="99">
        <f t="shared" si="3"/>
        <v>1815</v>
      </c>
      <c r="Q12" s="99"/>
      <c r="R12" s="99"/>
      <c r="S12" s="100"/>
      <c r="T12" s="101"/>
    </row>
    <row r="13" spans="2:20" x14ac:dyDescent="0.3">
      <c r="B13" s="98" t="s">
        <v>25</v>
      </c>
      <c r="C13" s="99">
        <v>19500</v>
      </c>
      <c r="D13" s="99">
        <v>1500</v>
      </c>
      <c r="E13" s="99">
        <f t="shared" si="0"/>
        <v>292.5</v>
      </c>
      <c r="F13" s="99">
        <f t="shared" si="1"/>
        <v>1792.5</v>
      </c>
      <c r="G13" s="99"/>
      <c r="H13" s="99"/>
      <c r="I13" s="100"/>
      <c r="J13" s="101"/>
      <c r="L13" s="98" t="s">
        <v>25</v>
      </c>
      <c r="M13" s="99">
        <v>19500</v>
      </c>
      <c r="N13" s="99">
        <v>1500</v>
      </c>
      <c r="O13" s="99">
        <f t="shared" si="2"/>
        <v>292.5</v>
      </c>
      <c r="P13" s="99">
        <f t="shared" si="3"/>
        <v>1792.5</v>
      </c>
      <c r="Q13" s="99"/>
      <c r="R13" s="99"/>
      <c r="S13" s="100"/>
      <c r="T13" s="101"/>
    </row>
    <row r="14" spans="2:20" x14ac:dyDescent="0.3">
      <c r="B14" s="98" t="s">
        <v>26</v>
      </c>
      <c r="C14" s="99">
        <v>18000</v>
      </c>
      <c r="D14" s="99">
        <v>1500</v>
      </c>
      <c r="E14" s="99">
        <f t="shared" si="0"/>
        <v>270</v>
      </c>
      <c r="F14" s="99">
        <f t="shared" si="1"/>
        <v>1770</v>
      </c>
      <c r="G14" s="99"/>
      <c r="H14" s="99"/>
      <c r="I14" s="100"/>
      <c r="J14" s="101"/>
      <c r="L14" s="98" t="s">
        <v>26</v>
      </c>
      <c r="M14" s="99">
        <v>18000</v>
      </c>
      <c r="N14" s="99">
        <v>1500</v>
      </c>
      <c r="O14" s="99">
        <f t="shared" si="2"/>
        <v>270</v>
      </c>
      <c r="P14" s="99">
        <f t="shared" si="3"/>
        <v>1770</v>
      </c>
      <c r="Q14" s="99"/>
      <c r="R14" s="99"/>
      <c r="S14" s="100"/>
      <c r="T14" s="101"/>
    </row>
    <row r="15" spans="2:20" ht="15" thickBot="1" x14ac:dyDescent="0.35">
      <c r="B15" s="98" t="s">
        <v>27</v>
      </c>
      <c r="C15" s="99">
        <v>16500</v>
      </c>
      <c r="D15" s="99">
        <v>1500</v>
      </c>
      <c r="E15" s="99">
        <f t="shared" si="0"/>
        <v>247.5</v>
      </c>
      <c r="F15" s="99">
        <f t="shared" si="1"/>
        <v>1747.5</v>
      </c>
      <c r="G15" s="99"/>
      <c r="H15" s="99"/>
      <c r="I15" s="100"/>
      <c r="J15" s="101"/>
      <c r="L15" s="98" t="s">
        <v>27</v>
      </c>
      <c r="M15" s="99">
        <v>16500</v>
      </c>
      <c r="N15" s="99">
        <v>1500</v>
      </c>
      <c r="O15" s="99">
        <f t="shared" si="2"/>
        <v>247.5</v>
      </c>
      <c r="P15" s="99">
        <f t="shared" si="3"/>
        <v>1747.5</v>
      </c>
      <c r="Q15" s="99"/>
      <c r="R15" s="99"/>
      <c r="S15" s="100"/>
      <c r="T15" s="101"/>
    </row>
    <row r="16" spans="2:20" x14ac:dyDescent="0.3">
      <c r="B16" s="98" t="s">
        <v>28</v>
      </c>
      <c r="C16" s="99">
        <v>15000</v>
      </c>
      <c r="D16" s="95">
        <v>1500</v>
      </c>
      <c r="E16" s="99">
        <f t="shared" si="0"/>
        <v>225</v>
      </c>
      <c r="F16" s="99">
        <f t="shared" si="1"/>
        <v>1725</v>
      </c>
      <c r="G16" s="99"/>
      <c r="H16" s="99"/>
      <c r="I16" s="100"/>
      <c r="J16" s="101"/>
      <c r="L16" s="98" t="s">
        <v>28</v>
      </c>
      <c r="M16" s="99">
        <v>15000</v>
      </c>
      <c r="N16" s="95">
        <v>1500</v>
      </c>
      <c r="O16" s="99">
        <f t="shared" si="2"/>
        <v>225</v>
      </c>
      <c r="P16" s="99">
        <f t="shared" si="3"/>
        <v>1725</v>
      </c>
      <c r="Q16" s="99"/>
      <c r="R16" s="99"/>
      <c r="S16" s="100"/>
      <c r="T16" s="101"/>
    </row>
    <row r="17" spans="2:20" x14ac:dyDescent="0.3">
      <c r="B17" s="98" t="s">
        <v>29</v>
      </c>
      <c r="C17" s="99">
        <v>13500</v>
      </c>
      <c r="D17" s="99">
        <v>1500</v>
      </c>
      <c r="E17" s="99">
        <f t="shared" si="0"/>
        <v>202.5</v>
      </c>
      <c r="F17" s="99">
        <f t="shared" si="1"/>
        <v>1702.5</v>
      </c>
      <c r="G17" s="99"/>
      <c r="H17" s="99"/>
      <c r="I17" s="100"/>
      <c r="J17" s="101"/>
      <c r="L17" s="98" t="s">
        <v>29</v>
      </c>
      <c r="M17" s="99">
        <v>13500</v>
      </c>
      <c r="N17" s="99">
        <v>1500</v>
      </c>
      <c r="O17" s="99">
        <f t="shared" si="2"/>
        <v>202.5</v>
      </c>
      <c r="P17" s="99">
        <f t="shared" si="3"/>
        <v>1702.5</v>
      </c>
      <c r="Q17" s="99"/>
      <c r="R17" s="99"/>
      <c r="S17" s="100"/>
      <c r="T17" s="101"/>
    </row>
    <row r="18" spans="2:20" x14ac:dyDescent="0.3">
      <c r="B18" s="98" t="s">
        <v>30</v>
      </c>
      <c r="C18" s="99">
        <v>12000</v>
      </c>
      <c r="D18" s="99">
        <v>1500</v>
      </c>
      <c r="E18" s="99">
        <f t="shared" si="0"/>
        <v>180</v>
      </c>
      <c r="F18" s="99">
        <f t="shared" si="1"/>
        <v>1680</v>
      </c>
      <c r="G18" s="99"/>
      <c r="H18" s="99"/>
      <c r="I18" s="100"/>
      <c r="J18" s="101"/>
      <c r="L18" s="98" t="s">
        <v>30</v>
      </c>
      <c r="M18" s="99">
        <v>12000</v>
      </c>
      <c r="N18" s="99">
        <v>1500</v>
      </c>
      <c r="O18" s="99">
        <f t="shared" si="2"/>
        <v>180</v>
      </c>
      <c r="P18" s="99">
        <f t="shared" si="3"/>
        <v>1680</v>
      </c>
      <c r="Q18" s="99"/>
      <c r="R18" s="99"/>
      <c r="S18" s="100"/>
      <c r="T18" s="101"/>
    </row>
    <row r="19" spans="2:20" ht="15" thickBot="1" x14ac:dyDescent="0.35">
      <c r="B19" s="98" t="s">
        <v>31</v>
      </c>
      <c r="C19" s="99">
        <v>10500</v>
      </c>
      <c r="D19" s="99">
        <v>1500</v>
      </c>
      <c r="E19" s="99">
        <f t="shared" si="0"/>
        <v>157.5</v>
      </c>
      <c r="F19" s="99">
        <f t="shared" si="1"/>
        <v>1657.5</v>
      </c>
      <c r="G19" s="99"/>
      <c r="H19" s="99"/>
      <c r="I19" s="100"/>
      <c r="J19" s="101"/>
      <c r="L19" s="98" t="s">
        <v>31</v>
      </c>
      <c r="M19" s="99">
        <v>10500</v>
      </c>
      <c r="N19" s="99">
        <v>1500</v>
      </c>
      <c r="O19" s="99">
        <f t="shared" si="2"/>
        <v>157.5</v>
      </c>
      <c r="P19" s="99">
        <f t="shared" si="3"/>
        <v>1657.5</v>
      </c>
      <c r="Q19" s="99"/>
      <c r="R19" s="99"/>
      <c r="S19" s="100"/>
      <c r="T19" s="101"/>
    </row>
    <row r="20" spans="2:20" x14ac:dyDescent="0.3">
      <c r="B20" s="98" t="s">
        <v>32</v>
      </c>
      <c r="C20" s="99">
        <v>9000</v>
      </c>
      <c r="D20" s="95">
        <v>1500</v>
      </c>
      <c r="E20" s="99">
        <f t="shared" si="0"/>
        <v>135</v>
      </c>
      <c r="F20" s="99">
        <f t="shared" si="1"/>
        <v>1635</v>
      </c>
      <c r="G20" s="99"/>
      <c r="H20" s="99"/>
      <c r="I20" s="100"/>
      <c r="J20" s="101"/>
      <c r="L20" s="98" t="s">
        <v>32</v>
      </c>
      <c r="M20" s="99">
        <v>9000</v>
      </c>
      <c r="N20" s="95">
        <v>1500</v>
      </c>
      <c r="O20" s="99">
        <f t="shared" si="2"/>
        <v>135</v>
      </c>
      <c r="P20" s="99">
        <f t="shared" si="3"/>
        <v>1635</v>
      </c>
      <c r="Q20" s="99"/>
      <c r="R20" s="99"/>
      <c r="S20" s="100"/>
      <c r="T20" s="101"/>
    </row>
    <row r="21" spans="2:20" ht="15" thickBot="1" x14ac:dyDescent="0.35">
      <c r="B21" s="98" t="s">
        <v>33</v>
      </c>
      <c r="C21" s="99">
        <v>7500</v>
      </c>
      <c r="D21" s="99">
        <v>1500</v>
      </c>
      <c r="E21" s="99">
        <f t="shared" si="0"/>
        <v>112.5</v>
      </c>
      <c r="F21" s="99">
        <f t="shared" si="1"/>
        <v>1612.5</v>
      </c>
      <c r="G21" s="99"/>
      <c r="H21" s="99"/>
      <c r="I21" s="100"/>
      <c r="J21" s="101"/>
      <c r="L21" s="98" t="s">
        <v>33</v>
      </c>
      <c r="M21" s="99">
        <v>7500</v>
      </c>
      <c r="N21" s="99">
        <v>1500</v>
      </c>
      <c r="O21" s="99">
        <f t="shared" si="2"/>
        <v>112.5</v>
      </c>
      <c r="P21" s="99">
        <f t="shared" si="3"/>
        <v>1612.5</v>
      </c>
      <c r="Q21" s="99"/>
      <c r="R21" s="99"/>
      <c r="S21" s="100"/>
      <c r="T21" s="101"/>
    </row>
    <row r="22" spans="2:20" x14ac:dyDescent="0.3">
      <c r="B22" s="98" t="s">
        <v>34</v>
      </c>
      <c r="C22" s="99">
        <v>6000</v>
      </c>
      <c r="D22" s="95">
        <v>1500</v>
      </c>
      <c r="E22" s="99">
        <f t="shared" si="0"/>
        <v>90</v>
      </c>
      <c r="F22" s="99">
        <f t="shared" si="1"/>
        <v>1590</v>
      </c>
      <c r="G22" s="99"/>
      <c r="H22" s="99"/>
      <c r="I22" s="100"/>
      <c r="J22" s="101"/>
      <c r="L22" s="98" t="s">
        <v>34</v>
      </c>
      <c r="M22" s="99">
        <v>6000</v>
      </c>
      <c r="N22" s="95">
        <v>1500</v>
      </c>
      <c r="O22" s="99">
        <f t="shared" si="2"/>
        <v>90</v>
      </c>
      <c r="P22" s="99">
        <f t="shared" si="3"/>
        <v>1590</v>
      </c>
      <c r="Q22" s="99"/>
      <c r="R22" s="99"/>
      <c r="S22" s="100"/>
      <c r="T22" s="101"/>
    </row>
    <row r="23" spans="2:20" x14ac:dyDescent="0.3">
      <c r="B23" s="98" t="s">
        <v>35</v>
      </c>
      <c r="C23" s="99">
        <v>4500</v>
      </c>
      <c r="D23" s="99">
        <v>1500</v>
      </c>
      <c r="E23" s="99">
        <f t="shared" si="0"/>
        <v>67.5</v>
      </c>
      <c r="F23" s="99">
        <f t="shared" si="1"/>
        <v>1567.5</v>
      </c>
      <c r="G23" s="99"/>
      <c r="H23" s="99"/>
      <c r="I23" s="100"/>
      <c r="J23" s="101"/>
      <c r="L23" s="98" t="s">
        <v>35</v>
      </c>
      <c r="M23" s="99">
        <v>4500</v>
      </c>
      <c r="N23" s="99">
        <v>1500</v>
      </c>
      <c r="O23" s="99">
        <f t="shared" si="2"/>
        <v>67.5</v>
      </c>
      <c r="P23" s="99">
        <f t="shared" si="3"/>
        <v>1567.5</v>
      </c>
      <c r="Q23" s="99"/>
      <c r="R23" s="99"/>
      <c r="S23" s="100"/>
      <c r="T23" s="101"/>
    </row>
    <row r="24" spans="2:20" x14ac:dyDescent="0.3">
      <c r="B24" s="98" t="s">
        <v>36</v>
      </c>
      <c r="C24" s="99">
        <v>3000</v>
      </c>
      <c r="D24" s="99">
        <v>1500</v>
      </c>
      <c r="E24" s="99">
        <f t="shared" si="0"/>
        <v>45</v>
      </c>
      <c r="F24" s="99">
        <f t="shared" si="1"/>
        <v>1545</v>
      </c>
      <c r="G24" s="99"/>
      <c r="H24" s="99"/>
      <c r="I24" s="100"/>
      <c r="J24" s="101"/>
      <c r="L24" s="98" t="s">
        <v>36</v>
      </c>
      <c r="M24" s="99">
        <v>3000</v>
      </c>
      <c r="N24" s="99">
        <v>1500</v>
      </c>
      <c r="O24" s="99">
        <f t="shared" si="2"/>
        <v>45</v>
      </c>
      <c r="P24" s="99">
        <f t="shared" si="3"/>
        <v>1545</v>
      </c>
      <c r="Q24" s="99"/>
      <c r="R24" s="99"/>
      <c r="S24" s="100"/>
      <c r="T24" s="101"/>
    </row>
    <row r="25" spans="2:20" x14ac:dyDescent="0.3">
      <c r="B25" s="98" t="s">
        <v>37</v>
      </c>
      <c r="C25" s="99">
        <v>1500</v>
      </c>
      <c r="D25" s="99">
        <v>1500</v>
      </c>
      <c r="E25" s="99">
        <f t="shared" si="0"/>
        <v>22.5</v>
      </c>
      <c r="F25" s="99">
        <f t="shared" si="1"/>
        <v>1522.5</v>
      </c>
      <c r="G25" s="99"/>
      <c r="H25" s="99"/>
      <c r="I25" s="100"/>
      <c r="J25" s="101" t="s">
        <v>42</v>
      </c>
      <c r="L25" s="98" t="s">
        <v>37</v>
      </c>
      <c r="M25" s="99">
        <v>1500</v>
      </c>
      <c r="N25" s="99">
        <v>1500</v>
      </c>
      <c r="O25" s="99">
        <f t="shared" si="2"/>
        <v>22.5</v>
      </c>
      <c r="P25" s="99">
        <f t="shared" si="3"/>
        <v>1522.5</v>
      </c>
      <c r="Q25" s="99"/>
      <c r="R25" s="99"/>
      <c r="S25" s="100"/>
      <c r="T25" s="101" t="s">
        <v>42</v>
      </c>
    </row>
    <row r="26" spans="2:20" x14ac:dyDescent="0.3">
      <c r="F26" s="38">
        <f>SUM(F6:F25)</f>
        <v>34725</v>
      </c>
      <c r="G26" s="38">
        <f>SUM(G6:G25)</f>
        <v>18490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5392-DC0A-469B-BBBB-DBE1B8BD2438}">
  <dimension ref="B1:T12"/>
  <sheetViews>
    <sheetView workbookViewId="0">
      <selection activeCell="J17" sqref="J17"/>
    </sheetView>
  </sheetViews>
  <sheetFormatPr defaultRowHeight="14.4" x14ac:dyDescent="0.3"/>
  <cols>
    <col min="1" max="1" width="2.33203125" customWidth="1"/>
  </cols>
  <sheetData>
    <row r="1" spans="2:20" x14ac:dyDescent="0.3">
      <c r="B1" s="77" t="s">
        <v>0</v>
      </c>
      <c r="C1" s="229" t="s">
        <v>167</v>
      </c>
      <c r="D1" s="229"/>
      <c r="E1" s="229"/>
      <c r="F1" s="79"/>
      <c r="G1" s="80"/>
      <c r="H1" s="231" t="s">
        <v>1</v>
      </c>
      <c r="I1" s="231"/>
      <c r="J1" s="82">
        <v>7000</v>
      </c>
      <c r="L1" s="77" t="s">
        <v>0</v>
      </c>
      <c r="M1" s="229" t="s">
        <v>167</v>
      </c>
      <c r="N1" s="229"/>
      <c r="O1" s="229"/>
      <c r="P1" s="79"/>
      <c r="Q1" s="80"/>
      <c r="R1" s="231" t="s">
        <v>1</v>
      </c>
      <c r="S1" s="231"/>
      <c r="T1" s="82">
        <v>7000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196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196</v>
      </c>
    </row>
    <row r="3" spans="2:20" x14ac:dyDescent="0.3">
      <c r="B3" s="77" t="s">
        <v>4</v>
      </c>
      <c r="C3" s="78"/>
      <c r="D3" s="79"/>
      <c r="E3" s="78"/>
      <c r="F3" s="81" t="s">
        <v>5</v>
      </c>
      <c r="G3" s="81"/>
      <c r="H3" s="81"/>
      <c r="I3" s="81"/>
      <c r="J3" s="86">
        <v>1.4999999999999999E-2</v>
      </c>
      <c r="L3" s="77" t="s">
        <v>4</v>
      </c>
      <c r="M3" s="78"/>
      <c r="N3" s="79"/>
      <c r="O3" s="78"/>
      <c r="P3" s="81" t="s">
        <v>5</v>
      </c>
      <c r="Q3" s="81"/>
      <c r="R3" s="81"/>
      <c r="S3" s="81"/>
      <c r="T3" s="86">
        <v>1.4999999999999999E-2</v>
      </c>
    </row>
    <row r="4" spans="2:20" ht="15" thickBot="1" x14ac:dyDescent="0.35">
      <c r="B4" s="77" t="s">
        <v>6</v>
      </c>
      <c r="C4" s="87"/>
      <c r="D4" s="87"/>
      <c r="E4" s="88" t="s">
        <v>7</v>
      </c>
      <c r="F4" s="88"/>
      <c r="G4" s="88"/>
      <c r="H4" s="88"/>
      <c r="I4" s="88"/>
      <c r="J4" s="78">
        <v>7</v>
      </c>
      <c r="L4" s="77" t="s">
        <v>6</v>
      </c>
      <c r="M4" s="87"/>
      <c r="N4" s="87"/>
      <c r="O4" s="88" t="s">
        <v>7</v>
      </c>
      <c r="P4" s="88"/>
      <c r="Q4" s="88"/>
      <c r="R4" s="88"/>
      <c r="S4" s="88"/>
      <c r="T4" s="78">
        <v>7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138">
        <f>J1</f>
        <v>7000</v>
      </c>
      <c r="D6" s="95">
        <f>J1/J4</f>
        <v>1000</v>
      </c>
      <c r="E6" s="95">
        <f t="shared" ref="E6:E12" si="0">(C6*0.015)</f>
        <v>105</v>
      </c>
      <c r="F6" s="95">
        <f t="shared" ref="F6:F12" si="1">SUM(D6:E6)</f>
        <v>1105</v>
      </c>
      <c r="G6" s="95"/>
      <c r="H6" s="95"/>
      <c r="I6" s="96"/>
      <c r="J6" s="97"/>
      <c r="L6" s="94" t="s">
        <v>17</v>
      </c>
      <c r="M6" s="138">
        <f>T1</f>
        <v>7000</v>
      </c>
      <c r="N6" s="95">
        <f>T1/T4</f>
        <v>1000</v>
      </c>
      <c r="O6" s="95">
        <f t="shared" ref="O6:O12" si="2">(M6*0.015)</f>
        <v>105</v>
      </c>
      <c r="P6" s="95">
        <f t="shared" ref="P6:P12" si="3">SUM(N6:O6)</f>
        <v>1105</v>
      </c>
      <c r="Q6" s="95"/>
      <c r="R6" s="95"/>
      <c r="S6" s="96"/>
      <c r="T6" s="97"/>
    </row>
    <row r="7" spans="2:20" x14ac:dyDescent="0.3">
      <c r="B7" s="98" t="s">
        <v>18</v>
      </c>
      <c r="C7" s="142">
        <v>6000</v>
      </c>
      <c r="D7" s="99">
        <v>1000</v>
      </c>
      <c r="E7" s="99">
        <f t="shared" si="0"/>
        <v>90</v>
      </c>
      <c r="F7" s="99">
        <f t="shared" si="1"/>
        <v>1090</v>
      </c>
      <c r="G7" s="99"/>
      <c r="H7" s="99"/>
      <c r="I7" s="100"/>
      <c r="J7" s="101"/>
      <c r="L7" s="98" t="s">
        <v>18</v>
      </c>
      <c r="M7" s="142">
        <v>6000</v>
      </c>
      <c r="N7" s="99">
        <v>1000</v>
      </c>
      <c r="O7" s="99">
        <f t="shared" si="2"/>
        <v>90</v>
      </c>
      <c r="P7" s="99">
        <f t="shared" si="3"/>
        <v>1090</v>
      </c>
      <c r="Q7" s="99"/>
      <c r="R7" s="99"/>
      <c r="S7" s="100"/>
      <c r="T7" s="101"/>
    </row>
    <row r="8" spans="2:20" x14ac:dyDescent="0.3">
      <c r="B8" s="98" t="s">
        <v>19</v>
      </c>
      <c r="C8" s="139">
        <v>5000</v>
      </c>
      <c r="D8" s="99">
        <v>1000</v>
      </c>
      <c r="E8" s="99">
        <f t="shared" si="0"/>
        <v>75</v>
      </c>
      <c r="F8" s="99">
        <f t="shared" si="1"/>
        <v>1075</v>
      </c>
      <c r="G8" s="99"/>
      <c r="H8" s="99"/>
      <c r="I8" s="100"/>
      <c r="J8" s="101"/>
      <c r="L8" s="98" t="s">
        <v>19</v>
      </c>
      <c r="M8" s="139">
        <v>5000</v>
      </c>
      <c r="N8" s="99">
        <v>1000</v>
      </c>
      <c r="O8" s="99">
        <f t="shared" si="2"/>
        <v>75</v>
      </c>
      <c r="P8" s="99">
        <f t="shared" si="3"/>
        <v>1075</v>
      </c>
      <c r="Q8" s="99"/>
      <c r="R8" s="99"/>
      <c r="S8" s="100"/>
      <c r="T8" s="101"/>
    </row>
    <row r="9" spans="2:20" x14ac:dyDescent="0.3">
      <c r="B9" s="98" t="s">
        <v>20</v>
      </c>
      <c r="C9" s="139">
        <v>4000</v>
      </c>
      <c r="D9" s="99">
        <v>1000</v>
      </c>
      <c r="E9" s="99">
        <f t="shared" si="0"/>
        <v>60</v>
      </c>
      <c r="F9" s="99">
        <f t="shared" si="1"/>
        <v>1060</v>
      </c>
      <c r="G9" s="99"/>
      <c r="H9" s="99"/>
      <c r="I9" s="100"/>
      <c r="J9" s="101"/>
      <c r="L9" s="98" t="s">
        <v>20</v>
      </c>
      <c r="M9" s="139">
        <v>4000</v>
      </c>
      <c r="N9" s="99">
        <v>1000</v>
      </c>
      <c r="O9" s="99">
        <f t="shared" si="2"/>
        <v>60</v>
      </c>
      <c r="P9" s="99">
        <f t="shared" si="3"/>
        <v>1060</v>
      </c>
      <c r="Q9" s="99"/>
      <c r="R9" s="99"/>
      <c r="S9" s="100"/>
      <c r="T9" s="101"/>
    </row>
    <row r="10" spans="2:20" x14ac:dyDescent="0.3">
      <c r="B10" s="98" t="s">
        <v>21</v>
      </c>
      <c r="C10" s="137">
        <v>3000</v>
      </c>
      <c r="D10" s="99">
        <v>1000</v>
      </c>
      <c r="E10" s="99">
        <f t="shared" si="0"/>
        <v>45</v>
      </c>
      <c r="F10" s="99">
        <f t="shared" si="1"/>
        <v>1045</v>
      </c>
      <c r="G10" s="99"/>
      <c r="H10" s="99"/>
      <c r="I10" s="100"/>
      <c r="J10" s="101"/>
      <c r="L10" s="98" t="s">
        <v>21</v>
      </c>
      <c r="M10" s="137">
        <v>3000</v>
      </c>
      <c r="N10" s="99">
        <v>1000</v>
      </c>
      <c r="O10" s="99">
        <f t="shared" si="2"/>
        <v>45</v>
      </c>
      <c r="P10" s="99">
        <f t="shared" si="3"/>
        <v>1045</v>
      </c>
      <c r="Q10" s="99"/>
      <c r="R10" s="99"/>
      <c r="S10" s="100"/>
      <c r="T10" s="101"/>
    </row>
    <row r="11" spans="2:20" x14ac:dyDescent="0.3">
      <c r="B11" s="98" t="s">
        <v>23</v>
      </c>
      <c r="C11" s="139">
        <v>2000</v>
      </c>
      <c r="D11" s="99">
        <v>1000</v>
      </c>
      <c r="E11" s="99">
        <f t="shared" si="0"/>
        <v>30</v>
      </c>
      <c r="F11" s="99">
        <f t="shared" si="1"/>
        <v>1030</v>
      </c>
      <c r="G11" s="99"/>
      <c r="H11" s="99"/>
      <c r="I11" s="100"/>
      <c r="J11" s="101"/>
      <c r="L11" s="98" t="s">
        <v>23</v>
      </c>
      <c r="M11" s="139">
        <v>2000</v>
      </c>
      <c r="N11" s="99">
        <v>1000</v>
      </c>
      <c r="O11" s="99">
        <f t="shared" si="2"/>
        <v>30</v>
      </c>
      <c r="P11" s="99">
        <f t="shared" si="3"/>
        <v>1030</v>
      </c>
      <c r="Q11" s="99"/>
      <c r="R11" s="99"/>
      <c r="S11" s="100"/>
      <c r="T11" s="101"/>
    </row>
    <row r="12" spans="2:20" x14ac:dyDescent="0.3">
      <c r="B12" s="98" t="s">
        <v>24</v>
      </c>
      <c r="C12" s="139">
        <v>1000</v>
      </c>
      <c r="D12" s="99">
        <v>1000</v>
      </c>
      <c r="E12" s="99">
        <f t="shared" si="0"/>
        <v>15</v>
      </c>
      <c r="F12" s="99">
        <f t="shared" si="1"/>
        <v>1015</v>
      </c>
      <c r="G12" s="99"/>
      <c r="H12" s="99"/>
      <c r="I12" s="100"/>
      <c r="J12" s="101" t="s">
        <v>42</v>
      </c>
      <c r="L12" s="98" t="s">
        <v>24</v>
      </c>
      <c r="M12" s="139">
        <v>1000</v>
      </c>
      <c r="N12" s="99">
        <v>1000</v>
      </c>
      <c r="O12" s="99">
        <f t="shared" si="2"/>
        <v>15</v>
      </c>
      <c r="P12" s="99">
        <f t="shared" si="3"/>
        <v>1015</v>
      </c>
      <c r="Q12" s="99"/>
      <c r="R12" s="99"/>
      <c r="S12" s="100"/>
      <c r="T12" s="101" t="s">
        <v>42</v>
      </c>
    </row>
  </sheetData>
  <mergeCells count="4">
    <mergeCell ref="C1:E1"/>
    <mergeCell ref="H1:I1"/>
    <mergeCell ref="M1:O1"/>
    <mergeCell ref="R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3CA8-CBA0-4A7B-9FBB-DBC78EE9C609}">
  <dimension ref="B1:T91"/>
  <sheetViews>
    <sheetView topLeftCell="A12" workbookViewId="0">
      <selection activeCell="A25" sqref="A25:T34"/>
    </sheetView>
  </sheetViews>
  <sheetFormatPr defaultRowHeight="14.4" x14ac:dyDescent="0.3"/>
  <cols>
    <col min="1" max="1" width="0.6640625" customWidth="1"/>
    <col min="2" max="2" width="11.5546875" customWidth="1"/>
    <col min="11" max="11" width="6.33203125" customWidth="1"/>
    <col min="12" max="12" width="11.44140625" customWidth="1"/>
  </cols>
  <sheetData>
    <row r="1" spans="2:20" x14ac:dyDescent="0.3">
      <c r="B1" s="77" t="s">
        <v>0</v>
      </c>
      <c r="C1" s="229" t="s">
        <v>143</v>
      </c>
      <c r="D1" s="230"/>
      <c r="E1" s="230"/>
      <c r="F1" s="117"/>
      <c r="G1" s="123"/>
      <c r="H1" s="231" t="s">
        <v>1</v>
      </c>
      <c r="I1" s="231"/>
      <c r="J1" s="82">
        <v>100000</v>
      </c>
      <c r="L1" s="77" t="s">
        <v>0</v>
      </c>
      <c r="M1" s="229" t="s">
        <v>143</v>
      </c>
      <c r="N1" s="230"/>
      <c r="O1" s="230"/>
      <c r="P1" s="117"/>
      <c r="Q1" s="123"/>
      <c r="R1" s="231" t="s">
        <v>1</v>
      </c>
      <c r="S1" s="231"/>
      <c r="T1" s="82">
        <v>100000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235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235</v>
      </c>
    </row>
    <row r="3" spans="2:20" x14ac:dyDescent="0.3">
      <c r="B3" s="77" t="s">
        <v>4</v>
      </c>
      <c r="C3" s="78"/>
      <c r="D3" s="79"/>
      <c r="E3" s="78"/>
      <c r="F3" s="231" t="s">
        <v>5</v>
      </c>
      <c r="G3" s="231"/>
      <c r="H3" s="231"/>
      <c r="I3" s="231"/>
      <c r="J3" s="86">
        <v>1.4999999999999999E-2</v>
      </c>
      <c r="L3" s="77" t="s">
        <v>4</v>
      </c>
      <c r="M3" s="78"/>
      <c r="N3" s="79"/>
      <c r="O3" s="78"/>
      <c r="P3" s="231" t="s">
        <v>5</v>
      </c>
      <c r="Q3" s="231"/>
      <c r="R3" s="231"/>
      <c r="S3" s="231"/>
      <c r="T3" s="86">
        <v>1.4999999999999999E-2</v>
      </c>
    </row>
    <row r="4" spans="2:20" ht="15" thickBot="1" x14ac:dyDescent="0.35">
      <c r="B4" s="77" t="s">
        <v>6</v>
      </c>
      <c r="C4" s="232"/>
      <c r="D4" s="232"/>
      <c r="E4" s="233" t="s">
        <v>7</v>
      </c>
      <c r="F4" s="233"/>
      <c r="G4" s="233"/>
      <c r="H4" s="233"/>
      <c r="I4" s="233"/>
      <c r="J4" s="78">
        <v>5</v>
      </c>
      <c r="L4" s="77" t="s">
        <v>6</v>
      </c>
      <c r="M4" s="232"/>
      <c r="N4" s="232"/>
      <c r="O4" s="233" t="s">
        <v>7</v>
      </c>
      <c r="P4" s="233"/>
      <c r="Q4" s="233"/>
      <c r="R4" s="233"/>
      <c r="S4" s="233"/>
      <c r="T4" s="78">
        <v>5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162" t="s">
        <v>17</v>
      </c>
      <c r="C6" s="138">
        <f>J1</f>
        <v>100000</v>
      </c>
      <c r="D6" s="95">
        <f>J1/J4</f>
        <v>20000</v>
      </c>
      <c r="E6" s="95">
        <f>(C6*0.015)</f>
        <v>1500</v>
      </c>
      <c r="F6" s="95">
        <f>SUM(D6:E6)</f>
        <v>21500</v>
      </c>
      <c r="G6" s="95"/>
      <c r="H6" s="95"/>
      <c r="I6" s="96"/>
      <c r="J6" s="97"/>
      <c r="L6" s="162" t="s">
        <v>17</v>
      </c>
      <c r="M6" s="138">
        <f>T1</f>
        <v>100000</v>
      </c>
      <c r="N6" s="95">
        <f>T1/T4</f>
        <v>20000</v>
      </c>
      <c r="O6" s="95">
        <f>(M6*0.015)</f>
        <v>1500</v>
      </c>
      <c r="P6" s="95">
        <f>SUM(N6:O6)</f>
        <v>21500</v>
      </c>
      <c r="Q6" s="95"/>
      <c r="R6" s="95"/>
      <c r="S6" s="96"/>
      <c r="T6" s="97"/>
    </row>
    <row r="7" spans="2:20" x14ac:dyDescent="0.3">
      <c r="B7" s="163" t="s">
        <v>18</v>
      </c>
      <c r="C7" s="139">
        <v>80000</v>
      </c>
      <c r="D7" s="99">
        <v>20000</v>
      </c>
      <c r="E7" s="99">
        <f>(C7*0.015)</f>
        <v>1200</v>
      </c>
      <c r="F7" s="99">
        <f>SUM(D7:E7)</f>
        <v>21200</v>
      </c>
      <c r="G7" s="99"/>
      <c r="H7" s="99"/>
      <c r="I7" s="100"/>
      <c r="J7" s="101"/>
      <c r="L7" s="163" t="s">
        <v>18</v>
      </c>
      <c r="M7" s="139">
        <v>80000</v>
      </c>
      <c r="N7" s="99">
        <v>20000</v>
      </c>
      <c r="O7" s="99">
        <f>(M7*0.015)</f>
        <v>1200</v>
      </c>
      <c r="P7" s="99">
        <f>SUM(N7:O7)</f>
        <v>21200</v>
      </c>
      <c r="Q7" s="99"/>
      <c r="R7" s="99"/>
      <c r="S7" s="100"/>
      <c r="T7" s="101"/>
    </row>
    <row r="8" spans="2:20" x14ac:dyDescent="0.3">
      <c r="B8" s="163" t="s">
        <v>19</v>
      </c>
      <c r="C8" s="139">
        <v>60000</v>
      </c>
      <c r="D8" s="99">
        <v>20000</v>
      </c>
      <c r="E8" s="99">
        <f>(C8*0.015)</f>
        <v>900</v>
      </c>
      <c r="F8" s="99">
        <f>SUM(D8:E8)</f>
        <v>20900</v>
      </c>
      <c r="G8" s="99"/>
      <c r="H8" s="99"/>
      <c r="I8" s="100"/>
      <c r="J8" s="101"/>
      <c r="L8" s="163" t="s">
        <v>19</v>
      </c>
      <c r="M8" s="139">
        <v>60000</v>
      </c>
      <c r="N8" s="99">
        <v>20000</v>
      </c>
      <c r="O8" s="99">
        <f>(M8*0.015)</f>
        <v>900</v>
      </c>
      <c r="P8" s="99">
        <f>SUM(N8:O8)</f>
        <v>20900</v>
      </c>
      <c r="Q8" s="99"/>
      <c r="R8" s="99"/>
      <c r="S8" s="100"/>
      <c r="T8" s="101"/>
    </row>
    <row r="9" spans="2:20" x14ac:dyDescent="0.3">
      <c r="B9" s="163" t="s">
        <v>20</v>
      </c>
      <c r="C9" s="139">
        <v>40000</v>
      </c>
      <c r="D9" s="99">
        <v>20000</v>
      </c>
      <c r="E9" s="99">
        <f>(C9*0.015)</f>
        <v>600</v>
      </c>
      <c r="F9" s="99">
        <f>SUM(D9:E9)</f>
        <v>20600</v>
      </c>
      <c r="G9" s="99"/>
      <c r="H9" s="99"/>
      <c r="I9" s="100"/>
      <c r="J9" s="101"/>
      <c r="L9" s="163" t="s">
        <v>20</v>
      </c>
      <c r="M9" s="139">
        <v>40000</v>
      </c>
      <c r="N9" s="99">
        <v>20000</v>
      </c>
      <c r="O9" s="99">
        <f>(M9*0.015)</f>
        <v>600</v>
      </c>
      <c r="P9" s="99">
        <f>SUM(N9:O9)</f>
        <v>20600</v>
      </c>
      <c r="Q9" s="99"/>
      <c r="R9" s="99"/>
      <c r="S9" s="100"/>
      <c r="T9" s="101"/>
    </row>
    <row r="10" spans="2:20" x14ac:dyDescent="0.3">
      <c r="B10" s="163" t="s">
        <v>21</v>
      </c>
      <c r="C10" s="137">
        <v>20000</v>
      </c>
      <c r="D10" s="99">
        <v>20000</v>
      </c>
      <c r="E10" s="99">
        <f>(C10*0.015)</f>
        <v>300</v>
      </c>
      <c r="F10" s="99">
        <f>SUM(D10:E10)</f>
        <v>20300</v>
      </c>
      <c r="G10" s="99"/>
      <c r="H10" s="99"/>
      <c r="I10" s="100"/>
      <c r="J10" s="101" t="s">
        <v>42</v>
      </c>
      <c r="L10" s="163" t="s">
        <v>21</v>
      </c>
      <c r="M10" s="137">
        <v>20000</v>
      </c>
      <c r="N10" s="99">
        <v>20000</v>
      </c>
      <c r="O10" s="99">
        <f>(M10*0.015)</f>
        <v>300</v>
      </c>
      <c r="P10" s="99">
        <f>SUM(N10:O10)</f>
        <v>20300</v>
      </c>
      <c r="Q10" s="99"/>
      <c r="R10" s="99"/>
      <c r="S10" s="100"/>
      <c r="T10" s="101" t="s">
        <v>42</v>
      </c>
    </row>
    <row r="13" spans="2:20" x14ac:dyDescent="0.3">
      <c r="B13" s="77" t="s">
        <v>0</v>
      </c>
      <c r="C13" s="229" t="s">
        <v>141</v>
      </c>
      <c r="D13" s="230"/>
      <c r="E13" s="230"/>
      <c r="F13" s="117" t="s">
        <v>195</v>
      </c>
      <c r="G13" s="123"/>
      <c r="H13" s="231" t="s">
        <v>1</v>
      </c>
      <c r="I13" s="231"/>
      <c r="J13" s="82">
        <v>10000</v>
      </c>
      <c r="L13" s="77" t="s">
        <v>0</v>
      </c>
      <c r="M13" s="229" t="s">
        <v>141</v>
      </c>
      <c r="N13" s="230"/>
      <c r="O13" s="230"/>
      <c r="P13" s="117" t="s">
        <v>195</v>
      </c>
      <c r="Q13" s="123"/>
      <c r="R13" s="231" t="s">
        <v>1</v>
      </c>
      <c r="S13" s="231"/>
      <c r="T13" s="82">
        <v>10000</v>
      </c>
    </row>
    <row r="14" spans="2:20" x14ac:dyDescent="0.3">
      <c r="B14" s="77" t="s">
        <v>2</v>
      </c>
      <c r="C14" s="83"/>
      <c r="D14" s="79"/>
      <c r="E14" s="83"/>
      <c r="F14" s="81"/>
      <c r="G14" s="81"/>
      <c r="H14" s="84"/>
      <c r="I14" s="81" t="s">
        <v>3</v>
      </c>
      <c r="J14" s="85" t="s">
        <v>169</v>
      </c>
      <c r="L14" s="77" t="s">
        <v>2</v>
      </c>
      <c r="M14" s="83"/>
      <c r="N14" s="79"/>
      <c r="O14" s="83"/>
      <c r="P14" s="81"/>
      <c r="Q14" s="81"/>
      <c r="R14" s="84"/>
      <c r="S14" s="81" t="s">
        <v>3</v>
      </c>
      <c r="T14" s="85" t="s">
        <v>169</v>
      </c>
    </row>
    <row r="15" spans="2:20" x14ac:dyDescent="0.3">
      <c r="B15" s="77" t="s">
        <v>4</v>
      </c>
      <c r="C15" s="78"/>
      <c r="D15" s="79"/>
      <c r="E15" s="78"/>
      <c r="F15" s="231" t="s">
        <v>5</v>
      </c>
      <c r="G15" s="231"/>
      <c r="H15" s="231"/>
      <c r="I15" s="231"/>
      <c r="J15" s="86">
        <v>1.4999999999999999E-2</v>
      </c>
      <c r="L15" s="77" t="s">
        <v>4</v>
      </c>
      <c r="M15" s="78"/>
      <c r="N15" s="79"/>
      <c r="O15" s="78"/>
      <c r="P15" s="231" t="s">
        <v>5</v>
      </c>
      <c r="Q15" s="231"/>
      <c r="R15" s="231"/>
      <c r="S15" s="231"/>
      <c r="T15" s="86">
        <v>1.4999999999999999E-2</v>
      </c>
    </row>
    <row r="16" spans="2:20" ht="15" thickBot="1" x14ac:dyDescent="0.35">
      <c r="B16" s="77" t="s">
        <v>6</v>
      </c>
      <c r="C16" s="232"/>
      <c r="D16" s="232"/>
      <c r="E16" s="233" t="s">
        <v>7</v>
      </c>
      <c r="F16" s="233"/>
      <c r="G16" s="233"/>
      <c r="H16" s="233"/>
      <c r="I16" s="233"/>
      <c r="J16" s="78">
        <v>5</v>
      </c>
      <c r="L16" s="77" t="s">
        <v>6</v>
      </c>
      <c r="M16" s="232"/>
      <c r="N16" s="232"/>
      <c r="O16" s="233" t="s">
        <v>7</v>
      </c>
      <c r="P16" s="233"/>
      <c r="Q16" s="233"/>
      <c r="R16" s="233"/>
      <c r="S16" s="233"/>
      <c r="T16" s="78">
        <v>5</v>
      </c>
    </row>
    <row r="17" spans="2:20" ht="41.4" thickBot="1" x14ac:dyDescent="0.35">
      <c r="B17" s="89" t="s">
        <v>8</v>
      </c>
      <c r="C17" s="89" t="s">
        <v>9</v>
      </c>
      <c r="D17" s="89" t="s">
        <v>10</v>
      </c>
      <c r="E17" s="90" t="s">
        <v>11</v>
      </c>
      <c r="F17" s="91" t="s">
        <v>12</v>
      </c>
      <c r="G17" s="92" t="s">
        <v>13</v>
      </c>
      <c r="H17" s="92" t="s">
        <v>14</v>
      </c>
      <c r="I17" s="92" t="s">
        <v>15</v>
      </c>
      <c r="J17" s="93" t="s">
        <v>16</v>
      </c>
      <c r="L17" s="89" t="s">
        <v>8</v>
      </c>
      <c r="M17" s="89" t="s">
        <v>9</v>
      </c>
      <c r="N17" s="89" t="s">
        <v>10</v>
      </c>
      <c r="O17" s="90" t="s">
        <v>11</v>
      </c>
      <c r="P17" s="91" t="s">
        <v>12</v>
      </c>
      <c r="Q17" s="92" t="s">
        <v>13</v>
      </c>
      <c r="R17" s="92" t="s">
        <v>14</v>
      </c>
      <c r="S17" s="92" t="s">
        <v>15</v>
      </c>
      <c r="T17" s="93" t="s">
        <v>16</v>
      </c>
    </row>
    <row r="18" spans="2:20" x14ac:dyDescent="0.3">
      <c r="B18" s="94" t="s">
        <v>17</v>
      </c>
      <c r="C18" s="149">
        <f>J13</f>
        <v>10000</v>
      </c>
      <c r="D18" s="95">
        <f>J13/J16</f>
        <v>2000</v>
      </c>
      <c r="E18" s="95">
        <f>(C18*0.015)</f>
        <v>150</v>
      </c>
      <c r="F18" s="95">
        <f>SUM(D18:E18)</f>
        <v>2150</v>
      </c>
      <c r="G18" s="95"/>
      <c r="H18" s="95"/>
      <c r="I18" s="96"/>
      <c r="J18" s="97"/>
      <c r="L18" s="94" t="s">
        <v>17</v>
      </c>
      <c r="M18" s="149">
        <f>T13</f>
        <v>10000</v>
      </c>
      <c r="N18" s="95">
        <f>T13/T16</f>
        <v>2000</v>
      </c>
      <c r="O18" s="95">
        <f>(M18*0.015)</f>
        <v>150</v>
      </c>
      <c r="P18" s="95">
        <f>SUM(N18:O18)</f>
        <v>2150</v>
      </c>
      <c r="Q18" s="95"/>
      <c r="R18" s="95"/>
      <c r="S18" s="96"/>
      <c r="T18" s="97"/>
    </row>
    <row r="19" spans="2:20" x14ac:dyDescent="0.3">
      <c r="B19" s="98" t="s">
        <v>18</v>
      </c>
      <c r="C19" s="150">
        <v>8000</v>
      </c>
      <c r="D19" s="99">
        <v>2000</v>
      </c>
      <c r="E19" s="99">
        <f>(C19*0.015)</f>
        <v>120</v>
      </c>
      <c r="F19" s="99">
        <f>SUM(D19:E19)</f>
        <v>2120</v>
      </c>
      <c r="G19" s="99"/>
      <c r="H19" s="99"/>
      <c r="I19" s="100"/>
      <c r="J19" s="101"/>
      <c r="L19" s="98" t="s">
        <v>18</v>
      </c>
      <c r="M19" s="150">
        <v>8000</v>
      </c>
      <c r="N19" s="99">
        <v>2000</v>
      </c>
      <c r="O19" s="99">
        <f>(M19*0.015)</f>
        <v>120</v>
      </c>
      <c r="P19" s="99">
        <f>SUM(N19:O19)</f>
        <v>2120</v>
      </c>
      <c r="Q19" s="99"/>
      <c r="R19" s="99"/>
      <c r="S19" s="100"/>
      <c r="T19" s="101"/>
    </row>
    <row r="20" spans="2:20" x14ac:dyDescent="0.3">
      <c r="B20" s="98" t="s">
        <v>19</v>
      </c>
      <c r="C20" s="150">
        <v>6000</v>
      </c>
      <c r="D20" s="99">
        <v>2000</v>
      </c>
      <c r="E20" s="99">
        <f>(C20*0.015)</f>
        <v>90</v>
      </c>
      <c r="F20" s="99">
        <f>SUM(D20:E20)</f>
        <v>2090</v>
      </c>
      <c r="G20" s="99"/>
      <c r="H20" s="99"/>
      <c r="I20" s="100"/>
      <c r="J20" s="101"/>
      <c r="L20" s="98" t="s">
        <v>19</v>
      </c>
      <c r="M20" s="150">
        <v>6000</v>
      </c>
      <c r="N20" s="99">
        <v>2000</v>
      </c>
      <c r="O20" s="99">
        <f>(M20*0.015)</f>
        <v>90</v>
      </c>
      <c r="P20" s="99">
        <f>SUM(N20:O20)</f>
        <v>2090</v>
      </c>
      <c r="Q20" s="99"/>
      <c r="R20" s="99"/>
      <c r="S20" s="100"/>
      <c r="T20" s="101"/>
    </row>
    <row r="21" spans="2:20" x14ac:dyDescent="0.3">
      <c r="B21" s="98" t="s">
        <v>20</v>
      </c>
      <c r="C21" s="150">
        <v>4000</v>
      </c>
      <c r="D21" s="99">
        <v>2000</v>
      </c>
      <c r="E21" s="99">
        <f>(C21*0.015)</f>
        <v>60</v>
      </c>
      <c r="F21" s="99">
        <f>SUM(D21:E21)</f>
        <v>2060</v>
      </c>
      <c r="G21" s="99"/>
      <c r="H21" s="99"/>
      <c r="I21" s="100"/>
      <c r="J21" s="101"/>
      <c r="L21" s="98" t="s">
        <v>20</v>
      </c>
      <c r="M21" s="150">
        <v>4000</v>
      </c>
      <c r="N21" s="99">
        <v>2000</v>
      </c>
      <c r="O21" s="99">
        <f>(M21*0.015)</f>
        <v>60</v>
      </c>
      <c r="P21" s="99">
        <f>SUM(N21:O21)</f>
        <v>2060</v>
      </c>
      <c r="Q21" s="99"/>
      <c r="R21" s="99"/>
      <c r="S21" s="100"/>
      <c r="T21" s="101"/>
    </row>
    <row r="22" spans="2:20" x14ac:dyDescent="0.3">
      <c r="B22" s="98" t="s">
        <v>21</v>
      </c>
      <c r="C22" s="151">
        <v>2000</v>
      </c>
      <c r="D22" s="99">
        <v>2000</v>
      </c>
      <c r="E22" s="99">
        <f>(C22*0.015)</f>
        <v>30</v>
      </c>
      <c r="F22" s="99">
        <f>SUM(D22:E22)</f>
        <v>2030</v>
      </c>
      <c r="G22" s="99"/>
      <c r="H22" s="99"/>
      <c r="I22" s="100"/>
      <c r="J22" s="101" t="s">
        <v>42</v>
      </c>
      <c r="L22" s="98" t="s">
        <v>21</v>
      </c>
      <c r="M22" s="151">
        <v>2000</v>
      </c>
      <c r="N22" s="99">
        <v>2000</v>
      </c>
      <c r="O22" s="99">
        <f>(M22*0.015)</f>
        <v>30</v>
      </c>
      <c r="P22" s="99">
        <f>SUM(N22:O22)</f>
        <v>2030</v>
      </c>
      <c r="Q22" s="99"/>
      <c r="R22" s="99"/>
      <c r="S22" s="100"/>
      <c r="T22" s="101" t="s">
        <v>42</v>
      </c>
    </row>
    <row r="25" spans="2:20" x14ac:dyDescent="0.3">
      <c r="B25" s="77" t="s">
        <v>0</v>
      </c>
      <c r="C25" s="229" t="s">
        <v>321</v>
      </c>
      <c r="D25" s="230"/>
      <c r="E25" s="230"/>
      <c r="F25" s="79"/>
      <c r="G25" s="80"/>
      <c r="H25" s="231" t="s">
        <v>1</v>
      </c>
      <c r="I25" s="231"/>
      <c r="J25" s="82">
        <v>10000</v>
      </c>
      <c r="L25" s="77" t="s">
        <v>0</v>
      </c>
      <c r="M25" s="229" t="s">
        <v>321</v>
      </c>
      <c r="N25" s="230"/>
      <c r="O25" s="230"/>
      <c r="P25" s="79"/>
      <c r="Q25" s="80"/>
      <c r="R25" s="231" t="s">
        <v>1</v>
      </c>
      <c r="S25" s="231"/>
      <c r="T25" s="82">
        <v>10000</v>
      </c>
    </row>
    <row r="26" spans="2:20" x14ac:dyDescent="0.3">
      <c r="B26" s="77" t="s">
        <v>2</v>
      </c>
      <c r="C26" s="83"/>
      <c r="D26" s="79"/>
      <c r="E26" s="83"/>
      <c r="F26" s="81"/>
      <c r="G26" s="81"/>
      <c r="H26" s="84"/>
      <c r="I26" s="81" t="s">
        <v>3</v>
      </c>
      <c r="J26" s="85" t="s">
        <v>322</v>
      </c>
      <c r="L26" s="77" t="s">
        <v>2</v>
      </c>
      <c r="M26" s="83"/>
      <c r="N26" s="79"/>
      <c r="O26" s="83"/>
      <c r="P26" s="81"/>
      <c r="Q26" s="81"/>
      <c r="R26" s="84"/>
      <c r="S26" s="81" t="s">
        <v>3</v>
      </c>
      <c r="T26" s="85" t="s">
        <v>322</v>
      </c>
    </row>
    <row r="27" spans="2:20" x14ac:dyDescent="0.3">
      <c r="B27" s="77" t="s">
        <v>4</v>
      </c>
      <c r="C27" s="78"/>
      <c r="D27" s="79"/>
      <c r="E27" s="78"/>
      <c r="F27" s="231" t="s">
        <v>5</v>
      </c>
      <c r="G27" s="231"/>
      <c r="H27" s="231"/>
      <c r="I27" s="231"/>
      <c r="J27" s="86">
        <v>1.4999999999999999E-2</v>
      </c>
      <c r="L27" s="77" t="s">
        <v>4</v>
      </c>
      <c r="M27" s="78"/>
      <c r="N27" s="79"/>
      <c r="O27" s="78"/>
      <c r="P27" s="231" t="s">
        <v>5</v>
      </c>
      <c r="Q27" s="231"/>
      <c r="R27" s="231"/>
      <c r="S27" s="231"/>
      <c r="T27" s="86">
        <v>1.4999999999999999E-2</v>
      </c>
    </row>
    <row r="28" spans="2:20" ht="15" thickBot="1" x14ac:dyDescent="0.35">
      <c r="B28" s="77" t="s">
        <v>6</v>
      </c>
      <c r="C28" s="232"/>
      <c r="D28" s="232"/>
      <c r="E28" s="233" t="s">
        <v>7</v>
      </c>
      <c r="F28" s="233"/>
      <c r="G28" s="233"/>
      <c r="H28" s="233"/>
      <c r="I28" s="233"/>
      <c r="J28" s="78">
        <v>5</v>
      </c>
      <c r="L28" s="77" t="s">
        <v>6</v>
      </c>
      <c r="M28" s="232"/>
      <c r="N28" s="232"/>
      <c r="O28" s="233" t="s">
        <v>7</v>
      </c>
      <c r="P28" s="233"/>
      <c r="Q28" s="233"/>
      <c r="R28" s="233"/>
      <c r="S28" s="233"/>
      <c r="T28" s="78">
        <v>5</v>
      </c>
    </row>
    <row r="29" spans="2:20" ht="41.4" thickBot="1" x14ac:dyDescent="0.35">
      <c r="B29" s="89" t="s">
        <v>8</v>
      </c>
      <c r="C29" s="89" t="s">
        <v>9</v>
      </c>
      <c r="D29" s="89" t="s">
        <v>10</v>
      </c>
      <c r="E29" s="90" t="s">
        <v>11</v>
      </c>
      <c r="F29" s="91" t="s">
        <v>12</v>
      </c>
      <c r="G29" s="92" t="s">
        <v>13</v>
      </c>
      <c r="H29" s="92" t="s">
        <v>14</v>
      </c>
      <c r="I29" s="92" t="s">
        <v>15</v>
      </c>
      <c r="J29" s="93" t="s">
        <v>16</v>
      </c>
      <c r="L29" s="89" t="s">
        <v>8</v>
      </c>
      <c r="M29" s="89" t="s">
        <v>9</v>
      </c>
      <c r="N29" s="89" t="s">
        <v>10</v>
      </c>
      <c r="O29" s="90" t="s">
        <v>11</v>
      </c>
      <c r="P29" s="91" t="s">
        <v>12</v>
      </c>
      <c r="Q29" s="92" t="s">
        <v>13</v>
      </c>
      <c r="R29" s="92" t="s">
        <v>14</v>
      </c>
      <c r="S29" s="92" t="s">
        <v>15</v>
      </c>
      <c r="T29" s="93" t="s">
        <v>16</v>
      </c>
    </row>
    <row r="30" spans="2:20" x14ac:dyDescent="0.3">
      <c r="B30" s="94" t="s">
        <v>17</v>
      </c>
      <c r="C30" s="95">
        <f>J25</f>
        <v>10000</v>
      </c>
      <c r="D30" s="95">
        <f>J25/J28</f>
        <v>2000</v>
      </c>
      <c r="E30" s="95">
        <f>(C30*0.015)</f>
        <v>150</v>
      </c>
      <c r="F30" s="95">
        <f>SUM(D30:E30)</f>
        <v>2150</v>
      </c>
      <c r="G30" s="95"/>
      <c r="H30" s="95"/>
      <c r="I30" s="96"/>
      <c r="J30" s="97"/>
      <c r="L30" s="94" t="s">
        <v>17</v>
      </c>
      <c r="M30" s="95">
        <f>T25</f>
        <v>10000</v>
      </c>
      <c r="N30" s="95">
        <f>T25/T28</f>
        <v>2000</v>
      </c>
      <c r="O30" s="95">
        <f>(M30*0.015)</f>
        <v>150</v>
      </c>
      <c r="P30" s="95">
        <f>SUM(N30:O30)</f>
        <v>2150</v>
      </c>
      <c r="Q30" s="95"/>
      <c r="R30" s="95"/>
      <c r="S30" s="96"/>
      <c r="T30" s="97"/>
    </row>
    <row r="31" spans="2:20" x14ac:dyDescent="0.3">
      <c r="B31" s="98" t="s">
        <v>18</v>
      </c>
      <c r="C31" s="121">
        <v>8000</v>
      </c>
      <c r="D31" s="99">
        <v>2000</v>
      </c>
      <c r="E31" s="99">
        <f>(C31*0.015)</f>
        <v>120</v>
      </c>
      <c r="F31" s="99">
        <f>SUM(D31:E31)</f>
        <v>2120</v>
      </c>
      <c r="G31" s="99"/>
      <c r="H31" s="99"/>
      <c r="I31" s="100"/>
      <c r="J31" s="101"/>
      <c r="L31" s="98" t="s">
        <v>18</v>
      </c>
      <c r="M31" s="121">
        <v>8000</v>
      </c>
      <c r="N31" s="99">
        <v>2000</v>
      </c>
      <c r="O31" s="99">
        <f>(M31*0.015)</f>
        <v>120</v>
      </c>
      <c r="P31" s="99">
        <f>SUM(N31:O31)</f>
        <v>2120</v>
      </c>
      <c r="Q31" s="99"/>
      <c r="R31" s="99"/>
      <c r="S31" s="100"/>
      <c r="T31" s="101"/>
    </row>
    <row r="32" spans="2:20" x14ac:dyDescent="0.3">
      <c r="B32" s="98" t="s">
        <v>19</v>
      </c>
      <c r="C32" s="121">
        <v>6000</v>
      </c>
      <c r="D32" s="99">
        <v>2000</v>
      </c>
      <c r="E32" s="99">
        <f>(C32*0.015)</f>
        <v>90</v>
      </c>
      <c r="F32" s="99">
        <f>SUM(D32:E32)</f>
        <v>2090</v>
      </c>
      <c r="G32" s="99"/>
      <c r="H32" s="99"/>
      <c r="I32" s="100"/>
      <c r="J32" s="101"/>
      <c r="L32" s="98" t="s">
        <v>19</v>
      </c>
      <c r="M32" s="121">
        <v>6000</v>
      </c>
      <c r="N32" s="99">
        <v>2000</v>
      </c>
      <c r="O32" s="99">
        <f>(M32*0.015)</f>
        <v>90</v>
      </c>
      <c r="P32" s="99">
        <f>SUM(N32:O32)</f>
        <v>2090</v>
      </c>
      <c r="Q32" s="99"/>
      <c r="R32" s="99"/>
      <c r="S32" s="100"/>
      <c r="T32" s="101"/>
    </row>
    <row r="33" spans="2:20" x14ac:dyDescent="0.3">
      <c r="B33" s="98" t="s">
        <v>20</v>
      </c>
      <c r="C33" s="121">
        <v>4000</v>
      </c>
      <c r="D33" s="99">
        <v>2000</v>
      </c>
      <c r="E33" s="99">
        <f>(C33*0.015)</f>
        <v>60</v>
      </c>
      <c r="F33" s="99">
        <f>SUM(D33:E33)</f>
        <v>2060</v>
      </c>
      <c r="G33" s="99"/>
      <c r="H33" s="99"/>
      <c r="I33" s="100"/>
      <c r="J33" s="101"/>
      <c r="L33" s="98" t="s">
        <v>20</v>
      </c>
      <c r="M33" s="121">
        <v>4000</v>
      </c>
      <c r="N33" s="99">
        <v>2000</v>
      </c>
      <c r="O33" s="99">
        <f>(M33*0.015)</f>
        <v>60</v>
      </c>
      <c r="P33" s="99">
        <f>SUM(N33:O33)</f>
        <v>2060</v>
      </c>
      <c r="Q33" s="99"/>
      <c r="R33" s="99"/>
      <c r="S33" s="100"/>
      <c r="T33" s="101"/>
    </row>
    <row r="34" spans="2:20" x14ac:dyDescent="0.3">
      <c r="B34" s="98" t="s">
        <v>21</v>
      </c>
      <c r="C34" s="122">
        <v>2000</v>
      </c>
      <c r="D34" s="99">
        <v>2000</v>
      </c>
      <c r="E34" s="99">
        <f>(C34*0.015)</f>
        <v>30</v>
      </c>
      <c r="F34" s="99">
        <f>SUM(D34:E34)</f>
        <v>2030</v>
      </c>
      <c r="G34" s="99"/>
      <c r="H34" s="99"/>
      <c r="I34" s="100"/>
      <c r="J34" s="101" t="s">
        <v>42</v>
      </c>
      <c r="L34" s="98" t="s">
        <v>21</v>
      </c>
      <c r="M34" s="122">
        <v>2000</v>
      </c>
      <c r="N34" s="99">
        <v>2000</v>
      </c>
      <c r="O34" s="99">
        <f>(M34*0.015)</f>
        <v>30</v>
      </c>
      <c r="P34" s="99">
        <f>SUM(N34:O34)</f>
        <v>2030</v>
      </c>
      <c r="Q34" s="99"/>
      <c r="R34" s="99"/>
      <c r="S34" s="100"/>
      <c r="T34" s="101" t="s">
        <v>42</v>
      </c>
    </row>
    <row r="38" spans="2:20" x14ac:dyDescent="0.3">
      <c r="B38" s="77" t="s">
        <v>0</v>
      </c>
      <c r="C38" s="77" t="s">
        <v>116</v>
      </c>
      <c r="D38" s="112"/>
      <c r="E38" s="112"/>
      <c r="F38" s="117" t="s">
        <v>195</v>
      </c>
      <c r="G38" s="80"/>
      <c r="I38" s="81" t="s">
        <v>1</v>
      </c>
      <c r="J38" s="82">
        <v>5000</v>
      </c>
      <c r="L38" s="77" t="s">
        <v>0</v>
      </c>
      <c r="M38" s="77" t="s">
        <v>116</v>
      </c>
      <c r="N38" s="112"/>
      <c r="O38" s="112"/>
      <c r="P38" s="117" t="s">
        <v>195</v>
      </c>
      <c r="Q38" s="80"/>
      <c r="S38" s="81" t="s">
        <v>1</v>
      </c>
      <c r="T38" s="82">
        <v>5000</v>
      </c>
    </row>
    <row r="39" spans="2:20" x14ac:dyDescent="0.3">
      <c r="B39" s="77" t="s">
        <v>2</v>
      </c>
      <c r="C39" s="83"/>
      <c r="D39" s="79"/>
      <c r="E39" s="83"/>
      <c r="F39" s="81"/>
      <c r="G39" s="81"/>
      <c r="I39" s="81" t="s">
        <v>3</v>
      </c>
      <c r="J39" s="85" t="s">
        <v>241</v>
      </c>
      <c r="L39" s="77" t="s">
        <v>2</v>
      </c>
      <c r="M39" s="83"/>
      <c r="N39" s="79"/>
      <c r="O39" s="83"/>
      <c r="P39" s="81"/>
      <c r="Q39" s="81"/>
      <c r="S39" s="81" t="s">
        <v>3</v>
      </c>
      <c r="T39" s="85" t="s">
        <v>163</v>
      </c>
    </row>
    <row r="40" spans="2:20" x14ac:dyDescent="0.3">
      <c r="B40" s="77" t="s">
        <v>4</v>
      </c>
      <c r="C40" s="78"/>
      <c r="D40" s="79"/>
      <c r="E40" s="78"/>
      <c r="F40" s="81"/>
      <c r="G40" s="81"/>
      <c r="I40" s="81" t="s">
        <v>5</v>
      </c>
      <c r="J40" s="86">
        <v>1.4999999999999999E-2</v>
      </c>
      <c r="L40" s="77" t="s">
        <v>4</v>
      </c>
      <c r="M40" s="78"/>
      <c r="N40" s="79"/>
      <c r="O40" s="78"/>
      <c r="P40" s="81"/>
      <c r="Q40" s="81"/>
      <c r="S40" s="81" t="s">
        <v>5</v>
      </c>
      <c r="T40" s="86">
        <v>1.4999999999999999E-2</v>
      </c>
    </row>
    <row r="41" spans="2:20" ht="15" thickBot="1" x14ac:dyDescent="0.35">
      <c r="B41" s="77" t="s">
        <v>6</v>
      </c>
      <c r="C41" s="87"/>
      <c r="D41" s="87"/>
      <c r="E41" s="88"/>
      <c r="F41" s="88"/>
      <c r="G41" s="88"/>
      <c r="I41" s="88" t="s">
        <v>7</v>
      </c>
      <c r="J41" s="78">
        <v>12</v>
      </c>
      <c r="L41" s="77" t="s">
        <v>6</v>
      </c>
      <c r="M41" s="87"/>
      <c r="N41" s="87"/>
      <c r="O41" s="88"/>
      <c r="P41" s="88"/>
      <c r="Q41" s="88"/>
      <c r="S41" s="88" t="s">
        <v>7</v>
      </c>
      <c r="T41" s="78">
        <v>12</v>
      </c>
    </row>
    <row r="42" spans="2:20" ht="41.4" thickBot="1" x14ac:dyDescent="0.35">
      <c r="B42" s="89" t="s">
        <v>8</v>
      </c>
      <c r="C42" s="89" t="s">
        <v>9</v>
      </c>
      <c r="D42" s="89" t="s">
        <v>10</v>
      </c>
      <c r="E42" s="90" t="s">
        <v>11</v>
      </c>
      <c r="F42" s="91" t="s">
        <v>12</v>
      </c>
      <c r="G42" s="92" t="s">
        <v>13</v>
      </c>
      <c r="H42" s="92" t="s">
        <v>14</v>
      </c>
      <c r="I42" s="92" t="s">
        <v>15</v>
      </c>
      <c r="J42" s="93" t="s">
        <v>16</v>
      </c>
      <c r="L42" s="89" t="s">
        <v>8</v>
      </c>
      <c r="M42" s="89" t="s">
        <v>9</v>
      </c>
      <c r="N42" s="89" t="s">
        <v>10</v>
      </c>
      <c r="O42" s="90" t="s">
        <v>11</v>
      </c>
      <c r="P42" s="91" t="s">
        <v>12</v>
      </c>
      <c r="Q42" s="92" t="s">
        <v>13</v>
      </c>
      <c r="R42" s="92" t="s">
        <v>14</v>
      </c>
      <c r="S42" s="92" t="s">
        <v>15</v>
      </c>
      <c r="T42" s="93" t="s">
        <v>16</v>
      </c>
    </row>
    <row r="43" spans="2:20" x14ac:dyDescent="0.3">
      <c r="B43" s="94" t="s">
        <v>17</v>
      </c>
      <c r="C43" s="95">
        <f>J38</f>
        <v>5000</v>
      </c>
      <c r="D43" s="95">
        <f>J38/J41</f>
        <v>416.66666666666669</v>
      </c>
      <c r="E43" s="95">
        <f t="shared" ref="E43:E54" si="0">(C43*0.015)</f>
        <v>75</v>
      </c>
      <c r="F43" s="95">
        <f t="shared" ref="F43:F54" si="1">SUM(D43:E43)</f>
        <v>491.66666666666669</v>
      </c>
      <c r="G43" s="95"/>
      <c r="H43" s="95"/>
      <c r="I43" s="96"/>
      <c r="J43" s="97"/>
      <c r="L43" s="94" t="s">
        <v>17</v>
      </c>
      <c r="M43" s="95">
        <f>T38</f>
        <v>5000</v>
      </c>
      <c r="N43" s="95">
        <f>T38/T41</f>
        <v>416.66666666666669</v>
      </c>
      <c r="O43" s="95">
        <f t="shared" ref="O43:O54" si="2">(M43*0.015)</f>
        <v>75</v>
      </c>
      <c r="P43" s="95">
        <f t="shared" ref="P43:P54" si="3">SUM(N43:O43)</f>
        <v>491.66666666666669</v>
      </c>
      <c r="Q43" s="95"/>
      <c r="R43" s="95"/>
      <c r="S43" s="96"/>
      <c r="T43" s="97"/>
    </row>
    <row r="44" spans="2:20" x14ac:dyDescent="0.3">
      <c r="B44" s="98" t="s">
        <v>18</v>
      </c>
      <c r="C44" s="99">
        <v>4587</v>
      </c>
      <c r="D44" s="99">
        <v>417</v>
      </c>
      <c r="E44" s="99">
        <f t="shared" si="0"/>
        <v>68.804999999999993</v>
      </c>
      <c r="F44" s="99">
        <f t="shared" si="1"/>
        <v>485.80500000000001</v>
      </c>
      <c r="G44" s="99"/>
      <c r="H44" s="99"/>
      <c r="I44" s="100"/>
      <c r="J44" s="101"/>
      <c r="L44" s="98" t="s">
        <v>18</v>
      </c>
      <c r="M44" s="99">
        <v>4587</v>
      </c>
      <c r="N44" s="99">
        <v>417</v>
      </c>
      <c r="O44" s="99">
        <f t="shared" si="2"/>
        <v>68.804999999999993</v>
      </c>
      <c r="P44" s="99">
        <f t="shared" si="3"/>
        <v>485.80500000000001</v>
      </c>
      <c r="Q44" s="99"/>
      <c r="R44" s="99"/>
      <c r="S44" s="100"/>
      <c r="T44" s="101"/>
    </row>
    <row r="45" spans="2:20" x14ac:dyDescent="0.3">
      <c r="B45" s="98" t="s">
        <v>19</v>
      </c>
      <c r="C45" s="99">
        <v>4170</v>
      </c>
      <c r="D45" s="99">
        <v>417</v>
      </c>
      <c r="E45" s="99">
        <f t="shared" si="0"/>
        <v>62.55</v>
      </c>
      <c r="F45" s="99">
        <f t="shared" si="1"/>
        <v>479.55</v>
      </c>
      <c r="G45" s="99"/>
      <c r="H45" s="99"/>
      <c r="I45" s="100"/>
      <c r="J45" s="101"/>
      <c r="L45" s="98" t="s">
        <v>19</v>
      </c>
      <c r="M45" s="99">
        <v>4170</v>
      </c>
      <c r="N45" s="99">
        <v>417</v>
      </c>
      <c r="O45" s="99">
        <f t="shared" si="2"/>
        <v>62.55</v>
      </c>
      <c r="P45" s="99">
        <f t="shared" si="3"/>
        <v>479.55</v>
      </c>
      <c r="Q45" s="99"/>
      <c r="R45" s="99"/>
      <c r="S45" s="100"/>
      <c r="T45" s="101"/>
    </row>
    <row r="46" spans="2:20" x14ac:dyDescent="0.3">
      <c r="B46" s="98" t="s">
        <v>20</v>
      </c>
      <c r="C46" s="99">
        <v>3753</v>
      </c>
      <c r="D46" s="99">
        <v>417</v>
      </c>
      <c r="E46" s="99">
        <f t="shared" si="0"/>
        <v>56.294999999999995</v>
      </c>
      <c r="F46" s="99">
        <f t="shared" si="1"/>
        <v>473.29500000000002</v>
      </c>
      <c r="G46" s="99"/>
      <c r="H46" s="99"/>
      <c r="I46" s="100"/>
      <c r="J46" s="101"/>
      <c r="L46" s="98" t="s">
        <v>20</v>
      </c>
      <c r="M46" s="99">
        <v>3753</v>
      </c>
      <c r="N46" s="99">
        <v>417</v>
      </c>
      <c r="O46" s="99">
        <f t="shared" si="2"/>
        <v>56.294999999999995</v>
      </c>
      <c r="P46" s="99">
        <f t="shared" si="3"/>
        <v>473.29500000000002</v>
      </c>
      <c r="Q46" s="99"/>
      <c r="R46" s="99"/>
      <c r="S46" s="100"/>
      <c r="T46" s="101"/>
    </row>
    <row r="47" spans="2:20" x14ac:dyDescent="0.3">
      <c r="B47" s="98" t="s">
        <v>21</v>
      </c>
      <c r="C47" s="99">
        <v>3336</v>
      </c>
      <c r="D47" s="99">
        <v>417</v>
      </c>
      <c r="E47" s="99">
        <f t="shared" si="0"/>
        <v>50.04</v>
      </c>
      <c r="F47" s="99">
        <f t="shared" si="1"/>
        <v>467.04</v>
      </c>
      <c r="G47" s="99"/>
      <c r="H47" s="99"/>
      <c r="I47" s="100"/>
      <c r="J47" s="101"/>
      <c r="L47" s="98" t="s">
        <v>21</v>
      </c>
      <c r="M47" s="99">
        <v>3336</v>
      </c>
      <c r="N47" s="99">
        <v>417</v>
      </c>
      <c r="O47" s="99">
        <f t="shared" si="2"/>
        <v>50.04</v>
      </c>
      <c r="P47" s="99">
        <f t="shared" si="3"/>
        <v>467.04</v>
      </c>
      <c r="Q47" s="99"/>
      <c r="R47" s="99"/>
      <c r="S47" s="100"/>
      <c r="T47" s="101"/>
    </row>
    <row r="48" spans="2:20" ht="15" thickBot="1" x14ac:dyDescent="0.35">
      <c r="B48" s="98" t="s">
        <v>23</v>
      </c>
      <c r="C48" s="99">
        <v>2919</v>
      </c>
      <c r="D48" s="99">
        <v>417</v>
      </c>
      <c r="E48" s="99">
        <f t="shared" si="0"/>
        <v>43.784999999999997</v>
      </c>
      <c r="F48" s="99">
        <f t="shared" si="1"/>
        <v>460.78499999999997</v>
      </c>
      <c r="G48" s="99"/>
      <c r="H48" s="99"/>
      <c r="I48" s="100"/>
      <c r="J48" s="101"/>
      <c r="L48" s="98" t="s">
        <v>23</v>
      </c>
      <c r="M48" s="99">
        <v>2919</v>
      </c>
      <c r="N48" s="99">
        <v>417</v>
      </c>
      <c r="O48" s="99">
        <f t="shared" si="2"/>
        <v>43.784999999999997</v>
      </c>
      <c r="P48" s="99">
        <f t="shared" si="3"/>
        <v>460.78499999999997</v>
      </c>
      <c r="Q48" s="99"/>
      <c r="R48" s="99"/>
      <c r="S48" s="100"/>
      <c r="T48" s="101"/>
    </row>
    <row r="49" spans="2:20" x14ac:dyDescent="0.3">
      <c r="B49" s="98" t="s">
        <v>24</v>
      </c>
      <c r="C49" s="99">
        <v>2502</v>
      </c>
      <c r="D49" s="95">
        <v>417</v>
      </c>
      <c r="E49" s="99">
        <f t="shared" si="0"/>
        <v>37.53</v>
      </c>
      <c r="F49" s="99">
        <f t="shared" si="1"/>
        <v>454.53</v>
      </c>
      <c r="G49" s="99"/>
      <c r="H49" s="99"/>
      <c r="I49" s="100"/>
      <c r="J49" s="101"/>
      <c r="L49" s="98" t="s">
        <v>24</v>
      </c>
      <c r="M49" s="99">
        <v>2502</v>
      </c>
      <c r="N49" s="95">
        <v>417</v>
      </c>
      <c r="O49" s="99">
        <f t="shared" si="2"/>
        <v>37.53</v>
      </c>
      <c r="P49" s="99">
        <f t="shared" si="3"/>
        <v>454.53</v>
      </c>
      <c r="Q49" s="99"/>
      <c r="R49" s="99"/>
      <c r="S49" s="100"/>
      <c r="T49" s="101"/>
    </row>
    <row r="50" spans="2:20" x14ac:dyDescent="0.3">
      <c r="B50" s="98" t="s">
        <v>25</v>
      </c>
      <c r="C50" s="99">
        <v>2085</v>
      </c>
      <c r="D50" s="99">
        <v>417</v>
      </c>
      <c r="E50" s="99">
        <f t="shared" si="0"/>
        <v>31.274999999999999</v>
      </c>
      <c r="F50" s="99">
        <f t="shared" si="1"/>
        <v>448.27499999999998</v>
      </c>
      <c r="G50" s="99"/>
      <c r="H50" s="99"/>
      <c r="I50" s="100"/>
      <c r="J50" s="101"/>
      <c r="L50" s="98" t="s">
        <v>25</v>
      </c>
      <c r="M50" s="99">
        <v>2085</v>
      </c>
      <c r="N50" s="99">
        <v>417</v>
      </c>
      <c r="O50" s="99">
        <f t="shared" si="2"/>
        <v>31.274999999999999</v>
      </c>
      <c r="P50" s="99">
        <f t="shared" si="3"/>
        <v>448.27499999999998</v>
      </c>
      <c r="Q50" s="99"/>
      <c r="R50" s="99"/>
      <c r="S50" s="100"/>
      <c r="T50" s="101"/>
    </row>
    <row r="51" spans="2:20" x14ac:dyDescent="0.3">
      <c r="B51" s="98" t="s">
        <v>26</v>
      </c>
      <c r="C51" s="99">
        <v>1668</v>
      </c>
      <c r="D51" s="99">
        <v>417</v>
      </c>
      <c r="E51" s="99">
        <f t="shared" si="0"/>
        <v>25.02</v>
      </c>
      <c r="F51" s="99">
        <f t="shared" si="1"/>
        <v>442.02</v>
      </c>
      <c r="G51" s="99"/>
      <c r="H51" s="99"/>
      <c r="I51" s="100"/>
      <c r="J51" s="101"/>
      <c r="L51" s="98" t="s">
        <v>26</v>
      </c>
      <c r="M51" s="99">
        <v>1668</v>
      </c>
      <c r="N51" s="99">
        <v>417</v>
      </c>
      <c r="O51" s="99">
        <f t="shared" si="2"/>
        <v>25.02</v>
      </c>
      <c r="P51" s="99">
        <f t="shared" si="3"/>
        <v>442.02</v>
      </c>
      <c r="Q51" s="99"/>
      <c r="R51" s="99"/>
      <c r="S51" s="100"/>
      <c r="T51" s="101"/>
    </row>
    <row r="52" spans="2:20" x14ac:dyDescent="0.3">
      <c r="B52" s="98" t="s">
        <v>27</v>
      </c>
      <c r="C52" s="99">
        <v>1251</v>
      </c>
      <c r="D52" s="99">
        <v>417</v>
      </c>
      <c r="E52" s="99">
        <f t="shared" si="0"/>
        <v>18.765000000000001</v>
      </c>
      <c r="F52" s="99">
        <f t="shared" si="1"/>
        <v>435.76499999999999</v>
      </c>
      <c r="G52" s="99"/>
      <c r="H52" s="99"/>
      <c r="I52" s="100"/>
      <c r="J52" s="101"/>
      <c r="L52" s="98" t="s">
        <v>27</v>
      </c>
      <c r="M52" s="99">
        <v>1251</v>
      </c>
      <c r="N52" s="99">
        <v>417</v>
      </c>
      <c r="O52" s="99">
        <f t="shared" si="2"/>
        <v>18.765000000000001</v>
      </c>
      <c r="P52" s="99">
        <f t="shared" si="3"/>
        <v>435.76499999999999</v>
      </c>
      <c r="Q52" s="99"/>
      <c r="R52" s="99"/>
      <c r="S52" s="100"/>
      <c r="T52" s="101"/>
    </row>
    <row r="53" spans="2:20" x14ac:dyDescent="0.3">
      <c r="B53" s="98" t="s">
        <v>28</v>
      </c>
      <c r="C53" s="99">
        <v>834</v>
      </c>
      <c r="D53" s="99">
        <v>417</v>
      </c>
      <c r="E53" s="99">
        <f t="shared" si="0"/>
        <v>12.51</v>
      </c>
      <c r="F53" s="99">
        <f t="shared" si="1"/>
        <v>429.51</v>
      </c>
      <c r="G53" s="99"/>
      <c r="H53" s="99"/>
      <c r="I53" s="100"/>
      <c r="J53" s="101"/>
      <c r="L53" s="98" t="s">
        <v>28</v>
      </c>
      <c r="M53" s="99">
        <v>834</v>
      </c>
      <c r="N53" s="99">
        <v>417</v>
      </c>
      <c r="O53" s="99">
        <f t="shared" si="2"/>
        <v>12.51</v>
      </c>
      <c r="P53" s="99">
        <f t="shared" si="3"/>
        <v>429.51</v>
      </c>
      <c r="Q53" s="99"/>
      <c r="R53" s="99"/>
      <c r="S53" s="100"/>
      <c r="T53" s="101"/>
    </row>
    <row r="54" spans="2:20" x14ac:dyDescent="0.3">
      <c r="B54" s="98" t="s">
        <v>29</v>
      </c>
      <c r="C54" s="99">
        <v>417</v>
      </c>
      <c r="D54" s="99">
        <v>417</v>
      </c>
      <c r="E54" s="99">
        <f t="shared" si="0"/>
        <v>6.2549999999999999</v>
      </c>
      <c r="F54" s="99">
        <f t="shared" si="1"/>
        <v>423.255</v>
      </c>
      <c r="G54" s="99"/>
      <c r="H54" s="99"/>
      <c r="I54" s="100"/>
      <c r="J54" s="101" t="s">
        <v>42</v>
      </c>
      <c r="L54" s="98" t="s">
        <v>29</v>
      </c>
      <c r="M54" s="99">
        <v>417</v>
      </c>
      <c r="N54" s="99">
        <v>417</v>
      </c>
      <c r="O54" s="99">
        <f t="shared" si="2"/>
        <v>6.2549999999999999</v>
      </c>
      <c r="P54" s="99">
        <f t="shared" si="3"/>
        <v>423.255</v>
      </c>
      <c r="Q54" s="99"/>
      <c r="R54" s="99"/>
      <c r="S54" s="100"/>
      <c r="T54" s="101" t="s">
        <v>42</v>
      </c>
    </row>
    <row r="58" spans="2:20" x14ac:dyDescent="0.3">
      <c r="B58" s="77" t="s">
        <v>0</v>
      </c>
      <c r="C58" s="229" t="s">
        <v>108</v>
      </c>
      <c r="D58" s="230"/>
      <c r="E58" s="230"/>
      <c r="F58" s="117"/>
      <c r="G58" s="123"/>
      <c r="H58" s="231" t="s">
        <v>1</v>
      </c>
      <c r="I58" s="231"/>
      <c r="J58" s="82">
        <v>40000</v>
      </c>
      <c r="L58" s="77" t="s">
        <v>0</v>
      </c>
      <c r="M58" s="229" t="s">
        <v>108</v>
      </c>
      <c r="N58" s="230"/>
      <c r="O58" s="230"/>
      <c r="P58" s="117"/>
      <c r="Q58" s="123"/>
      <c r="R58" s="231" t="s">
        <v>1</v>
      </c>
      <c r="S58" s="231"/>
      <c r="T58" s="82">
        <v>40000</v>
      </c>
    </row>
    <row r="59" spans="2:20" x14ac:dyDescent="0.3">
      <c r="B59" s="77" t="s">
        <v>2</v>
      </c>
      <c r="C59" s="83"/>
      <c r="D59" s="79"/>
      <c r="E59" s="83"/>
      <c r="F59" s="81"/>
      <c r="G59" s="81"/>
      <c r="H59" s="84"/>
      <c r="I59" s="81" t="s">
        <v>3</v>
      </c>
      <c r="J59" s="85" t="s">
        <v>242</v>
      </c>
      <c r="L59" s="77" t="s">
        <v>2</v>
      </c>
      <c r="M59" s="83"/>
      <c r="N59" s="79"/>
      <c r="O59" s="83"/>
      <c r="P59" s="81"/>
      <c r="Q59" s="81"/>
      <c r="R59" s="84"/>
      <c r="S59" s="81" t="s">
        <v>3</v>
      </c>
      <c r="T59" s="85" t="s">
        <v>242</v>
      </c>
    </row>
    <row r="60" spans="2:20" x14ac:dyDescent="0.3">
      <c r="B60" s="77" t="s">
        <v>4</v>
      </c>
      <c r="C60" s="78"/>
      <c r="D60" s="79"/>
      <c r="E60" s="78"/>
      <c r="F60" s="231" t="s">
        <v>5</v>
      </c>
      <c r="G60" s="231"/>
      <c r="H60" s="231"/>
      <c r="I60" s="231"/>
      <c r="J60" s="86">
        <v>1.4999999999999999E-2</v>
      </c>
      <c r="L60" s="77" t="s">
        <v>4</v>
      </c>
      <c r="M60" s="78"/>
      <c r="N60" s="79"/>
      <c r="O60" s="78"/>
      <c r="P60" s="231" t="s">
        <v>5</v>
      </c>
      <c r="Q60" s="231"/>
      <c r="R60" s="231"/>
      <c r="S60" s="231"/>
      <c r="T60" s="86">
        <v>1.4999999999999999E-2</v>
      </c>
    </row>
    <row r="61" spans="2:20" ht="15" thickBot="1" x14ac:dyDescent="0.35">
      <c r="B61" s="77" t="s">
        <v>6</v>
      </c>
      <c r="C61" s="232"/>
      <c r="D61" s="232"/>
      <c r="E61" s="233" t="s">
        <v>7</v>
      </c>
      <c r="F61" s="233"/>
      <c r="G61" s="233"/>
      <c r="H61" s="233"/>
      <c r="I61" s="233"/>
      <c r="J61" s="78">
        <v>5</v>
      </c>
      <c r="L61" s="77" t="s">
        <v>6</v>
      </c>
      <c r="M61" s="232"/>
      <c r="N61" s="232"/>
      <c r="O61" s="233" t="s">
        <v>7</v>
      </c>
      <c r="P61" s="233"/>
      <c r="Q61" s="233"/>
      <c r="R61" s="233"/>
      <c r="S61" s="233"/>
      <c r="T61" s="78">
        <v>5</v>
      </c>
    </row>
    <row r="62" spans="2:20" ht="41.4" thickBot="1" x14ac:dyDescent="0.35">
      <c r="B62" s="89" t="s">
        <v>8</v>
      </c>
      <c r="C62" s="89" t="s">
        <v>9</v>
      </c>
      <c r="D62" s="89" t="s">
        <v>10</v>
      </c>
      <c r="E62" s="90" t="s">
        <v>11</v>
      </c>
      <c r="F62" s="91" t="s">
        <v>12</v>
      </c>
      <c r="G62" s="92" t="s">
        <v>13</v>
      </c>
      <c r="H62" s="92" t="s">
        <v>14</v>
      </c>
      <c r="I62" s="92" t="s">
        <v>15</v>
      </c>
      <c r="J62" s="93" t="s">
        <v>16</v>
      </c>
      <c r="L62" s="89" t="s">
        <v>8</v>
      </c>
      <c r="M62" s="89" t="s">
        <v>9</v>
      </c>
      <c r="N62" s="89" t="s">
        <v>10</v>
      </c>
      <c r="O62" s="90" t="s">
        <v>11</v>
      </c>
      <c r="P62" s="91" t="s">
        <v>12</v>
      </c>
      <c r="Q62" s="92" t="s">
        <v>13</v>
      </c>
      <c r="R62" s="92" t="s">
        <v>14</v>
      </c>
      <c r="S62" s="92" t="s">
        <v>15</v>
      </c>
      <c r="T62" s="93" t="s">
        <v>16</v>
      </c>
    </row>
    <row r="63" spans="2:20" x14ac:dyDescent="0.3">
      <c r="B63" s="94" t="s">
        <v>17</v>
      </c>
      <c r="C63" s="149">
        <f>J58</f>
        <v>40000</v>
      </c>
      <c r="D63" s="95">
        <f>J58/J61</f>
        <v>8000</v>
      </c>
      <c r="E63" s="95">
        <f>(C63*0.015)</f>
        <v>600</v>
      </c>
      <c r="F63" s="95">
        <f>SUM(D63:E63)</f>
        <v>8600</v>
      </c>
      <c r="G63" s="95"/>
      <c r="H63" s="95"/>
      <c r="I63" s="96"/>
      <c r="J63" s="97"/>
      <c r="L63" s="94" t="s">
        <v>17</v>
      </c>
      <c r="M63" s="149">
        <f>T58</f>
        <v>40000</v>
      </c>
      <c r="N63" s="95">
        <f>T58/T61</f>
        <v>8000</v>
      </c>
      <c r="O63" s="95">
        <f>(M63*0.015)</f>
        <v>600</v>
      </c>
      <c r="P63" s="95">
        <f>SUM(N63:O63)</f>
        <v>8600</v>
      </c>
      <c r="Q63" s="95"/>
      <c r="R63" s="95"/>
      <c r="S63" s="96"/>
      <c r="T63" s="97"/>
    </row>
    <row r="64" spans="2:20" x14ac:dyDescent="0.3">
      <c r="B64" s="98" t="s">
        <v>18</v>
      </c>
      <c r="C64" s="150">
        <v>32000</v>
      </c>
      <c r="D64" s="99">
        <v>8000</v>
      </c>
      <c r="E64" s="99">
        <f>(C64*0.015)</f>
        <v>480</v>
      </c>
      <c r="F64" s="99">
        <f>SUM(D64:E64)</f>
        <v>8480</v>
      </c>
      <c r="G64" s="99"/>
      <c r="H64" s="99"/>
      <c r="I64" s="100"/>
      <c r="J64" s="101"/>
      <c r="L64" s="98" t="s">
        <v>18</v>
      </c>
      <c r="M64" s="150">
        <v>32000</v>
      </c>
      <c r="N64" s="99">
        <v>8000</v>
      </c>
      <c r="O64" s="99">
        <f>(M64*0.015)</f>
        <v>480</v>
      </c>
      <c r="P64" s="99">
        <f>SUM(N64:O64)</f>
        <v>8480</v>
      </c>
      <c r="Q64" s="99"/>
      <c r="R64" s="99"/>
      <c r="S64" s="100"/>
      <c r="T64" s="101"/>
    </row>
    <row r="65" spans="2:20" x14ac:dyDescent="0.3">
      <c r="B65" s="98" t="s">
        <v>19</v>
      </c>
      <c r="C65" s="150">
        <v>24000</v>
      </c>
      <c r="D65" s="99">
        <v>8000</v>
      </c>
      <c r="E65" s="99">
        <f>(C65*0.015)</f>
        <v>360</v>
      </c>
      <c r="F65" s="99">
        <f>SUM(D65:E65)</f>
        <v>8360</v>
      </c>
      <c r="G65" s="99"/>
      <c r="H65" s="99"/>
      <c r="I65" s="100"/>
      <c r="J65" s="101"/>
      <c r="L65" s="98" t="s">
        <v>19</v>
      </c>
      <c r="M65" s="150">
        <v>24000</v>
      </c>
      <c r="N65" s="99">
        <v>8000</v>
      </c>
      <c r="O65" s="99">
        <f>(M65*0.015)</f>
        <v>360</v>
      </c>
      <c r="P65" s="99">
        <f>SUM(N65:O65)</f>
        <v>8360</v>
      </c>
      <c r="Q65" s="99"/>
      <c r="R65" s="99"/>
      <c r="S65" s="100"/>
      <c r="T65" s="101"/>
    </row>
    <row r="66" spans="2:20" x14ac:dyDescent="0.3">
      <c r="B66" s="98" t="s">
        <v>20</v>
      </c>
      <c r="C66" s="150">
        <v>16000</v>
      </c>
      <c r="D66" s="99">
        <v>8000</v>
      </c>
      <c r="E66" s="99">
        <f>(C66*0.015)</f>
        <v>240</v>
      </c>
      <c r="F66" s="99">
        <f>SUM(D66:E66)</f>
        <v>8240</v>
      </c>
      <c r="G66" s="99"/>
      <c r="H66" s="99"/>
      <c r="I66" s="100"/>
      <c r="J66" s="101"/>
      <c r="L66" s="98" t="s">
        <v>20</v>
      </c>
      <c r="M66" s="150">
        <v>16000</v>
      </c>
      <c r="N66" s="99">
        <v>8000</v>
      </c>
      <c r="O66" s="99">
        <f>(M66*0.015)</f>
        <v>240</v>
      </c>
      <c r="P66" s="99">
        <f>SUM(N66:O66)</f>
        <v>8240</v>
      </c>
      <c r="Q66" s="99"/>
      <c r="R66" s="99"/>
      <c r="S66" s="100"/>
      <c r="T66" s="101"/>
    </row>
    <row r="67" spans="2:20" x14ac:dyDescent="0.3">
      <c r="B67" s="98" t="s">
        <v>21</v>
      </c>
      <c r="C67" s="151">
        <v>8000</v>
      </c>
      <c r="D67" s="99">
        <v>8000</v>
      </c>
      <c r="E67" s="99">
        <f>(C67*0.015)</f>
        <v>120</v>
      </c>
      <c r="F67" s="99">
        <f>SUM(D67:E67)</f>
        <v>8120</v>
      </c>
      <c r="G67" s="99"/>
      <c r="H67" s="99"/>
      <c r="I67" s="100"/>
      <c r="J67" s="101" t="s">
        <v>42</v>
      </c>
      <c r="L67" s="98" t="s">
        <v>21</v>
      </c>
      <c r="M67" s="151">
        <v>8000</v>
      </c>
      <c r="N67" s="99">
        <v>8000</v>
      </c>
      <c r="O67" s="99">
        <f>(M67*0.015)</f>
        <v>120</v>
      </c>
      <c r="P67" s="99">
        <f>SUM(N67:O67)</f>
        <v>8120</v>
      </c>
      <c r="Q67" s="99"/>
      <c r="R67" s="99"/>
      <c r="S67" s="100"/>
      <c r="T67" s="101" t="s">
        <v>42</v>
      </c>
    </row>
    <row r="70" spans="2:20" x14ac:dyDescent="0.3">
      <c r="B70" s="77" t="s">
        <v>0</v>
      </c>
      <c r="C70" s="229" t="s">
        <v>109</v>
      </c>
      <c r="D70" s="230"/>
      <c r="E70" s="230"/>
      <c r="F70" s="117"/>
      <c r="G70" s="123"/>
      <c r="H70" s="231" t="s">
        <v>1</v>
      </c>
      <c r="I70" s="231"/>
      <c r="J70" s="82">
        <v>40000</v>
      </c>
      <c r="L70" s="77" t="s">
        <v>0</v>
      </c>
      <c r="M70" s="229" t="s">
        <v>109</v>
      </c>
      <c r="N70" s="230"/>
      <c r="O70" s="230"/>
      <c r="P70" s="117"/>
      <c r="Q70" s="123"/>
      <c r="R70" s="231" t="s">
        <v>1</v>
      </c>
      <c r="S70" s="231"/>
      <c r="T70" s="82">
        <v>40000</v>
      </c>
    </row>
    <row r="71" spans="2:20" x14ac:dyDescent="0.3">
      <c r="B71" s="77" t="s">
        <v>2</v>
      </c>
      <c r="C71" s="83"/>
      <c r="D71" s="79"/>
      <c r="E71" s="83"/>
      <c r="F71" s="81"/>
      <c r="G71" s="81"/>
      <c r="H71" s="84"/>
      <c r="I71" s="81" t="s">
        <v>3</v>
      </c>
      <c r="J71" s="85" t="s">
        <v>242</v>
      </c>
      <c r="L71" s="77" t="s">
        <v>2</v>
      </c>
      <c r="M71" s="83"/>
      <c r="N71" s="79"/>
      <c r="O71" s="83"/>
      <c r="P71" s="81"/>
      <c r="Q71" s="81"/>
      <c r="R71" s="84"/>
      <c r="S71" s="81" t="s">
        <v>3</v>
      </c>
      <c r="T71" s="85" t="s">
        <v>242</v>
      </c>
    </row>
    <row r="72" spans="2:20" x14ac:dyDescent="0.3">
      <c r="B72" s="77" t="s">
        <v>4</v>
      </c>
      <c r="C72" s="78"/>
      <c r="D72" s="79"/>
      <c r="E72" s="78"/>
      <c r="F72" s="231" t="s">
        <v>5</v>
      </c>
      <c r="G72" s="231"/>
      <c r="H72" s="231"/>
      <c r="I72" s="231"/>
      <c r="J72" s="86">
        <v>1.4999999999999999E-2</v>
      </c>
      <c r="L72" s="77" t="s">
        <v>4</v>
      </c>
      <c r="M72" s="78"/>
      <c r="N72" s="79"/>
      <c r="O72" s="78"/>
      <c r="P72" s="231" t="s">
        <v>5</v>
      </c>
      <c r="Q72" s="231"/>
      <c r="R72" s="231"/>
      <c r="S72" s="231"/>
      <c r="T72" s="86">
        <v>1.4999999999999999E-2</v>
      </c>
    </row>
    <row r="73" spans="2:20" ht="15" thickBot="1" x14ac:dyDescent="0.35">
      <c r="B73" s="77" t="s">
        <v>6</v>
      </c>
      <c r="C73" s="232"/>
      <c r="D73" s="232"/>
      <c r="E73" s="233" t="s">
        <v>7</v>
      </c>
      <c r="F73" s="233"/>
      <c r="G73" s="233"/>
      <c r="H73" s="233"/>
      <c r="I73" s="233"/>
      <c r="J73" s="78">
        <v>5</v>
      </c>
      <c r="L73" s="77" t="s">
        <v>6</v>
      </c>
      <c r="M73" s="232"/>
      <c r="N73" s="232"/>
      <c r="O73" s="233" t="s">
        <v>7</v>
      </c>
      <c r="P73" s="233"/>
      <c r="Q73" s="233"/>
      <c r="R73" s="233"/>
      <c r="S73" s="233"/>
      <c r="T73" s="78">
        <v>5</v>
      </c>
    </row>
    <row r="74" spans="2:20" ht="41.4" thickBot="1" x14ac:dyDescent="0.35">
      <c r="B74" s="89" t="s">
        <v>8</v>
      </c>
      <c r="C74" s="89" t="s">
        <v>9</v>
      </c>
      <c r="D74" s="89" t="s">
        <v>10</v>
      </c>
      <c r="E74" s="90" t="s">
        <v>11</v>
      </c>
      <c r="F74" s="91" t="s">
        <v>12</v>
      </c>
      <c r="G74" s="92" t="s">
        <v>13</v>
      </c>
      <c r="H74" s="92" t="s">
        <v>14</v>
      </c>
      <c r="I74" s="92" t="s">
        <v>15</v>
      </c>
      <c r="J74" s="93" t="s">
        <v>16</v>
      </c>
      <c r="L74" s="89" t="s">
        <v>8</v>
      </c>
      <c r="M74" s="89" t="s">
        <v>9</v>
      </c>
      <c r="N74" s="89" t="s">
        <v>10</v>
      </c>
      <c r="O74" s="90" t="s">
        <v>11</v>
      </c>
      <c r="P74" s="91" t="s">
        <v>12</v>
      </c>
      <c r="Q74" s="92" t="s">
        <v>13</v>
      </c>
      <c r="R74" s="92" t="s">
        <v>14</v>
      </c>
      <c r="S74" s="92" t="s">
        <v>15</v>
      </c>
      <c r="T74" s="93" t="s">
        <v>16</v>
      </c>
    </row>
    <row r="75" spans="2:20" x14ac:dyDescent="0.3">
      <c r="B75" s="94" t="s">
        <v>17</v>
      </c>
      <c r="C75" s="149">
        <f>J70</f>
        <v>40000</v>
      </c>
      <c r="D75" s="95">
        <f>J70/J73</f>
        <v>8000</v>
      </c>
      <c r="E75" s="95">
        <f>(C75*0.015)</f>
        <v>600</v>
      </c>
      <c r="F75" s="95">
        <f>SUM(D75:E75)</f>
        <v>8600</v>
      </c>
      <c r="G75" s="95"/>
      <c r="H75" s="95"/>
      <c r="I75" s="96"/>
      <c r="J75" s="97"/>
      <c r="L75" s="94" t="s">
        <v>17</v>
      </c>
      <c r="M75" s="149">
        <f>T70</f>
        <v>40000</v>
      </c>
      <c r="N75" s="95">
        <f>T70/T73</f>
        <v>8000</v>
      </c>
      <c r="O75" s="95">
        <f>(M75*0.015)</f>
        <v>600</v>
      </c>
      <c r="P75" s="95">
        <f>SUM(N75:O75)</f>
        <v>8600</v>
      </c>
      <c r="Q75" s="95"/>
      <c r="R75" s="95"/>
      <c r="S75" s="96"/>
      <c r="T75" s="97"/>
    </row>
    <row r="76" spans="2:20" x14ac:dyDescent="0.3">
      <c r="B76" s="98" t="s">
        <v>18</v>
      </c>
      <c r="C76" s="150">
        <v>32000</v>
      </c>
      <c r="D76" s="99">
        <v>8000</v>
      </c>
      <c r="E76" s="99">
        <f>(C76*0.015)</f>
        <v>480</v>
      </c>
      <c r="F76" s="99">
        <f>SUM(D76:E76)</f>
        <v>8480</v>
      </c>
      <c r="G76" s="99"/>
      <c r="H76" s="99"/>
      <c r="I76" s="100"/>
      <c r="J76" s="101"/>
      <c r="L76" s="98" t="s">
        <v>18</v>
      </c>
      <c r="M76" s="150">
        <v>32000</v>
      </c>
      <c r="N76" s="99">
        <v>8000</v>
      </c>
      <c r="O76" s="99">
        <f>(M76*0.015)</f>
        <v>480</v>
      </c>
      <c r="P76" s="99">
        <f>SUM(N76:O76)</f>
        <v>8480</v>
      </c>
      <c r="Q76" s="99"/>
      <c r="R76" s="99"/>
      <c r="S76" s="100"/>
      <c r="T76" s="101"/>
    </row>
    <row r="77" spans="2:20" x14ac:dyDescent="0.3">
      <c r="B77" s="98" t="s">
        <v>19</v>
      </c>
      <c r="C77" s="150">
        <v>24000</v>
      </c>
      <c r="D77" s="99">
        <v>8000</v>
      </c>
      <c r="E77" s="99">
        <f>(C77*0.015)</f>
        <v>360</v>
      </c>
      <c r="F77" s="99">
        <f>SUM(D77:E77)</f>
        <v>8360</v>
      </c>
      <c r="G77" s="99"/>
      <c r="H77" s="99"/>
      <c r="I77" s="100"/>
      <c r="J77" s="101"/>
      <c r="L77" s="98" t="s">
        <v>19</v>
      </c>
      <c r="M77" s="150">
        <v>24000</v>
      </c>
      <c r="N77" s="99">
        <v>8000</v>
      </c>
      <c r="O77" s="99">
        <f>(M77*0.015)</f>
        <v>360</v>
      </c>
      <c r="P77" s="99">
        <f>SUM(N77:O77)</f>
        <v>8360</v>
      </c>
      <c r="Q77" s="99"/>
      <c r="R77" s="99"/>
      <c r="S77" s="100"/>
      <c r="T77" s="101"/>
    </row>
    <row r="78" spans="2:20" x14ac:dyDescent="0.3">
      <c r="B78" s="98" t="s">
        <v>20</v>
      </c>
      <c r="C78" s="150">
        <v>16000</v>
      </c>
      <c r="D78" s="99">
        <v>8000</v>
      </c>
      <c r="E78" s="99">
        <f>(C78*0.015)</f>
        <v>240</v>
      </c>
      <c r="F78" s="99">
        <f>SUM(D78:E78)</f>
        <v>8240</v>
      </c>
      <c r="G78" s="99"/>
      <c r="H78" s="99"/>
      <c r="I78" s="100"/>
      <c r="J78" s="101"/>
      <c r="L78" s="98" t="s">
        <v>20</v>
      </c>
      <c r="M78" s="150">
        <v>16000</v>
      </c>
      <c r="N78" s="99">
        <v>8000</v>
      </c>
      <c r="O78" s="99">
        <f>(M78*0.015)</f>
        <v>240</v>
      </c>
      <c r="P78" s="99">
        <f>SUM(N78:O78)</f>
        <v>8240</v>
      </c>
      <c r="Q78" s="99"/>
      <c r="R78" s="99"/>
      <c r="S78" s="100"/>
      <c r="T78" s="101"/>
    </row>
    <row r="79" spans="2:20" x14ac:dyDescent="0.3">
      <c r="B79" s="98" t="s">
        <v>21</v>
      </c>
      <c r="C79" s="151">
        <v>8000</v>
      </c>
      <c r="D79" s="99">
        <v>8000</v>
      </c>
      <c r="E79" s="99">
        <f>(C79*0.015)</f>
        <v>120</v>
      </c>
      <c r="F79" s="99">
        <f>SUM(D79:E79)</f>
        <v>8120</v>
      </c>
      <c r="G79" s="99"/>
      <c r="H79" s="99"/>
      <c r="I79" s="100"/>
      <c r="J79" s="101" t="s">
        <v>42</v>
      </c>
      <c r="L79" s="98" t="s">
        <v>21</v>
      </c>
      <c r="M79" s="151">
        <v>8000</v>
      </c>
      <c r="N79" s="99">
        <v>8000</v>
      </c>
      <c r="O79" s="99">
        <f>(M79*0.015)</f>
        <v>120</v>
      </c>
      <c r="P79" s="99">
        <f>SUM(N79:O79)</f>
        <v>8120</v>
      </c>
      <c r="Q79" s="99"/>
      <c r="R79" s="99"/>
      <c r="S79" s="100"/>
      <c r="T79" s="101" t="s">
        <v>42</v>
      </c>
    </row>
    <row r="82" spans="2:20" x14ac:dyDescent="0.3">
      <c r="B82" s="77" t="s">
        <v>0</v>
      </c>
      <c r="C82" s="229" t="s">
        <v>248</v>
      </c>
      <c r="D82" s="230"/>
      <c r="E82" s="230"/>
      <c r="F82" s="117" t="s">
        <v>195</v>
      </c>
      <c r="G82" s="123"/>
      <c r="H82" s="231" t="s">
        <v>1</v>
      </c>
      <c r="I82" s="231"/>
      <c r="J82" s="82">
        <v>5000</v>
      </c>
      <c r="L82" s="77" t="s">
        <v>0</v>
      </c>
      <c r="M82" s="229" t="s">
        <v>248</v>
      </c>
      <c r="N82" s="230"/>
      <c r="O82" s="230"/>
      <c r="P82" s="117" t="s">
        <v>195</v>
      </c>
      <c r="Q82" s="123"/>
      <c r="R82" s="231" t="s">
        <v>1</v>
      </c>
      <c r="S82" s="231"/>
      <c r="T82" s="82">
        <v>5000</v>
      </c>
    </row>
    <row r="83" spans="2:20" x14ac:dyDescent="0.3">
      <c r="B83" s="77" t="s">
        <v>2</v>
      </c>
      <c r="C83" s="83"/>
      <c r="D83" s="79"/>
      <c r="E83" s="83"/>
      <c r="F83" s="81"/>
      <c r="G83" s="81"/>
      <c r="H83" s="84"/>
      <c r="I83" s="81" t="s">
        <v>3</v>
      </c>
      <c r="J83" s="85" t="s">
        <v>247</v>
      </c>
      <c r="L83" s="77" t="s">
        <v>2</v>
      </c>
      <c r="M83" s="83"/>
      <c r="N83" s="79"/>
      <c r="O83" s="83"/>
      <c r="P83" s="81"/>
      <c r="Q83" s="81"/>
      <c r="R83" s="84"/>
      <c r="S83" s="81" t="s">
        <v>3</v>
      </c>
      <c r="T83" s="85" t="s">
        <v>247</v>
      </c>
    </row>
    <row r="84" spans="2:20" x14ac:dyDescent="0.3">
      <c r="B84" s="77" t="s">
        <v>4</v>
      </c>
      <c r="C84" s="78"/>
      <c r="D84" s="79"/>
      <c r="E84" s="78"/>
      <c r="F84" s="231" t="s">
        <v>5</v>
      </c>
      <c r="G84" s="231"/>
      <c r="H84" s="231"/>
      <c r="I84" s="231"/>
      <c r="J84" s="86">
        <v>1.4999999999999999E-2</v>
      </c>
      <c r="L84" s="77" t="s">
        <v>4</v>
      </c>
      <c r="M84" s="78"/>
      <c r="N84" s="79"/>
      <c r="O84" s="78"/>
      <c r="P84" s="231" t="s">
        <v>5</v>
      </c>
      <c r="Q84" s="231"/>
      <c r="R84" s="231"/>
      <c r="S84" s="231"/>
      <c r="T84" s="86">
        <v>1.4999999999999999E-2</v>
      </c>
    </row>
    <row r="85" spans="2:20" ht="15" thickBot="1" x14ac:dyDescent="0.35">
      <c r="B85" s="77" t="s">
        <v>6</v>
      </c>
      <c r="C85" s="232"/>
      <c r="D85" s="232"/>
      <c r="E85" s="233" t="s">
        <v>7</v>
      </c>
      <c r="F85" s="233"/>
      <c r="G85" s="233"/>
      <c r="H85" s="233"/>
      <c r="I85" s="233"/>
      <c r="J85" s="78">
        <v>5</v>
      </c>
      <c r="L85" s="77" t="s">
        <v>6</v>
      </c>
      <c r="M85" s="232"/>
      <c r="N85" s="232"/>
      <c r="O85" s="233" t="s">
        <v>7</v>
      </c>
      <c r="P85" s="233"/>
      <c r="Q85" s="233"/>
      <c r="R85" s="233"/>
      <c r="S85" s="233"/>
      <c r="T85" s="78">
        <v>5</v>
      </c>
    </row>
    <row r="86" spans="2:20" ht="41.4" thickBot="1" x14ac:dyDescent="0.35">
      <c r="B86" s="89" t="s">
        <v>8</v>
      </c>
      <c r="C86" s="89" t="s">
        <v>9</v>
      </c>
      <c r="D86" s="89" t="s">
        <v>10</v>
      </c>
      <c r="E86" s="90" t="s">
        <v>11</v>
      </c>
      <c r="F86" s="91" t="s">
        <v>12</v>
      </c>
      <c r="G86" s="92" t="s">
        <v>13</v>
      </c>
      <c r="H86" s="92" t="s">
        <v>14</v>
      </c>
      <c r="I86" s="92" t="s">
        <v>15</v>
      </c>
      <c r="J86" s="93" t="s">
        <v>16</v>
      </c>
      <c r="L86" s="89" t="s">
        <v>8</v>
      </c>
      <c r="M86" s="89" t="s">
        <v>9</v>
      </c>
      <c r="N86" s="89" t="s">
        <v>10</v>
      </c>
      <c r="O86" s="90" t="s">
        <v>11</v>
      </c>
      <c r="P86" s="91" t="s">
        <v>12</v>
      </c>
      <c r="Q86" s="92" t="s">
        <v>13</v>
      </c>
      <c r="R86" s="92" t="s">
        <v>14</v>
      </c>
      <c r="S86" s="92" t="s">
        <v>15</v>
      </c>
      <c r="T86" s="93" t="s">
        <v>16</v>
      </c>
    </row>
    <row r="87" spans="2:20" x14ac:dyDescent="0.3">
      <c r="B87" s="162" t="s">
        <v>17</v>
      </c>
      <c r="C87" s="149">
        <f>J82</f>
        <v>5000</v>
      </c>
      <c r="D87" s="95">
        <f>J82/J85</f>
        <v>1000</v>
      </c>
      <c r="E87" s="95">
        <f>(C87*0.015)</f>
        <v>75</v>
      </c>
      <c r="F87" s="95">
        <f>SUM(D87:E87)</f>
        <v>1075</v>
      </c>
      <c r="G87" s="95"/>
      <c r="H87" s="95"/>
      <c r="I87" s="96"/>
      <c r="J87" s="97"/>
      <c r="L87" s="162" t="s">
        <v>17</v>
      </c>
      <c r="M87" s="149">
        <f>T82</f>
        <v>5000</v>
      </c>
      <c r="N87" s="95">
        <f>T82/T85</f>
        <v>1000</v>
      </c>
      <c r="O87" s="95">
        <f>(M87*0.015)</f>
        <v>75</v>
      </c>
      <c r="P87" s="95">
        <f>SUM(N87:O87)</f>
        <v>1075</v>
      </c>
      <c r="Q87" s="95"/>
      <c r="R87" s="95"/>
      <c r="S87" s="96"/>
      <c r="T87" s="97"/>
    </row>
    <row r="88" spans="2:20" x14ac:dyDescent="0.3">
      <c r="B88" s="163" t="s">
        <v>18</v>
      </c>
      <c r="C88" s="150">
        <v>4000</v>
      </c>
      <c r="D88" s="99">
        <v>1000</v>
      </c>
      <c r="E88" s="99">
        <f>(C88*0.015)</f>
        <v>60</v>
      </c>
      <c r="F88" s="99">
        <f>SUM(D88:E88)</f>
        <v>1060</v>
      </c>
      <c r="G88" s="99"/>
      <c r="H88" s="99"/>
      <c r="I88" s="100"/>
      <c r="J88" s="101"/>
      <c r="L88" s="163" t="s">
        <v>18</v>
      </c>
      <c r="M88" s="150">
        <v>4000</v>
      </c>
      <c r="N88" s="99">
        <v>1000</v>
      </c>
      <c r="O88" s="99">
        <f>(M88*0.015)</f>
        <v>60</v>
      </c>
      <c r="P88" s="99">
        <f>SUM(N88:O88)</f>
        <v>1060</v>
      </c>
      <c r="Q88" s="99"/>
      <c r="R88" s="99"/>
      <c r="S88" s="100"/>
      <c r="T88" s="101"/>
    </row>
    <row r="89" spans="2:20" x14ac:dyDescent="0.3">
      <c r="B89" s="163" t="s">
        <v>19</v>
      </c>
      <c r="C89" s="150">
        <v>3000</v>
      </c>
      <c r="D89" s="99">
        <v>1000</v>
      </c>
      <c r="E89" s="99">
        <f>(C89*0.015)</f>
        <v>45</v>
      </c>
      <c r="F89" s="99">
        <f>SUM(D89:E89)</f>
        <v>1045</v>
      </c>
      <c r="G89" s="99"/>
      <c r="H89" s="99"/>
      <c r="I89" s="100"/>
      <c r="J89" s="101"/>
      <c r="L89" s="163" t="s">
        <v>19</v>
      </c>
      <c r="M89" s="150">
        <v>3000</v>
      </c>
      <c r="N89" s="99">
        <v>1000</v>
      </c>
      <c r="O89" s="99">
        <f>(M89*0.015)</f>
        <v>45</v>
      </c>
      <c r="P89" s="99">
        <f>SUM(N89:O89)</f>
        <v>1045</v>
      </c>
      <c r="Q89" s="99"/>
      <c r="R89" s="99"/>
      <c r="S89" s="100"/>
      <c r="T89" s="101"/>
    </row>
    <row r="90" spans="2:20" x14ac:dyDescent="0.3">
      <c r="B90" s="163" t="s">
        <v>20</v>
      </c>
      <c r="C90" s="150">
        <v>2000</v>
      </c>
      <c r="D90" s="99">
        <v>1000</v>
      </c>
      <c r="E90" s="99">
        <f>(C90*0.015)</f>
        <v>30</v>
      </c>
      <c r="F90" s="99">
        <f>SUM(D90:E90)</f>
        <v>1030</v>
      </c>
      <c r="G90" s="99"/>
      <c r="H90" s="99"/>
      <c r="I90" s="100"/>
      <c r="J90" s="101"/>
      <c r="L90" s="163" t="s">
        <v>20</v>
      </c>
      <c r="M90" s="150">
        <v>2000</v>
      </c>
      <c r="N90" s="99">
        <v>1000</v>
      </c>
      <c r="O90" s="99">
        <f>(M90*0.015)</f>
        <v>30</v>
      </c>
      <c r="P90" s="99">
        <f>SUM(N90:O90)</f>
        <v>1030</v>
      </c>
      <c r="Q90" s="99"/>
      <c r="R90" s="99"/>
      <c r="S90" s="100"/>
      <c r="T90" s="101"/>
    </row>
    <row r="91" spans="2:20" x14ac:dyDescent="0.3">
      <c r="B91" s="163" t="s">
        <v>21</v>
      </c>
      <c r="C91" s="151">
        <v>1000</v>
      </c>
      <c r="D91" s="99">
        <v>1000</v>
      </c>
      <c r="E91" s="99">
        <f>(C91*0.015)</f>
        <v>15</v>
      </c>
      <c r="F91" s="99">
        <f>SUM(D91:E91)</f>
        <v>1015</v>
      </c>
      <c r="G91" s="99"/>
      <c r="H91" s="99"/>
      <c r="I91" s="100"/>
      <c r="J91" s="101" t="s">
        <v>42</v>
      </c>
      <c r="L91" s="163" t="s">
        <v>21</v>
      </c>
      <c r="M91" s="151">
        <v>1000</v>
      </c>
      <c r="N91" s="99">
        <v>1000</v>
      </c>
      <c r="O91" s="99">
        <f>(M91*0.015)</f>
        <v>15</v>
      </c>
      <c r="P91" s="99">
        <f>SUM(N91:O91)</f>
        <v>1015</v>
      </c>
      <c r="Q91" s="99"/>
      <c r="R91" s="99"/>
      <c r="S91" s="100"/>
      <c r="T91" s="101" t="s">
        <v>42</v>
      </c>
    </row>
  </sheetData>
  <mergeCells count="60">
    <mergeCell ref="C85:D85"/>
    <mergeCell ref="E85:I85"/>
    <mergeCell ref="M85:N85"/>
    <mergeCell ref="O85:S85"/>
    <mergeCell ref="C82:E82"/>
    <mergeCell ref="H82:I82"/>
    <mergeCell ref="M82:O82"/>
    <mergeCell ref="R82:S82"/>
    <mergeCell ref="F84:I84"/>
    <mergeCell ref="P84:S84"/>
    <mergeCell ref="P27:S27"/>
    <mergeCell ref="M28:N28"/>
    <mergeCell ref="O28:S28"/>
    <mergeCell ref="C25:E25"/>
    <mergeCell ref="H25:I25"/>
    <mergeCell ref="F27:I27"/>
    <mergeCell ref="C28:D28"/>
    <mergeCell ref="E28:I28"/>
    <mergeCell ref="C13:E13"/>
    <mergeCell ref="H13:I13"/>
    <mergeCell ref="M13:O13"/>
    <mergeCell ref="R13:S13"/>
    <mergeCell ref="M25:O25"/>
    <mergeCell ref="R25:S25"/>
    <mergeCell ref="F15:I15"/>
    <mergeCell ref="P15:S15"/>
    <mergeCell ref="C16:D16"/>
    <mergeCell ref="E16:I16"/>
    <mergeCell ref="M16:N16"/>
    <mergeCell ref="O16:S16"/>
    <mergeCell ref="M1:O1"/>
    <mergeCell ref="R1:S1"/>
    <mergeCell ref="P3:S3"/>
    <mergeCell ref="M4:N4"/>
    <mergeCell ref="O4:S4"/>
    <mergeCell ref="C1:E1"/>
    <mergeCell ref="H1:I1"/>
    <mergeCell ref="F3:I3"/>
    <mergeCell ref="C4:D4"/>
    <mergeCell ref="E4:I4"/>
    <mergeCell ref="C58:E58"/>
    <mergeCell ref="H58:I58"/>
    <mergeCell ref="M58:O58"/>
    <mergeCell ref="R58:S58"/>
    <mergeCell ref="F60:I60"/>
    <mergeCell ref="P60:S60"/>
    <mergeCell ref="C61:D61"/>
    <mergeCell ref="E61:I61"/>
    <mergeCell ref="M61:N61"/>
    <mergeCell ref="O61:S61"/>
    <mergeCell ref="C70:E70"/>
    <mergeCell ref="H70:I70"/>
    <mergeCell ref="M70:O70"/>
    <mergeCell ref="R70:S70"/>
    <mergeCell ref="F72:I72"/>
    <mergeCell ref="P72:S72"/>
    <mergeCell ref="C73:D73"/>
    <mergeCell ref="E73:I73"/>
    <mergeCell ref="M73:N73"/>
    <mergeCell ref="O73:S73"/>
  </mergeCells>
  <pageMargins left="0.25" right="0.25" top="0.75" bottom="0.75" header="0.3" footer="0.3"/>
  <pageSetup paperSize="5" scale="90" orientation="landscape" horizontalDpi="4294967292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3B90-11B8-47C4-AC61-67267CD68314}">
  <dimension ref="A1:T653"/>
  <sheetViews>
    <sheetView topLeftCell="A44" workbookViewId="0">
      <selection activeCell="F57" sqref="F57:F67"/>
    </sheetView>
  </sheetViews>
  <sheetFormatPr defaultRowHeight="14.4" x14ac:dyDescent="0.3"/>
  <cols>
    <col min="1" max="1" width="0.88671875" customWidth="1"/>
    <col min="2" max="2" width="11.33203125" customWidth="1"/>
    <col min="3" max="3" width="8.109375" customWidth="1"/>
    <col min="4" max="4" width="8.33203125" customWidth="1"/>
    <col min="5" max="5" width="8" customWidth="1"/>
    <col min="6" max="6" width="7.88671875" customWidth="1"/>
    <col min="7" max="7" width="7.109375" customWidth="1"/>
    <col min="8" max="8" width="7.5546875" customWidth="1"/>
    <col min="9" max="9" width="8.77734375" customWidth="1"/>
    <col min="10" max="10" width="8.109375" customWidth="1"/>
    <col min="12" max="12" width="11.109375" customWidth="1"/>
    <col min="13" max="13" width="7.77734375" customWidth="1"/>
    <col min="14" max="14" width="8" customWidth="1"/>
    <col min="15" max="15" width="7.6640625" customWidth="1"/>
    <col min="16" max="16" width="7.33203125" customWidth="1"/>
    <col min="17" max="17" width="7.109375" customWidth="1"/>
    <col min="18" max="18" width="7.88671875" customWidth="1"/>
    <col min="19" max="19" width="7.33203125" customWidth="1"/>
    <col min="20" max="20" width="8" customWidth="1"/>
  </cols>
  <sheetData>
    <row r="1" spans="2:20" x14ac:dyDescent="0.3">
      <c r="B1" s="77" t="s">
        <v>0</v>
      </c>
      <c r="C1" s="80" t="s">
        <v>156</v>
      </c>
      <c r="E1" s="78"/>
      <c r="F1" s="79"/>
      <c r="G1" s="79"/>
      <c r="H1" s="80"/>
      <c r="I1" s="81" t="s">
        <v>1</v>
      </c>
      <c r="J1" s="82">
        <v>15000</v>
      </c>
      <c r="L1" s="77" t="s">
        <v>0</v>
      </c>
      <c r="M1" s="77" t="s">
        <v>156</v>
      </c>
      <c r="O1" s="78"/>
      <c r="P1" s="79"/>
      <c r="Q1" s="79"/>
      <c r="R1" s="80"/>
      <c r="S1" s="81" t="s">
        <v>1</v>
      </c>
      <c r="T1" s="82">
        <v>15000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46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46</v>
      </c>
    </row>
    <row r="3" spans="2:20" x14ac:dyDescent="0.3">
      <c r="B3" s="77" t="s">
        <v>4</v>
      </c>
      <c r="C3" s="78"/>
      <c r="D3" s="79"/>
      <c r="E3" s="79"/>
      <c r="F3" s="79"/>
      <c r="G3" s="81"/>
      <c r="H3" s="78"/>
      <c r="I3" s="81" t="s">
        <v>5</v>
      </c>
      <c r="J3" s="86">
        <v>1.4999999999999999E-2</v>
      </c>
      <c r="L3" s="77" t="s">
        <v>4</v>
      </c>
      <c r="M3" s="78"/>
      <c r="N3" s="79"/>
      <c r="O3" s="79"/>
      <c r="P3" s="79"/>
      <c r="Q3" s="81"/>
      <c r="R3" s="78"/>
      <c r="S3" s="81" t="s">
        <v>5</v>
      </c>
      <c r="T3" s="86">
        <v>1.4999999999999999E-2</v>
      </c>
    </row>
    <row r="4" spans="2:20" ht="15" thickBot="1" x14ac:dyDescent="0.35">
      <c r="B4" s="77" t="s">
        <v>6</v>
      </c>
      <c r="C4" s="87"/>
      <c r="D4" s="79"/>
      <c r="E4" s="79"/>
      <c r="F4" s="88"/>
      <c r="G4" s="88"/>
      <c r="H4" s="87"/>
      <c r="I4" s="88" t="s">
        <v>7</v>
      </c>
      <c r="J4" s="78">
        <v>10</v>
      </c>
      <c r="L4" s="77" t="s">
        <v>6</v>
      </c>
      <c r="M4" s="87"/>
      <c r="N4" s="79"/>
      <c r="O4" s="79"/>
      <c r="P4" s="88"/>
      <c r="Q4" s="79"/>
      <c r="R4" s="87"/>
      <c r="S4" s="88" t="s">
        <v>7</v>
      </c>
      <c r="T4" s="78">
        <v>10</v>
      </c>
    </row>
    <row r="5" spans="2:20" ht="51.6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f>J1</f>
        <v>15000</v>
      </c>
      <c r="D6" s="95">
        <f>J1/J4</f>
        <v>1500</v>
      </c>
      <c r="E6" s="95">
        <f t="shared" ref="E6:E15" si="0">(C6*0.015)</f>
        <v>225</v>
      </c>
      <c r="F6" s="95">
        <f t="shared" ref="F6:F15" si="1">SUM(D6:E6)</f>
        <v>1725</v>
      </c>
      <c r="G6" s="95"/>
      <c r="H6" s="95"/>
      <c r="I6" s="96"/>
      <c r="J6" s="97"/>
      <c r="L6" s="94" t="s">
        <v>17</v>
      </c>
      <c r="M6" s="95">
        <f>T1</f>
        <v>15000</v>
      </c>
      <c r="N6" s="95">
        <f>T1/T4</f>
        <v>1500</v>
      </c>
      <c r="O6" s="95">
        <f t="shared" ref="O6:O15" si="2">(M6*0.015)</f>
        <v>225</v>
      </c>
      <c r="P6" s="95">
        <f t="shared" ref="P6:P15" si="3">SUM(N6:O6)</f>
        <v>1725</v>
      </c>
      <c r="Q6" s="95"/>
      <c r="R6" s="95"/>
      <c r="S6" s="96"/>
      <c r="T6" s="97"/>
    </row>
    <row r="7" spans="2:20" x14ac:dyDescent="0.3">
      <c r="B7" s="98" t="s">
        <v>18</v>
      </c>
      <c r="C7" s="99">
        <v>13500</v>
      </c>
      <c r="D7" s="99">
        <v>1500</v>
      </c>
      <c r="E7" s="99">
        <f t="shared" si="0"/>
        <v>202.5</v>
      </c>
      <c r="F7" s="99">
        <f t="shared" si="1"/>
        <v>1702.5</v>
      </c>
      <c r="G7" s="99"/>
      <c r="H7" s="99"/>
      <c r="I7" s="100"/>
      <c r="J7" s="101"/>
      <c r="L7" s="98" t="s">
        <v>18</v>
      </c>
      <c r="M7" s="99">
        <v>13500</v>
      </c>
      <c r="N7" s="99">
        <v>1500</v>
      </c>
      <c r="O7" s="99">
        <f t="shared" si="2"/>
        <v>202.5</v>
      </c>
      <c r="P7" s="99">
        <f t="shared" si="3"/>
        <v>1702.5</v>
      </c>
      <c r="Q7" s="99"/>
      <c r="R7" s="99"/>
      <c r="S7" s="100"/>
      <c r="T7" s="101"/>
    </row>
    <row r="8" spans="2:20" x14ac:dyDescent="0.3">
      <c r="B8" s="98" t="s">
        <v>19</v>
      </c>
      <c r="C8" s="99">
        <v>12000</v>
      </c>
      <c r="D8" s="99">
        <v>1500</v>
      </c>
      <c r="E8" s="99">
        <f t="shared" si="0"/>
        <v>180</v>
      </c>
      <c r="F8" s="99">
        <f t="shared" si="1"/>
        <v>1680</v>
      </c>
      <c r="G8" s="99"/>
      <c r="H8" s="99"/>
      <c r="I8" s="100"/>
      <c r="J8" s="101"/>
      <c r="L8" s="98" t="s">
        <v>19</v>
      </c>
      <c r="M8" s="99">
        <v>12000</v>
      </c>
      <c r="N8" s="99">
        <v>1500</v>
      </c>
      <c r="O8" s="99">
        <f t="shared" si="2"/>
        <v>180</v>
      </c>
      <c r="P8" s="99">
        <f t="shared" si="3"/>
        <v>1680</v>
      </c>
      <c r="Q8" s="99"/>
      <c r="R8" s="99"/>
      <c r="S8" s="100"/>
      <c r="T8" s="101"/>
    </row>
    <row r="9" spans="2:20" x14ac:dyDescent="0.3">
      <c r="B9" s="98" t="s">
        <v>20</v>
      </c>
      <c r="C9" s="99">
        <v>10500</v>
      </c>
      <c r="D9" s="99">
        <v>1500</v>
      </c>
      <c r="E9" s="99">
        <f t="shared" si="0"/>
        <v>157.5</v>
      </c>
      <c r="F9" s="99">
        <f t="shared" si="1"/>
        <v>1657.5</v>
      </c>
      <c r="G9" s="99"/>
      <c r="H9" s="99"/>
      <c r="I9" s="100"/>
      <c r="J9" s="101"/>
      <c r="L9" s="98" t="s">
        <v>20</v>
      </c>
      <c r="M9" s="99">
        <v>10500</v>
      </c>
      <c r="N9" s="99">
        <v>1500</v>
      </c>
      <c r="O9" s="99">
        <f t="shared" si="2"/>
        <v>157.5</v>
      </c>
      <c r="P9" s="99">
        <f t="shared" si="3"/>
        <v>1657.5</v>
      </c>
      <c r="Q9" s="99"/>
      <c r="R9" s="99"/>
      <c r="S9" s="100"/>
      <c r="T9" s="101"/>
    </row>
    <row r="10" spans="2:20" x14ac:dyDescent="0.3">
      <c r="B10" s="98" t="s">
        <v>21</v>
      </c>
      <c r="C10" s="99">
        <v>9000</v>
      </c>
      <c r="D10" s="99">
        <v>1500</v>
      </c>
      <c r="E10" s="99">
        <f t="shared" si="0"/>
        <v>135</v>
      </c>
      <c r="F10" s="99">
        <f t="shared" si="1"/>
        <v>1635</v>
      </c>
      <c r="G10" s="99"/>
      <c r="H10" s="99"/>
      <c r="I10" s="100"/>
      <c r="J10" s="101"/>
      <c r="L10" s="98" t="s">
        <v>21</v>
      </c>
      <c r="M10" s="99">
        <v>9000</v>
      </c>
      <c r="N10" s="99">
        <v>1500</v>
      </c>
      <c r="O10" s="99">
        <f t="shared" si="2"/>
        <v>135</v>
      </c>
      <c r="P10" s="99">
        <f t="shared" si="3"/>
        <v>1635</v>
      </c>
      <c r="Q10" s="99"/>
      <c r="R10" s="99"/>
      <c r="S10" s="100"/>
      <c r="T10" s="101"/>
    </row>
    <row r="11" spans="2:20" x14ac:dyDescent="0.3">
      <c r="B11" s="98" t="s">
        <v>23</v>
      </c>
      <c r="C11" s="99">
        <v>7500</v>
      </c>
      <c r="D11" s="99">
        <v>1500</v>
      </c>
      <c r="E11" s="99">
        <f t="shared" si="0"/>
        <v>112.5</v>
      </c>
      <c r="F11" s="99">
        <f t="shared" si="1"/>
        <v>1612.5</v>
      </c>
      <c r="G11" s="99"/>
      <c r="H11" s="99"/>
      <c r="I11" s="100"/>
      <c r="J11" s="101"/>
      <c r="L11" s="98" t="s">
        <v>23</v>
      </c>
      <c r="M11" s="99">
        <v>7500</v>
      </c>
      <c r="N11" s="99">
        <v>1500</v>
      </c>
      <c r="O11" s="99">
        <f t="shared" si="2"/>
        <v>112.5</v>
      </c>
      <c r="P11" s="99">
        <f t="shared" si="3"/>
        <v>1612.5</v>
      </c>
      <c r="Q11" s="99"/>
      <c r="R11" s="99"/>
      <c r="S11" s="100"/>
      <c r="T11" s="101"/>
    </row>
    <row r="12" spans="2:20" x14ac:dyDescent="0.3">
      <c r="B12" s="98" t="s">
        <v>24</v>
      </c>
      <c r="C12" s="99">
        <v>6000</v>
      </c>
      <c r="D12" s="99">
        <v>1500</v>
      </c>
      <c r="E12" s="99">
        <f t="shared" si="0"/>
        <v>90</v>
      </c>
      <c r="F12" s="99">
        <f t="shared" si="1"/>
        <v>1590</v>
      </c>
      <c r="G12" s="99"/>
      <c r="H12" s="99"/>
      <c r="I12" s="100"/>
      <c r="J12" s="101"/>
      <c r="L12" s="98" t="s">
        <v>24</v>
      </c>
      <c r="M12" s="99">
        <v>6000</v>
      </c>
      <c r="N12" s="99">
        <v>1500</v>
      </c>
      <c r="O12" s="99">
        <f t="shared" si="2"/>
        <v>90</v>
      </c>
      <c r="P12" s="99">
        <f t="shared" si="3"/>
        <v>1590</v>
      </c>
      <c r="Q12" s="99"/>
      <c r="R12" s="99"/>
      <c r="S12" s="100"/>
      <c r="T12" s="101"/>
    </row>
    <row r="13" spans="2:20" x14ac:dyDescent="0.3">
      <c r="B13" s="98" t="s">
        <v>25</v>
      </c>
      <c r="C13" s="99">
        <v>4500</v>
      </c>
      <c r="D13" s="99">
        <v>1500</v>
      </c>
      <c r="E13" s="99">
        <f t="shared" si="0"/>
        <v>67.5</v>
      </c>
      <c r="F13" s="99">
        <f t="shared" si="1"/>
        <v>1567.5</v>
      </c>
      <c r="G13" s="99"/>
      <c r="H13" s="99"/>
      <c r="I13" s="100"/>
      <c r="J13" s="101"/>
      <c r="L13" s="98" t="s">
        <v>25</v>
      </c>
      <c r="M13" s="99">
        <v>4500</v>
      </c>
      <c r="N13" s="99">
        <v>1500</v>
      </c>
      <c r="O13" s="99">
        <f t="shared" si="2"/>
        <v>67.5</v>
      </c>
      <c r="P13" s="99">
        <f t="shared" si="3"/>
        <v>1567.5</v>
      </c>
      <c r="Q13" s="99"/>
      <c r="R13" s="99"/>
      <c r="S13" s="100"/>
      <c r="T13" s="101"/>
    </row>
    <row r="14" spans="2:20" x14ac:dyDescent="0.3">
      <c r="B14" s="98" t="s">
        <v>26</v>
      </c>
      <c r="C14" s="99">
        <v>3000</v>
      </c>
      <c r="D14" s="99">
        <v>1500</v>
      </c>
      <c r="E14" s="99">
        <f t="shared" si="0"/>
        <v>45</v>
      </c>
      <c r="F14" s="99">
        <f t="shared" si="1"/>
        <v>1545</v>
      </c>
      <c r="G14" s="99"/>
      <c r="H14" s="99"/>
      <c r="I14" s="100"/>
      <c r="J14" s="101"/>
      <c r="L14" s="98" t="s">
        <v>26</v>
      </c>
      <c r="M14" s="99">
        <v>3000</v>
      </c>
      <c r="N14" s="99">
        <v>1500</v>
      </c>
      <c r="O14" s="99">
        <f t="shared" si="2"/>
        <v>45</v>
      </c>
      <c r="P14" s="99">
        <f t="shared" si="3"/>
        <v>1545</v>
      </c>
      <c r="Q14" s="99"/>
      <c r="R14" s="99"/>
      <c r="S14" s="100"/>
      <c r="T14" s="101"/>
    </row>
    <row r="15" spans="2:20" x14ac:dyDescent="0.3">
      <c r="B15" s="106" t="s">
        <v>27</v>
      </c>
      <c r="C15" s="99">
        <v>1500</v>
      </c>
      <c r="D15" s="99">
        <v>1500</v>
      </c>
      <c r="E15" s="99">
        <f t="shared" si="0"/>
        <v>22.5</v>
      </c>
      <c r="F15" s="99">
        <f t="shared" si="1"/>
        <v>1522.5</v>
      </c>
      <c r="G15" s="99"/>
      <c r="H15" s="99"/>
      <c r="I15" s="100"/>
      <c r="J15" s="124" t="s">
        <v>42</v>
      </c>
      <c r="L15" s="106" t="s">
        <v>27</v>
      </c>
      <c r="M15" s="99">
        <v>1500</v>
      </c>
      <c r="N15" s="99">
        <v>1500</v>
      </c>
      <c r="O15" s="99">
        <f t="shared" si="2"/>
        <v>22.5</v>
      </c>
      <c r="P15" s="99">
        <f t="shared" si="3"/>
        <v>1522.5</v>
      </c>
      <c r="Q15" s="99"/>
      <c r="R15" s="99"/>
      <c r="S15" s="100"/>
      <c r="T15" s="124" t="s">
        <v>42</v>
      </c>
    </row>
    <row r="18" spans="2:20" x14ac:dyDescent="0.3">
      <c r="B18" s="77" t="s">
        <v>0</v>
      </c>
      <c r="C18" s="77" t="s">
        <v>142</v>
      </c>
      <c r="E18" s="78"/>
      <c r="F18" s="79"/>
      <c r="G18" s="79"/>
      <c r="H18" s="80"/>
      <c r="I18" s="81" t="s">
        <v>1</v>
      </c>
      <c r="J18" s="82">
        <v>100000</v>
      </c>
      <c r="L18" s="77" t="s">
        <v>0</v>
      </c>
      <c r="M18" s="77" t="s">
        <v>142</v>
      </c>
      <c r="O18" s="78"/>
      <c r="P18" s="79"/>
      <c r="Q18" s="79"/>
      <c r="R18" s="80"/>
      <c r="S18" s="81" t="s">
        <v>1</v>
      </c>
      <c r="T18" s="82">
        <v>100000</v>
      </c>
    </row>
    <row r="19" spans="2:20" x14ac:dyDescent="0.3">
      <c r="B19" s="77" t="s">
        <v>2</v>
      </c>
      <c r="C19" s="131"/>
      <c r="D19" s="79"/>
      <c r="E19" s="83"/>
      <c r="F19" s="81"/>
      <c r="G19" s="81"/>
      <c r="H19" s="84"/>
      <c r="I19" s="81" t="s">
        <v>3</v>
      </c>
      <c r="J19" s="85" t="s">
        <v>234</v>
      </c>
      <c r="L19" s="77" t="s">
        <v>2</v>
      </c>
      <c r="M19" s="131"/>
      <c r="N19" s="79"/>
      <c r="O19" s="83"/>
      <c r="P19" s="81"/>
      <c r="Q19" s="81"/>
      <c r="R19" s="84"/>
      <c r="S19" s="81" t="s">
        <v>3</v>
      </c>
      <c r="T19" s="85" t="s">
        <v>234</v>
      </c>
    </row>
    <row r="20" spans="2:20" x14ac:dyDescent="0.3">
      <c r="B20" s="77" t="s">
        <v>4</v>
      </c>
      <c r="C20" s="112"/>
      <c r="D20" s="79"/>
      <c r="E20" s="79"/>
      <c r="F20" s="79"/>
      <c r="G20" s="81"/>
      <c r="H20" s="78"/>
      <c r="I20" s="81" t="s">
        <v>5</v>
      </c>
      <c r="J20" s="86">
        <v>1.4999999999999999E-2</v>
      </c>
      <c r="L20" s="77" t="s">
        <v>4</v>
      </c>
      <c r="M20" s="112"/>
      <c r="N20" s="79"/>
      <c r="O20" s="79"/>
      <c r="P20" s="79"/>
      <c r="Q20" s="81"/>
      <c r="R20" s="78"/>
      <c r="S20" s="81" t="s">
        <v>5</v>
      </c>
      <c r="T20" s="86">
        <v>1.4999999999999999E-2</v>
      </c>
    </row>
    <row r="21" spans="2:20" ht="15" thickBot="1" x14ac:dyDescent="0.35">
      <c r="B21" s="77" t="s">
        <v>6</v>
      </c>
      <c r="C21" s="133"/>
      <c r="D21" s="79"/>
      <c r="E21" s="79"/>
      <c r="F21" s="88"/>
      <c r="G21" s="88"/>
      <c r="H21" s="87"/>
      <c r="I21" s="88" t="s">
        <v>7</v>
      </c>
      <c r="J21" s="78">
        <v>10</v>
      </c>
      <c r="L21" s="77" t="s">
        <v>6</v>
      </c>
      <c r="M21" s="133"/>
      <c r="N21" s="79"/>
      <c r="O21" s="79"/>
      <c r="P21" s="88"/>
      <c r="Q21" s="88"/>
      <c r="R21" s="87"/>
      <c r="S21" s="88" t="s">
        <v>7</v>
      </c>
      <c r="T21" s="78">
        <v>10</v>
      </c>
    </row>
    <row r="22" spans="2:20" ht="51.6" thickBot="1" x14ac:dyDescent="0.35">
      <c r="B22" s="89" t="s">
        <v>8</v>
      </c>
      <c r="C22" s="89" t="s">
        <v>9</v>
      </c>
      <c r="D22" s="89" t="s">
        <v>10</v>
      </c>
      <c r="E22" s="90" t="s">
        <v>11</v>
      </c>
      <c r="F22" s="91" t="s">
        <v>12</v>
      </c>
      <c r="G22" s="92" t="s">
        <v>13</v>
      </c>
      <c r="H22" s="92" t="s">
        <v>14</v>
      </c>
      <c r="I22" s="92" t="s">
        <v>15</v>
      </c>
      <c r="J22" s="93" t="s">
        <v>16</v>
      </c>
      <c r="L22" s="89" t="s">
        <v>8</v>
      </c>
      <c r="M22" s="89" t="s">
        <v>9</v>
      </c>
      <c r="N22" s="89" t="s">
        <v>10</v>
      </c>
      <c r="O22" s="90" t="s">
        <v>11</v>
      </c>
      <c r="P22" s="91" t="s">
        <v>12</v>
      </c>
      <c r="Q22" s="92" t="s">
        <v>13</v>
      </c>
      <c r="R22" s="92" t="s">
        <v>14</v>
      </c>
      <c r="S22" s="92" t="s">
        <v>15</v>
      </c>
      <c r="T22" s="93" t="s">
        <v>16</v>
      </c>
    </row>
    <row r="23" spans="2:20" x14ac:dyDescent="0.3">
      <c r="B23" s="94" t="s">
        <v>17</v>
      </c>
      <c r="C23" s="95">
        <f>J18</f>
        <v>100000</v>
      </c>
      <c r="D23" s="95">
        <f>J18/J21</f>
        <v>10000</v>
      </c>
      <c r="E23" s="95">
        <f t="shared" ref="E23:E32" si="4">(C23*0.015)</f>
        <v>1500</v>
      </c>
      <c r="F23" s="95">
        <f t="shared" ref="F23:F32" si="5">SUM(D23:E23)</f>
        <v>11500</v>
      </c>
      <c r="G23" s="95"/>
      <c r="H23" s="95"/>
      <c r="I23" s="96"/>
      <c r="J23" s="97"/>
      <c r="L23" s="94" t="s">
        <v>17</v>
      </c>
      <c r="M23" s="95">
        <f>T18</f>
        <v>100000</v>
      </c>
      <c r="N23" s="95">
        <f>T18/T21</f>
        <v>10000</v>
      </c>
      <c r="O23" s="95">
        <f t="shared" ref="O23:O32" si="6">(M23*0.015)</f>
        <v>1500</v>
      </c>
      <c r="P23" s="95">
        <f t="shared" ref="P23:P32" si="7">SUM(N23:O23)</f>
        <v>11500</v>
      </c>
      <c r="Q23" s="95"/>
      <c r="R23" s="95"/>
      <c r="S23" s="96"/>
      <c r="T23" s="97"/>
    </row>
    <row r="24" spans="2:20" ht="15" thickBot="1" x14ac:dyDescent="0.35">
      <c r="B24" s="98" t="s">
        <v>18</v>
      </c>
      <c r="C24" s="99">
        <v>90000</v>
      </c>
      <c r="D24" s="99">
        <v>10000</v>
      </c>
      <c r="E24" s="99">
        <f t="shared" si="4"/>
        <v>1350</v>
      </c>
      <c r="F24" s="99">
        <f t="shared" si="5"/>
        <v>11350</v>
      </c>
      <c r="G24" s="99"/>
      <c r="H24" s="99"/>
      <c r="I24" s="100"/>
      <c r="J24" s="101"/>
      <c r="L24" s="98" t="s">
        <v>18</v>
      </c>
      <c r="M24" s="99">
        <v>90000</v>
      </c>
      <c r="N24" s="99">
        <v>10000</v>
      </c>
      <c r="O24" s="99">
        <f t="shared" si="6"/>
        <v>1350</v>
      </c>
      <c r="P24" s="99">
        <f t="shared" si="7"/>
        <v>11350</v>
      </c>
      <c r="Q24" s="99"/>
      <c r="R24" s="99"/>
      <c r="S24" s="100"/>
      <c r="T24" s="101"/>
    </row>
    <row r="25" spans="2:20" x14ac:dyDescent="0.3">
      <c r="B25" s="98" t="s">
        <v>19</v>
      </c>
      <c r="C25" s="99">
        <v>80000</v>
      </c>
      <c r="D25" s="95">
        <v>10000</v>
      </c>
      <c r="E25" s="99">
        <f t="shared" si="4"/>
        <v>1200</v>
      </c>
      <c r="F25" s="99">
        <f t="shared" si="5"/>
        <v>11200</v>
      </c>
      <c r="G25" s="99"/>
      <c r="H25" s="99"/>
      <c r="I25" s="100"/>
      <c r="J25" s="101"/>
      <c r="L25" s="98" t="s">
        <v>19</v>
      </c>
      <c r="M25" s="99">
        <v>80000</v>
      </c>
      <c r="N25" s="95">
        <v>10000</v>
      </c>
      <c r="O25" s="99">
        <f t="shared" si="6"/>
        <v>1200</v>
      </c>
      <c r="P25" s="99">
        <f t="shared" si="7"/>
        <v>11200</v>
      </c>
      <c r="Q25" s="99"/>
      <c r="R25" s="99"/>
      <c r="S25" s="100"/>
      <c r="T25" s="101"/>
    </row>
    <row r="26" spans="2:20" ht="15" thickBot="1" x14ac:dyDescent="0.35">
      <c r="B26" s="98" t="s">
        <v>20</v>
      </c>
      <c r="C26" s="99">
        <v>70000</v>
      </c>
      <c r="D26" s="99">
        <v>10000</v>
      </c>
      <c r="E26" s="99">
        <f t="shared" si="4"/>
        <v>1050</v>
      </c>
      <c r="F26" s="99">
        <f t="shared" si="5"/>
        <v>11050</v>
      </c>
      <c r="G26" s="99"/>
      <c r="H26" s="99"/>
      <c r="I26" s="100"/>
      <c r="J26" s="101"/>
      <c r="L26" s="98" t="s">
        <v>20</v>
      </c>
      <c r="M26" s="99">
        <v>70000</v>
      </c>
      <c r="N26" s="99">
        <v>10000</v>
      </c>
      <c r="O26" s="99">
        <f t="shared" si="6"/>
        <v>1050</v>
      </c>
      <c r="P26" s="99">
        <f t="shared" si="7"/>
        <v>11050</v>
      </c>
      <c r="Q26" s="99"/>
      <c r="R26" s="99"/>
      <c r="S26" s="100"/>
      <c r="T26" s="101"/>
    </row>
    <row r="27" spans="2:20" x14ac:dyDescent="0.3">
      <c r="B27" s="98" t="s">
        <v>21</v>
      </c>
      <c r="C27" s="99">
        <v>60000</v>
      </c>
      <c r="D27" s="95">
        <v>10000</v>
      </c>
      <c r="E27" s="99">
        <f t="shared" si="4"/>
        <v>900</v>
      </c>
      <c r="F27" s="99">
        <f t="shared" si="5"/>
        <v>10900</v>
      </c>
      <c r="G27" s="99"/>
      <c r="H27" s="99"/>
      <c r="I27" s="100"/>
      <c r="J27" s="101"/>
      <c r="L27" s="98" t="s">
        <v>21</v>
      </c>
      <c r="M27" s="99">
        <v>60000</v>
      </c>
      <c r="N27" s="95">
        <v>10000</v>
      </c>
      <c r="O27" s="99">
        <f t="shared" si="6"/>
        <v>900</v>
      </c>
      <c r="P27" s="99">
        <f t="shared" si="7"/>
        <v>10900</v>
      </c>
      <c r="Q27" s="99"/>
      <c r="R27" s="99"/>
      <c r="S27" s="100"/>
      <c r="T27" s="101"/>
    </row>
    <row r="28" spans="2:20" ht="15" thickBot="1" x14ac:dyDescent="0.35">
      <c r="B28" s="98" t="s">
        <v>23</v>
      </c>
      <c r="C28" s="99">
        <v>50000</v>
      </c>
      <c r="D28" s="99">
        <v>10000</v>
      </c>
      <c r="E28" s="99">
        <f t="shared" si="4"/>
        <v>750</v>
      </c>
      <c r="F28" s="99">
        <f t="shared" si="5"/>
        <v>10750</v>
      </c>
      <c r="G28" s="99"/>
      <c r="H28" s="99"/>
      <c r="I28" s="100"/>
      <c r="J28" s="101"/>
      <c r="L28" s="98" t="s">
        <v>23</v>
      </c>
      <c r="M28" s="99">
        <v>50000</v>
      </c>
      <c r="N28" s="99">
        <v>10000</v>
      </c>
      <c r="O28" s="99">
        <f t="shared" si="6"/>
        <v>750</v>
      </c>
      <c r="P28" s="99">
        <f t="shared" si="7"/>
        <v>10750</v>
      </c>
      <c r="Q28" s="99"/>
      <c r="R28" s="99"/>
      <c r="S28" s="100"/>
      <c r="T28" s="101"/>
    </row>
    <row r="29" spans="2:20" x14ac:dyDescent="0.3">
      <c r="B29" s="98" t="s">
        <v>24</v>
      </c>
      <c r="C29" s="99">
        <v>40000</v>
      </c>
      <c r="D29" s="95">
        <v>10000</v>
      </c>
      <c r="E29" s="99">
        <f t="shared" si="4"/>
        <v>600</v>
      </c>
      <c r="F29" s="99">
        <f t="shared" si="5"/>
        <v>10600</v>
      </c>
      <c r="G29" s="99"/>
      <c r="H29" s="99"/>
      <c r="I29" s="100"/>
      <c r="J29" s="101"/>
      <c r="L29" s="98" t="s">
        <v>24</v>
      </c>
      <c r="M29" s="99">
        <v>40000</v>
      </c>
      <c r="N29" s="95">
        <v>10000</v>
      </c>
      <c r="O29" s="99">
        <f t="shared" si="6"/>
        <v>600</v>
      </c>
      <c r="P29" s="99">
        <f t="shared" si="7"/>
        <v>10600</v>
      </c>
      <c r="Q29" s="99"/>
      <c r="R29" s="99"/>
      <c r="S29" s="100"/>
      <c r="T29" s="101"/>
    </row>
    <row r="30" spans="2:20" x14ac:dyDescent="0.3">
      <c r="B30" s="98" t="s">
        <v>25</v>
      </c>
      <c r="C30" s="99">
        <v>30000</v>
      </c>
      <c r="D30" s="99">
        <v>10000</v>
      </c>
      <c r="E30" s="99">
        <f t="shared" si="4"/>
        <v>450</v>
      </c>
      <c r="F30" s="99">
        <f t="shared" si="5"/>
        <v>10450</v>
      </c>
      <c r="G30" s="99"/>
      <c r="H30" s="99"/>
      <c r="I30" s="100"/>
      <c r="J30" s="101"/>
      <c r="L30" s="98" t="s">
        <v>25</v>
      </c>
      <c r="M30" s="99">
        <v>30000</v>
      </c>
      <c r="N30" s="99">
        <v>10000</v>
      </c>
      <c r="O30" s="99">
        <f t="shared" si="6"/>
        <v>450</v>
      </c>
      <c r="P30" s="99">
        <f t="shared" si="7"/>
        <v>10450</v>
      </c>
      <c r="Q30" s="99"/>
      <c r="R30" s="99"/>
      <c r="S30" s="100"/>
      <c r="T30" s="101"/>
    </row>
    <row r="31" spans="2:20" x14ac:dyDescent="0.3">
      <c r="B31" s="98" t="s">
        <v>26</v>
      </c>
      <c r="C31" s="99">
        <v>20000</v>
      </c>
      <c r="D31" s="99">
        <v>10000</v>
      </c>
      <c r="E31" s="99">
        <f t="shared" si="4"/>
        <v>300</v>
      </c>
      <c r="F31" s="99">
        <f t="shared" si="5"/>
        <v>10300</v>
      </c>
      <c r="G31" s="99"/>
      <c r="H31" s="99"/>
      <c r="I31" s="100"/>
      <c r="J31" s="101"/>
      <c r="L31" s="98" t="s">
        <v>26</v>
      </c>
      <c r="M31" s="99">
        <v>20000</v>
      </c>
      <c r="N31" s="99">
        <v>10000</v>
      </c>
      <c r="O31" s="99">
        <f t="shared" si="6"/>
        <v>300</v>
      </c>
      <c r="P31" s="99">
        <f t="shared" si="7"/>
        <v>10300</v>
      </c>
      <c r="Q31" s="99"/>
      <c r="R31" s="99"/>
      <c r="S31" s="100"/>
      <c r="T31" s="101"/>
    </row>
    <row r="32" spans="2:20" x14ac:dyDescent="0.3">
      <c r="B32" s="168" t="s">
        <v>27</v>
      </c>
      <c r="C32" s="165">
        <v>10000</v>
      </c>
      <c r="D32" s="165">
        <v>10000</v>
      </c>
      <c r="E32" s="165">
        <f t="shared" si="4"/>
        <v>150</v>
      </c>
      <c r="F32" s="165">
        <f t="shared" si="5"/>
        <v>10150</v>
      </c>
      <c r="G32" s="165"/>
      <c r="H32" s="165"/>
      <c r="I32" s="166"/>
      <c r="J32" s="181" t="s">
        <v>42</v>
      </c>
      <c r="L32" s="168" t="s">
        <v>27</v>
      </c>
      <c r="M32" s="165">
        <v>10000</v>
      </c>
      <c r="N32" s="165">
        <v>10000</v>
      </c>
      <c r="O32" s="165">
        <f t="shared" si="6"/>
        <v>150</v>
      </c>
      <c r="P32" s="165">
        <f t="shared" si="7"/>
        <v>10150</v>
      </c>
      <c r="Q32" s="165"/>
      <c r="R32" s="165"/>
      <c r="S32" s="166"/>
      <c r="T32" s="181" t="s">
        <v>42</v>
      </c>
    </row>
    <row r="33" spans="1:20" x14ac:dyDescent="0.3">
      <c r="B33" s="77"/>
      <c r="C33" s="78"/>
      <c r="D33" s="79"/>
      <c r="E33" s="79"/>
      <c r="F33" s="79"/>
      <c r="G33" s="81"/>
      <c r="H33" s="78"/>
      <c r="I33" s="81"/>
      <c r="J33" s="86"/>
      <c r="L33" s="77"/>
      <c r="M33" s="78"/>
      <c r="N33" s="79"/>
      <c r="O33" s="79"/>
      <c r="P33" s="79"/>
      <c r="Q33" s="81"/>
      <c r="R33" s="78"/>
      <c r="S33" s="81"/>
      <c r="T33" s="86"/>
    </row>
    <row r="34" spans="1:20" x14ac:dyDescent="0.3">
      <c r="B34" s="77"/>
      <c r="C34" s="78"/>
      <c r="D34" s="79"/>
      <c r="E34" s="79"/>
      <c r="F34" s="81"/>
      <c r="G34" s="81"/>
      <c r="H34" s="78"/>
      <c r="I34" s="81"/>
      <c r="J34" s="78"/>
      <c r="L34" s="77"/>
      <c r="M34" s="78"/>
      <c r="N34" s="79"/>
      <c r="O34" s="79"/>
      <c r="P34" s="81"/>
      <c r="Q34" s="81"/>
      <c r="R34" s="78"/>
      <c r="S34" s="81"/>
      <c r="T34" s="78"/>
    </row>
    <row r="35" spans="1:20" x14ac:dyDescent="0.3">
      <c r="A35" s="185"/>
      <c r="B35" s="186" t="s">
        <v>0</v>
      </c>
      <c r="C35" s="187" t="s">
        <v>124</v>
      </c>
      <c r="D35" s="188"/>
      <c r="E35" s="189"/>
      <c r="F35" s="190"/>
      <c r="G35" s="190"/>
      <c r="H35" s="191"/>
      <c r="I35" s="192" t="s">
        <v>1</v>
      </c>
      <c r="J35" s="193">
        <v>30000</v>
      </c>
      <c r="K35" s="194"/>
      <c r="L35" s="198" t="s">
        <v>0</v>
      </c>
      <c r="M35" s="187" t="s">
        <v>124</v>
      </c>
      <c r="N35" s="188"/>
      <c r="O35" s="189"/>
      <c r="P35" s="190"/>
      <c r="Q35" s="190"/>
      <c r="R35" s="191"/>
      <c r="S35" s="192" t="s">
        <v>1</v>
      </c>
      <c r="T35" s="193">
        <v>30000</v>
      </c>
    </row>
    <row r="36" spans="1:20" x14ac:dyDescent="0.3">
      <c r="A36" s="194"/>
      <c r="B36" s="112" t="s">
        <v>2</v>
      </c>
      <c r="C36" s="131"/>
      <c r="D36" s="79"/>
      <c r="E36" s="83"/>
      <c r="F36" s="81"/>
      <c r="G36" s="81"/>
      <c r="H36" s="84"/>
      <c r="I36" s="81" t="s">
        <v>3</v>
      </c>
      <c r="J36" s="195" t="s">
        <v>316</v>
      </c>
      <c r="K36" s="194"/>
      <c r="L36" s="199" t="s">
        <v>2</v>
      </c>
      <c r="M36" s="131"/>
      <c r="N36" s="79"/>
      <c r="O36" s="83"/>
      <c r="P36" s="81"/>
      <c r="Q36" s="81"/>
      <c r="R36" s="84"/>
      <c r="S36" s="81" t="s">
        <v>3</v>
      </c>
      <c r="T36" s="195" t="s">
        <v>316</v>
      </c>
    </row>
    <row r="37" spans="1:20" x14ac:dyDescent="0.3">
      <c r="A37" s="194"/>
      <c r="B37" s="112" t="s">
        <v>4</v>
      </c>
      <c r="C37" s="112"/>
      <c r="D37" s="79"/>
      <c r="E37" s="79"/>
      <c r="F37" s="79"/>
      <c r="G37" s="81"/>
      <c r="H37" s="78"/>
      <c r="I37" s="81" t="s">
        <v>5</v>
      </c>
      <c r="J37" s="196">
        <v>1.4999999999999999E-2</v>
      </c>
      <c r="K37" s="194"/>
      <c r="L37" s="199" t="s">
        <v>4</v>
      </c>
      <c r="M37" s="112"/>
      <c r="N37" s="79"/>
      <c r="O37" s="79"/>
      <c r="P37" s="79"/>
      <c r="Q37" s="81"/>
      <c r="R37" s="78"/>
      <c r="S37" s="81" t="s">
        <v>5</v>
      </c>
      <c r="T37" s="196">
        <v>1.4999999999999999E-2</v>
      </c>
    </row>
    <row r="38" spans="1:20" x14ac:dyDescent="0.3">
      <c r="A38" s="194"/>
      <c r="B38" s="112" t="s">
        <v>6</v>
      </c>
      <c r="C38" s="112"/>
      <c r="D38" s="79"/>
      <c r="E38" s="79"/>
      <c r="F38" s="81"/>
      <c r="G38" s="81"/>
      <c r="H38" s="78"/>
      <c r="I38" s="81" t="s">
        <v>7</v>
      </c>
      <c r="J38" s="197">
        <v>10</v>
      </c>
      <c r="K38" s="194"/>
      <c r="L38" s="200" t="s">
        <v>6</v>
      </c>
      <c r="M38" s="201"/>
      <c r="N38" s="202"/>
      <c r="O38" s="202"/>
      <c r="P38" s="203"/>
      <c r="Q38" s="203"/>
      <c r="R38" s="204"/>
      <c r="S38" s="203" t="s">
        <v>7</v>
      </c>
      <c r="T38" s="205">
        <v>10</v>
      </c>
    </row>
    <row r="39" spans="1:20" ht="51" x14ac:dyDescent="0.3">
      <c r="A39" s="171"/>
      <c r="B39" s="183" t="s">
        <v>8</v>
      </c>
      <c r="C39" s="146" t="s">
        <v>9</v>
      </c>
      <c r="D39" s="146" t="s">
        <v>10</v>
      </c>
      <c r="E39" s="182" t="s">
        <v>11</v>
      </c>
      <c r="F39" s="182" t="s">
        <v>12</v>
      </c>
      <c r="G39" s="182" t="s">
        <v>13</v>
      </c>
      <c r="H39" s="182" t="s">
        <v>14</v>
      </c>
      <c r="I39" s="182" t="s">
        <v>15</v>
      </c>
      <c r="J39" s="180" t="s">
        <v>16</v>
      </c>
      <c r="L39" s="183" t="s">
        <v>8</v>
      </c>
      <c r="M39" s="146" t="s">
        <v>9</v>
      </c>
      <c r="N39" s="146" t="s">
        <v>10</v>
      </c>
      <c r="O39" s="182" t="s">
        <v>11</v>
      </c>
      <c r="P39" s="182" t="s">
        <v>12</v>
      </c>
      <c r="Q39" s="182" t="s">
        <v>13</v>
      </c>
      <c r="R39" s="182" t="s">
        <v>14</v>
      </c>
      <c r="S39" s="182" t="s">
        <v>15</v>
      </c>
      <c r="T39" s="180" t="s">
        <v>16</v>
      </c>
    </row>
    <row r="40" spans="1:20" x14ac:dyDescent="0.3">
      <c r="B40" s="184" t="s">
        <v>17</v>
      </c>
      <c r="C40" s="99">
        <f>J35</f>
        <v>30000</v>
      </c>
      <c r="D40" s="99">
        <f>J35/J38</f>
        <v>3000</v>
      </c>
      <c r="E40" s="99">
        <f t="shared" ref="E40:E49" si="8">(C40*0.015)</f>
        <v>450</v>
      </c>
      <c r="F40" s="99">
        <f t="shared" ref="F40:F49" si="9">SUM(D40:E40)</f>
        <v>3450</v>
      </c>
      <c r="G40" s="99"/>
      <c r="H40" s="99"/>
      <c r="I40" s="100"/>
      <c r="J40" s="124"/>
      <c r="L40" s="184" t="s">
        <v>17</v>
      </c>
      <c r="M40" s="99">
        <f>T35</f>
        <v>30000</v>
      </c>
      <c r="N40" s="99">
        <f>T35/T38</f>
        <v>3000</v>
      </c>
      <c r="O40" s="99">
        <f t="shared" ref="O40:O49" si="10">(M40*0.015)</f>
        <v>450</v>
      </c>
      <c r="P40" s="99">
        <f t="shared" ref="P40:P49" si="11">SUM(N40:O40)</f>
        <v>3450</v>
      </c>
      <c r="Q40" s="99"/>
      <c r="R40" s="99"/>
      <c r="S40" s="100"/>
      <c r="T40" s="124"/>
    </row>
    <row r="41" spans="1:20" x14ac:dyDescent="0.3">
      <c r="B41" s="184" t="s">
        <v>18</v>
      </c>
      <c r="C41" s="99">
        <v>27000</v>
      </c>
      <c r="D41" s="99">
        <v>3000</v>
      </c>
      <c r="E41" s="99">
        <f t="shared" si="8"/>
        <v>405</v>
      </c>
      <c r="F41" s="99">
        <f t="shared" si="9"/>
        <v>3405</v>
      </c>
      <c r="G41" s="99"/>
      <c r="H41" s="99"/>
      <c r="I41" s="100"/>
      <c r="J41" s="124"/>
      <c r="L41" s="184" t="s">
        <v>18</v>
      </c>
      <c r="M41" s="99">
        <v>27000</v>
      </c>
      <c r="N41" s="99">
        <v>3000</v>
      </c>
      <c r="O41" s="99">
        <f t="shared" si="10"/>
        <v>405</v>
      </c>
      <c r="P41" s="99">
        <f t="shared" si="11"/>
        <v>3405</v>
      </c>
      <c r="Q41" s="99"/>
      <c r="R41" s="99"/>
      <c r="S41" s="100"/>
      <c r="T41" s="124"/>
    </row>
    <row r="42" spans="1:20" x14ac:dyDescent="0.3">
      <c r="B42" s="184" t="s">
        <v>19</v>
      </c>
      <c r="C42" s="99">
        <v>24000</v>
      </c>
      <c r="D42" s="99">
        <v>3000</v>
      </c>
      <c r="E42" s="99">
        <f t="shared" si="8"/>
        <v>360</v>
      </c>
      <c r="F42" s="99">
        <f t="shared" si="9"/>
        <v>3360</v>
      </c>
      <c r="G42" s="99"/>
      <c r="H42" s="99"/>
      <c r="I42" s="100"/>
      <c r="J42" s="124"/>
      <c r="L42" s="184" t="s">
        <v>19</v>
      </c>
      <c r="M42" s="99">
        <v>24000</v>
      </c>
      <c r="N42" s="99">
        <v>3000</v>
      </c>
      <c r="O42" s="99">
        <f t="shared" si="10"/>
        <v>360</v>
      </c>
      <c r="P42" s="99">
        <f t="shared" si="11"/>
        <v>3360</v>
      </c>
      <c r="Q42" s="99"/>
      <c r="R42" s="99"/>
      <c r="S42" s="100"/>
      <c r="T42" s="124"/>
    </row>
    <row r="43" spans="1:20" x14ac:dyDescent="0.3">
      <c r="B43" s="184" t="s">
        <v>20</v>
      </c>
      <c r="C43" s="99">
        <v>21000</v>
      </c>
      <c r="D43" s="99">
        <v>3000</v>
      </c>
      <c r="E43" s="99">
        <f t="shared" si="8"/>
        <v>315</v>
      </c>
      <c r="F43" s="99">
        <f t="shared" si="9"/>
        <v>3315</v>
      </c>
      <c r="G43" s="99"/>
      <c r="H43" s="99"/>
      <c r="I43" s="100"/>
      <c r="J43" s="124"/>
      <c r="L43" s="184" t="s">
        <v>20</v>
      </c>
      <c r="M43" s="99">
        <v>21000</v>
      </c>
      <c r="N43" s="99">
        <v>3000</v>
      </c>
      <c r="O43" s="99">
        <f t="shared" si="10"/>
        <v>315</v>
      </c>
      <c r="P43" s="99">
        <f t="shared" si="11"/>
        <v>3315</v>
      </c>
      <c r="Q43" s="99"/>
      <c r="R43" s="99"/>
      <c r="S43" s="100"/>
      <c r="T43" s="124"/>
    </row>
    <row r="44" spans="1:20" x14ac:dyDescent="0.3">
      <c r="B44" s="184" t="s">
        <v>21</v>
      </c>
      <c r="C44" s="99">
        <v>18000</v>
      </c>
      <c r="D44" s="99">
        <v>3000</v>
      </c>
      <c r="E44" s="99">
        <f t="shared" si="8"/>
        <v>270</v>
      </c>
      <c r="F44" s="99">
        <f t="shared" si="9"/>
        <v>3270</v>
      </c>
      <c r="G44" s="99"/>
      <c r="H44" s="99"/>
      <c r="I44" s="100"/>
      <c r="J44" s="124"/>
      <c r="L44" s="184" t="s">
        <v>21</v>
      </c>
      <c r="M44" s="99">
        <v>18000</v>
      </c>
      <c r="N44" s="99">
        <v>3000</v>
      </c>
      <c r="O44" s="99">
        <f t="shared" si="10"/>
        <v>270</v>
      </c>
      <c r="P44" s="99">
        <f t="shared" si="11"/>
        <v>3270</v>
      </c>
      <c r="Q44" s="99"/>
      <c r="R44" s="99"/>
      <c r="S44" s="100"/>
      <c r="T44" s="124"/>
    </row>
    <row r="45" spans="1:20" x14ac:dyDescent="0.3">
      <c r="B45" s="184" t="s">
        <v>23</v>
      </c>
      <c r="C45" s="99">
        <v>15000</v>
      </c>
      <c r="D45" s="99">
        <v>3000</v>
      </c>
      <c r="E45" s="99">
        <f t="shared" si="8"/>
        <v>225</v>
      </c>
      <c r="F45" s="99">
        <f t="shared" si="9"/>
        <v>3225</v>
      </c>
      <c r="G45" s="99"/>
      <c r="H45" s="99"/>
      <c r="I45" s="100"/>
      <c r="J45" s="124"/>
      <c r="L45" s="184" t="s">
        <v>23</v>
      </c>
      <c r="M45" s="99">
        <v>15000</v>
      </c>
      <c r="N45" s="99">
        <v>3000</v>
      </c>
      <c r="O45" s="99">
        <f t="shared" si="10"/>
        <v>225</v>
      </c>
      <c r="P45" s="99">
        <f t="shared" si="11"/>
        <v>3225</v>
      </c>
      <c r="Q45" s="99"/>
      <c r="R45" s="99"/>
      <c r="S45" s="100"/>
      <c r="T45" s="124"/>
    </row>
    <row r="46" spans="1:20" x14ac:dyDescent="0.3">
      <c r="B46" s="184" t="s">
        <v>24</v>
      </c>
      <c r="C46" s="99">
        <v>12000</v>
      </c>
      <c r="D46" s="99">
        <v>3000</v>
      </c>
      <c r="E46" s="99">
        <f t="shared" si="8"/>
        <v>180</v>
      </c>
      <c r="F46" s="99">
        <f t="shared" si="9"/>
        <v>3180</v>
      </c>
      <c r="G46" s="99"/>
      <c r="H46" s="99"/>
      <c r="I46" s="100"/>
      <c r="J46" s="124"/>
      <c r="L46" s="184" t="s">
        <v>24</v>
      </c>
      <c r="M46" s="99">
        <v>12000</v>
      </c>
      <c r="N46" s="99">
        <v>3000</v>
      </c>
      <c r="O46" s="99">
        <f t="shared" si="10"/>
        <v>180</v>
      </c>
      <c r="P46" s="99">
        <f t="shared" si="11"/>
        <v>3180</v>
      </c>
      <c r="Q46" s="99"/>
      <c r="R46" s="99"/>
      <c r="S46" s="100"/>
      <c r="T46" s="124"/>
    </row>
    <row r="47" spans="1:20" x14ac:dyDescent="0.3">
      <c r="B47" s="184" t="s">
        <v>25</v>
      </c>
      <c r="C47" s="99">
        <v>9000</v>
      </c>
      <c r="D47" s="99">
        <v>3000</v>
      </c>
      <c r="E47" s="99">
        <f t="shared" si="8"/>
        <v>135</v>
      </c>
      <c r="F47" s="99">
        <f t="shared" si="9"/>
        <v>3135</v>
      </c>
      <c r="G47" s="99"/>
      <c r="H47" s="99"/>
      <c r="I47" s="100"/>
      <c r="J47" s="124"/>
      <c r="L47" s="184" t="s">
        <v>25</v>
      </c>
      <c r="M47" s="99">
        <v>9000</v>
      </c>
      <c r="N47" s="99">
        <v>3000</v>
      </c>
      <c r="O47" s="99">
        <f t="shared" si="10"/>
        <v>135</v>
      </c>
      <c r="P47" s="99">
        <f t="shared" si="11"/>
        <v>3135</v>
      </c>
      <c r="Q47" s="99"/>
      <c r="R47" s="99"/>
      <c r="S47" s="100"/>
      <c r="T47" s="124"/>
    </row>
    <row r="48" spans="1:20" x14ac:dyDescent="0.3">
      <c r="B48" s="184" t="s">
        <v>26</v>
      </c>
      <c r="C48" s="99">
        <v>6000</v>
      </c>
      <c r="D48" s="99">
        <v>3000</v>
      </c>
      <c r="E48" s="99">
        <f t="shared" si="8"/>
        <v>90</v>
      </c>
      <c r="F48" s="99">
        <f t="shared" si="9"/>
        <v>3090</v>
      </c>
      <c r="G48" s="99"/>
      <c r="H48" s="99"/>
      <c r="I48" s="100"/>
      <c r="J48" s="124"/>
      <c r="L48" s="184" t="s">
        <v>26</v>
      </c>
      <c r="M48" s="99">
        <v>6000</v>
      </c>
      <c r="N48" s="99">
        <v>3000</v>
      </c>
      <c r="O48" s="99">
        <f t="shared" si="10"/>
        <v>90</v>
      </c>
      <c r="P48" s="99">
        <f t="shared" si="11"/>
        <v>3090</v>
      </c>
      <c r="Q48" s="99"/>
      <c r="R48" s="99"/>
      <c r="S48" s="100"/>
      <c r="T48" s="124"/>
    </row>
    <row r="49" spans="2:20" x14ac:dyDescent="0.3">
      <c r="B49" s="184" t="s">
        <v>27</v>
      </c>
      <c r="C49" s="99">
        <v>3000</v>
      </c>
      <c r="D49" s="99">
        <v>3000</v>
      </c>
      <c r="E49" s="99">
        <f t="shared" si="8"/>
        <v>45</v>
      </c>
      <c r="F49" s="99">
        <f t="shared" si="9"/>
        <v>3045</v>
      </c>
      <c r="G49" s="99"/>
      <c r="H49" s="99"/>
      <c r="I49" s="100"/>
      <c r="J49" s="124" t="s">
        <v>42</v>
      </c>
      <c r="L49" s="184" t="s">
        <v>27</v>
      </c>
      <c r="M49" s="99">
        <v>3000</v>
      </c>
      <c r="N49" s="99">
        <v>3000</v>
      </c>
      <c r="O49" s="99">
        <f t="shared" si="10"/>
        <v>45</v>
      </c>
      <c r="P49" s="99">
        <f t="shared" si="11"/>
        <v>3045</v>
      </c>
      <c r="Q49" s="99"/>
      <c r="R49" s="99"/>
      <c r="S49" s="100"/>
      <c r="T49" s="124" t="s">
        <v>42</v>
      </c>
    </row>
    <row r="50" spans="2:20" x14ac:dyDescent="0.3">
      <c r="F50" s="38"/>
    </row>
    <row r="52" spans="2:20" x14ac:dyDescent="0.3">
      <c r="B52" s="211" t="s">
        <v>0</v>
      </c>
      <c r="C52" s="187" t="s">
        <v>124</v>
      </c>
      <c r="D52" s="212"/>
      <c r="E52" s="213"/>
      <c r="F52" s="214"/>
      <c r="G52" s="214"/>
      <c r="H52" s="191"/>
      <c r="I52" s="192" t="s">
        <v>1</v>
      </c>
      <c r="J52" s="215">
        <v>30000</v>
      </c>
      <c r="L52" s="211" t="s">
        <v>0</v>
      </c>
      <c r="M52" s="187" t="s">
        <v>124</v>
      </c>
      <c r="N52" s="212"/>
      <c r="O52" s="213"/>
      <c r="P52" s="214"/>
      <c r="Q52" s="214"/>
      <c r="R52" s="191"/>
      <c r="S52" s="192" t="s">
        <v>1</v>
      </c>
      <c r="T52" s="215">
        <v>30000</v>
      </c>
    </row>
    <row r="53" spans="2:20" x14ac:dyDescent="0.3">
      <c r="B53" s="216" t="s">
        <v>2</v>
      </c>
      <c r="C53" s="217"/>
      <c r="D53" s="218"/>
      <c r="E53" s="219"/>
      <c r="F53" s="81"/>
      <c r="G53" s="81"/>
      <c r="H53" s="220"/>
      <c r="I53" s="81" t="s">
        <v>3</v>
      </c>
      <c r="J53" s="221" t="s">
        <v>316</v>
      </c>
      <c r="L53" s="216" t="s">
        <v>2</v>
      </c>
      <c r="M53" s="217"/>
      <c r="N53" s="218"/>
      <c r="O53" s="219"/>
      <c r="P53" s="81"/>
      <c r="Q53" s="81"/>
      <c r="R53" s="220"/>
      <c r="S53" s="81" t="s">
        <v>3</v>
      </c>
      <c r="T53" s="221" t="s">
        <v>316</v>
      </c>
    </row>
    <row r="54" spans="2:20" x14ac:dyDescent="0.3">
      <c r="B54" s="216" t="s">
        <v>4</v>
      </c>
      <c r="C54" s="77"/>
      <c r="D54" s="218"/>
      <c r="E54" s="218"/>
      <c r="F54" s="218"/>
      <c r="G54" s="81"/>
      <c r="H54" s="222"/>
      <c r="I54" s="81" t="s">
        <v>5</v>
      </c>
      <c r="J54" s="223">
        <v>1.4999999999999999E-2</v>
      </c>
      <c r="L54" s="216" t="s">
        <v>4</v>
      </c>
      <c r="M54" s="77"/>
      <c r="N54" s="218"/>
      <c r="O54" s="218"/>
      <c r="P54" s="218"/>
      <c r="Q54" s="81"/>
      <c r="R54" s="222"/>
      <c r="S54" s="81" t="s">
        <v>5</v>
      </c>
      <c r="T54" s="223">
        <v>1.4999999999999999E-2</v>
      </c>
    </row>
    <row r="55" spans="2:20" x14ac:dyDescent="0.3">
      <c r="B55" s="224" t="s">
        <v>6</v>
      </c>
      <c r="C55" s="225"/>
      <c r="D55" s="226"/>
      <c r="E55" s="226"/>
      <c r="F55" s="203"/>
      <c r="G55" s="203"/>
      <c r="H55" s="227"/>
      <c r="I55" s="203" t="s">
        <v>7</v>
      </c>
      <c r="J55" s="228">
        <v>10</v>
      </c>
      <c r="L55" s="224" t="s">
        <v>6</v>
      </c>
      <c r="M55" s="225"/>
      <c r="N55" s="226"/>
      <c r="O55" s="226"/>
      <c r="P55" s="203"/>
      <c r="Q55" s="203"/>
      <c r="R55" s="227"/>
      <c r="S55" s="203" t="s">
        <v>7</v>
      </c>
      <c r="T55" s="228">
        <v>10</v>
      </c>
    </row>
    <row r="56" spans="2:20" ht="51.6" thickBot="1" x14ac:dyDescent="0.35">
      <c r="B56" s="206" t="s">
        <v>8</v>
      </c>
      <c r="C56" s="206" t="s">
        <v>9</v>
      </c>
      <c r="D56" s="206" t="s">
        <v>10</v>
      </c>
      <c r="E56" s="207" t="s">
        <v>11</v>
      </c>
      <c r="F56" s="208" t="s">
        <v>12</v>
      </c>
      <c r="G56" s="209" t="s">
        <v>13</v>
      </c>
      <c r="H56" s="209" t="s">
        <v>14</v>
      </c>
      <c r="I56" s="209" t="s">
        <v>15</v>
      </c>
      <c r="J56" s="210" t="s">
        <v>16</v>
      </c>
      <c r="L56" s="206" t="s">
        <v>8</v>
      </c>
      <c r="M56" s="206" t="s">
        <v>9</v>
      </c>
      <c r="N56" s="206" t="s">
        <v>10</v>
      </c>
      <c r="O56" s="207" t="s">
        <v>11</v>
      </c>
      <c r="P56" s="208" t="s">
        <v>12</v>
      </c>
      <c r="Q56" s="209" t="s">
        <v>13</v>
      </c>
      <c r="R56" s="209" t="s">
        <v>14</v>
      </c>
      <c r="S56" s="209" t="s">
        <v>15</v>
      </c>
      <c r="T56" s="210" t="s">
        <v>16</v>
      </c>
    </row>
    <row r="57" spans="2:20" x14ac:dyDescent="0.3">
      <c r="B57" s="94" t="s">
        <v>17</v>
      </c>
      <c r="C57" s="99">
        <f>J52</f>
        <v>30000</v>
      </c>
      <c r="D57" s="99">
        <f>J52/J55</f>
        <v>3000</v>
      </c>
      <c r="E57" s="95">
        <f t="shared" ref="E57:E66" si="12">(C57*0.015)</f>
        <v>450</v>
      </c>
      <c r="F57" s="95">
        <f t="shared" ref="F57:F66" si="13">SUM(D57:E57)</f>
        <v>3450</v>
      </c>
      <c r="G57" s="95"/>
      <c r="H57" s="95"/>
      <c r="I57" s="96"/>
      <c r="J57" s="97"/>
      <c r="L57" s="94" t="s">
        <v>17</v>
      </c>
      <c r="M57" s="99">
        <f>T52</f>
        <v>30000</v>
      </c>
      <c r="N57" s="99">
        <f>T52/T55</f>
        <v>3000</v>
      </c>
      <c r="O57" s="95">
        <f t="shared" ref="O57:O66" si="14">(M57*0.015)</f>
        <v>450</v>
      </c>
      <c r="P57" s="95">
        <f t="shared" ref="P57:P66" si="15">SUM(N57:O57)</f>
        <v>3450</v>
      </c>
      <c r="Q57" s="95"/>
      <c r="R57" s="95"/>
      <c r="S57" s="96"/>
      <c r="T57" s="97"/>
    </row>
    <row r="58" spans="2:20" x14ac:dyDescent="0.3">
      <c r="B58" s="98" t="s">
        <v>18</v>
      </c>
      <c r="C58" s="99">
        <v>27000</v>
      </c>
      <c r="D58" s="99">
        <v>3000</v>
      </c>
      <c r="E58" s="99">
        <f t="shared" si="12"/>
        <v>405</v>
      </c>
      <c r="F58" s="99">
        <f t="shared" si="13"/>
        <v>3405</v>
      </c>
      <c r="G58" s="99"/>
      <c r="H58" s="99"/>
      <c r="I58" s="100"/>
      <c r="J58" s="101"/>
      <c r="L58" s="98" t="s">
        <v>18</v>
      </c>
      <c r="M58" s="99">
        <v>27000</v>
      </c>
      <c r="N58" s="99">
        <v>3000</v>
      </c>
      <c r="O58" s="99">
        <f t="shared" si="14"/>
        <v>405</v>
      </c>
      <c r="P58" s="99">
        <f t="shared" si="15"/>
        <v>3405</v>
      </c>
      <c r="Q58" s="99"/>
      <c r="R58" s="99"/>
      <c r="S58" s="100"/>
      <c r="T58" s="101"/>
    </row>
    <row r="59" spans="2:20" x14ac:dyDescent="0.3">
      <c r="B59" s="98" t="s">
        <v>19</v>
      </c>
      <c r="C59" s="99">
        <v>24000</v>
      </c>
      <c r="D59" s="99">
        <v>3000</v>
      </c>
      <c r="E59" s="99">
        <f t="shared" si="12"/>
        <v>360</v>
      </c>
      <c r="F59" s="99">
        <f t="shared" si="13"/>
        <v>3360</v>
      </c>
      <c r="G59" s="99"/>
      <c r="H59" s="99"/>
      <c r="I59" s="100"/>
      <c r="J59" s="101"/>
      <c r="L59" s="98" t="s">
        <v>19</v>
      </c>
      <c r="M59" s="99">
        <v>24000</v>
      </c>
      <c r="N59" s="99">
        <v>3000</v>
      </c>
      <c r="O59" s="99">
        <f t="shared" si="14"/>
        <v>360</v>
      </c>
      <c r="P59" s="99">
        <f t="shared" si="15"/>
        <v>3360</v>
      </c>
      <c r="Q59" s="99"/>
      <c r="R59" s="99"/>
      <c r="S59" s="100"/>
      <c r="T59" s="101"/>
    </row>
    <row r="60" spans="2:20" x14ac:dyDescent="0.3">
      <c r="B60" s="98" t="s">
        <v>20</v>
      </c>
      <c r="C60" s="99">
        <v>21000</v>
      </c>
      <c r="D60" s="99">
        <v>3000</v>
      </c>
      <c r="E60" s="99">
        <f t="shared" si="12"/>
        <v>315</v>
      </c>
      <c r="F60" s="99">
        <f t="shared" si="13"/>
        <v>3315</v>
      </c>
      <c r="G60" s="99"/>
      <c r="H60" s="99"/>
      <c r="I60" s="100"/>
      <c r="J60" s="101"/>
      <c r="L60" s="98" t="s">
        <v>20</v>
      </c>
      <c r="M60" s="99">
        <v>21000</v>
      </c>
      <c r="N60" s="99">
        <v>3000</v>
      </c>
      <c r="O60" s="99">
        <f t="shared" si="14"/>
        <v>315</v>
      </c>
      <c r="P60" s="99">
        <f t="shared" si="15"/>
        <v>3315</v>
      </c>
      <c r="Q60" s="99"/>
      <c r="R60" s="99"/>
      <c r="S60" s="100"/>
      <c r="T60" s="101"/>
    </row>
    <row r="61" spans="2:20" x14ac:dyDescent="0.3">
      <c r="B61" s="98" t="s">
        <v>21</v>
      </c>
      <c r="C61" s="99">
        <v>18000</v>
      </c>
      <c r="D61" s="99">
        <v>3000</v>
      </c>
      <c r="E61" s="99">
        <f t="shared" si="12"/>
        <v>270</v>
      </c>
      <c r="F61" s="99">
        <f t="shared" si="13"/>
        <v>3270</v>
      </c>
      <c r="G61" s="99"/>
      <c r="H61" s="99"/>
      <c r="I61" s="100"/>
      <c r="J61" s="101"/>
      <c r="L61" s="98" t="s">
        <v>21</v>
      </c>
      <c r="M61" s="99">
        <v>18000</v>
      </c>
      <c r="N61" s="99">
        <v>3000</v>
      </c>
      <c r="O61" s="99">
        <f t="shared" si="14"/>
        <v>270</v>
      </c>
      <c r="P61" s="99">
        <f t="shared" si="15"/>
        <v>3270</v>
      </c>
      <c r="Q61" s="99"/>
      <c r="R61" s="99"/>
      <c r="S61" s="100"/>
      <c r="T61" s="101"/>
    </row>
    <row r="62" spans="2:20" x14ac:dyDescent="0.3">
      <c r="B62" s="98" t="s">
        <v>23</v>
      </c>
      <c r="C62" s="99">
        <v>15000</v>
      </c>
      <c r="D62" s="99">
        <v>3000</v>
      </c>
      <c r="E62" s="99">
        <f t="shared" si="12"/>
        <v>225</v>
      </c>
      <c r="F62" s="99">
        <f t="shared" si="13"/>
        <v>3225</v>
      </c>
      <c r="G62" s="99"/>
      <c r="H62" s="99"/>
      <c r="I62" s="100"/>
      <c r="J62" s="101"/>
      <c r="L62" s="98" t="s">
        <v>23</v>
      </c>
      <c r="M62" s="99">
        <v>15000</v>
      </c>
      <c r="N62" s="99">
        <v>3000</v>
      </c>
      <c r="O62" s="99">
        <f t="shared" si="14"/>
        <v>225</v>
      </c>
      <c r="P62" s="99">
        <f t="shared" si="15"/>
        <v>3225</v>
      </c>
      <c r="Q62" s="99"/>
      <c r="R62" s="99"/>
      <c r="S62" s="100"/>
      <c r="T62" s="101"/>
    </row>
    <row r="63" spans="2:20" x14ac:dyDescent="0.3">
      <c r="B63" s="98" t="s">
        <v>24</v>
      </c>
      <c r="C63" s="99">
        <v>12000</v>
      </c>
      <c r="D63" s="99">
        <v>3000</v>
      </c>
      <c r="E63" s="99">
        <f t="shared" si="12"/>
        <v>180</v>
      </c>
      <c r="F63" s="99">
        <f t="shared" si="13"/>
        <v>3180</v>
      </c>
      <c r="G63" s="99"/>
      <c r="H63" s="99"/>
      <c r="I63" s="100"/>
      <c r="J63" s="101"/>
      <c r="L63" s="98" t="s">
        <v>24</v>
      </c>
      <c r="M63" s="99">
        <v>12000</v>
      </c>
      <c r="N63" s="99">
        <v>3000</v>
      </c>
      <c r="O63" s="99">
        <f t="shared" si="14"/>
        <v>180</v>
      </c>
      <c r="P63" s="99">
        <f t="shared" si="15"/>
        <v>3180</v>
      </c>
      <c r="Q63" s="99"/>
      <c r="R63" s="99"/>
      <c r="S63" s="100"/>
      <c r="T63" s="101"/>
    </row>
    <row r="64" spans="2:20" x14ac:dyDescent="0.3">
      <c r="B64" s="98" t="s">
        <v>25</v>
      </c>
      <c r="C64" s="99">
        <v>9000</v>
      </c>
      <c r="D64" s="99">
        <v>3000</v>
      </c>
      <c r="E64" s="99">
        <f t="shared" si="12"/>
        <v>135</v>
      </c>
      <c r="F64" s="99">
        <f t="shared" si="13"/>
        <v>3135</v>
      </c>
      <c r="G64" s="99"/>
      <c r="H64" s="99"/>
      <c r="I64" s="100"/>
      <c r="J64" s="101"/>
      <c r="L64" s="98" t="s">
        <v>25</v>
      </c>
      <c r="M64" s="99">
        <v>9000</v>
      </c>
      <c r="N64" s="99">
        <v>3000</v>
      </c>
      <c r="O64" s="99">
        <f t="shared" si="14"/>
        <v>135</v>
      </c>
      <c r="P64" s="99">
        <f t="shared" si="15"/>
        <v>3135</v>
      </c>
      <c r="Q64" s="99"/>
      <c r="R64" s="99"/>
      <c r="S64" s="100"/>
      <c r="T64" s="101"/>
    </row>
    <row r="65" spans="2:20" x14ac:dyDescent="0.3">
      <c r="B65" s="98" t="s">
        <v>26</v>
      </c>
      <c r="C65" s="99">
        <v>6000</v>
      </c>
      <c r="D65" s="99">
        <v>3000</v>
      </c>
      <c r="E65" s="99">
        <f t="shared" si="12"/>
        <v>90</v>
      </c>
      <c r="F65" s="99">
        <f t="shared" si="13"/>
        <v>3090</v>
      </c>
      <c r="G65" s="99"/>
      <c r="H65" s="99"/>
      <c r="I65" s="100"/>
      <c r="J65" s="101"/>
      <c r="L65" s="98" t="s">
        <v>26</v>
      </c>
      <c r="M65" s="99">
        <v>6000</v>
      </c>
      <c r="N65" s="99">
        <v>3000</v>
      </c>
      <c r="O65" s="99">
        <f t="shared" si="14"/>
        <v>90</v>
      </c>
      <c r="P65" s="99">
        <f t="shared" si="15"/>
        <v>3090</v>
      </c>
      <c r="Q65" s="99"/>
      <c r="R65" s="99"/>
      <c r="S65" s="100"/>
      <c r="T65" s="101"/>
    </row>
    <row r="66" spans="2:20" x14ac:dyDescent="0.3">
      <c r="B66" s="106" t="s">
        <v>27</v>
      </c>
      <c r="C66" s="99">
        <v>3000</v>
      </c>
      <c r="D66" s="99">
        <v>3000</v>
      </c>
      <c r="E66" s="99">
        <f t="shared" si="12"/>
        <v>45</v>
      </c>
      <c r="F66" s="99">
        <f t="shared" si="13"/>
        <v>3045</v>
      </c>
      <c r="G66" s="99"/>
      <c r="H66" s="99"/>
      <c r="I66" s="100"/>
      <c r="J66" s="124" t="s">
        <v>42</v>
      </c>
      <c r="L66" s="106" t="s">
        <v>27</v>
      </c>
      <c r="M66" s="99">
        <v>3000</v>
      </c>
      <c r="N66" s="99">
        <v>3000</v>
      </c>
      <c r="O66" s="99">
        <f t="shared" si="14"/>
        <v>45</v>
      </c>
      <c r="P66" s="99">
        <f t="shared" si="15"/>
        <v>3045</v>
      </c>
      <c r="Q66" s="99"/>
      <c r="R66" s="99"/>
      <c r="S66" s="100"/>
      <c r="T66" s="124" t="s">
        <v>42</v>
      </c>
    </row>
    <row r="67" spans="2:20" x14ac:dyDescent="0.3">
      <c r="F67" s="38">
        <f>SUM(F57:F66)</f>
        <v>32475</v>
      </c>
    </row>
    <row r="192" spans="5:6" x14ac:dyDescent="0.3">
      <c r="E192" s="38"/>
      <c r="F192" s="38"/>
    </row>
    <row r="239" spans="2:20" x14ac:dyDescent="0.3">
      <c r="B239" s="77" t="s">
        <v>0</v>
      </c>
      <c r="C239" s="77" t="s">
        <v>177</v>
      </c>
      <c r="D239" s="112"/>
      <c r="E239" s="112"/>
      <c r="F239" s="79"/>
      <c r="G239" s="80"/>
      <c r="I239" s="81" t="s">
        <v>1</v>
      </c>
      <c r="J239" s="82">
        <v>40000</v>
      </c>
      <c r="L239" s="77" t="s">
        <v>0</v>
      </c>
      <c r="M239" s="77" t="s">
        <v>177</v>
      </c>
      <c r="N239" s="112"/>
      <c r="O239" s="112"/>
      <c r="P239" s="79"/>
      <c r="Q239" s="80"/>
      <c r="S239" s="81" t="s">
        <v>1</v>
      </c>
      <c r="T239" s="82">
        <v>40000</v>
      </c>
    </row>
    <row r="240" spans="2:20" x14ac:dyDescent="0.3">
      <c r="B240" s="77" t="s">
        <v>2</v>
      </c>
      <c r="C240" s="83"/>
      <c r="D240" s="79"/>
      <c r="E240" s="83"/>
      <c r="F240" s="81"/>
      <c r="G240" s="81"/>
      <c r="I240" s="81" t="s">
        <v>3</v>
      </c>
      <c r="J240" s="85" t="s">
        <v>181</v>
      </c>
      <c r="L240" s="77" t="s">
        <v>2</v>
      </c>
      <c r="M240" s="83"/>
      <c r="N240" s="79"/>
      <c r="O240" s="83"/>
      <c r="P240" s="81"/>
      <c r="Q240" s="81"/>
      <c r="S240" s="81" t="s">
        <v>3</v>
      </c>
      <c r="T240" s="85" t="s">
        <v>181</v>
      </c>
    </row>
    <row r="241" spans="2:20" x14ac:dyDescent="0.3">
      <c r="B241" s="77" t="s">
        <v>4</v>
      </c>
      <c r="C241" s="78"/>
      <c r="D241" s="79"/>
      <c r="E241" s="78"/>
      <c r="F241" s="81"/>
      <c r="G241" s="81"/>
      <c r="I241" s="81" t="s">
        <v>5</v>
      </c>
      <c r="J241" s="86">
        <v>1.4999999999999999E-2</v>
      </c>
      <c r="L241" s="77" t="s">
        <v>4</v>
      </c>
      <c r="M241" s="78"/>
      <c r="N241" s="79"/>
      <c r="O241" s="78"/>
      <c r="P241" s="81"/>
      <c r="Q241" s="81"/>
      <c r="S241" s="81" t="s">
        <v>5</v>
      </c>
      <c r="T241" s="86">
        <v>1.4999999999999999E-2</v>
      </c>
    </row>
    <row r="242" spans="2:20" ht="15" thickBot="1" x14ac:dyDescent="0.35">
      <c r="B242" s="77" t="s">
        <v>6</v>
      </c>
      <c r="C242" s="87"/>
      <c r="D242" s="87"/>
      <c r="E242" s="88"/>
      <c r="F242" s="88"/>
      <c r="G242" s="88"/>
      <c r="I242" s="88" t="s">
        <v>7</v>
      </c>
      <c r="J242" s="78">
        <v>10</v>
      </c>
      <c r="L242" s="77" t="s">
        <v>6</v>
      </c>
      <c r="M242" s="87"/>
      <c r="N242" s="87"/>
      <c r="O242" s="88"/>
      <c r="P242" s="88"/>
      <c r="Q242" s="88"/>
      <c r="S242" s="88" t="s">
        <v>7</v>
      </c>
      <c r="T242" s="78">
        <v>10</v>
      </c>
    </row>
    <row r="243" spans="2:20" ht="51.6" thickBot="1" x14ac:dyDescent="0.35">
      <c r="B243" s="89" t="s">
        <v>8</v>
      </c>
      <c r="C243" s="89" t="s">
        <v>9</v>
      </c>
      <c r="D243" s="89" t="s">
        <v>10</v>
      </c>
      <c r="E243" s="90" t="s">
        <v>11</v>
      </c>
      <c r="F243" s="91" t="s">
        <v>12</v>
      </c>
      <c r="G243" s="92" t="s">
        <v>13</v>
      </c>
      <c r="H243" s="92" t="s">
        <v>14</v>
      </c>
      <c r="I243" s="92" t="s">
        <v>15</v>
      </c>
      <c r="J243" s="93" t="s">
        <v>16</v>
      </c>
      <c r="L243" s="89" t="s">
        <v>8</v>
      </c>
      <c r="M243" s="89" t="s">
        <v>9</v>
      </c>
      <c r="N243" s="89" t="s">
        <v>10</v>
      </c>
      <c r="O243" s="90" t="s">
        <v>11</v>
      </c>
      <c r="P243" s="91" t="s">
        <v>12</v>
      </c>
      <c r="Q243" s="92" t="s">
        <v>13</v>
      </c>
      <c r="R243" s="92" t="s">
        <v>14</v>
      </c>
      <c r="S243" s="92" t="s">
        <v>15</v>
      </c>
      <c r="T243" s="93" t="s">
        <v>16</v>
      </c>
    </row>
    <row r="244" spans="2:20" x14ac:dyDescent="0.3">
      <c r="B244" s="94" t="s">
        <v>17</v>
      </c>
      <c r="C244" s="95">
        <f>J239</f>
        <v>40000</v>
      </c>
      <c r="D244" s="95">
        <f>J239/J242</f>
        <v>4000</v>
      </c>
      <c r="E244" s="95">
        <f>(C244*0.015)</f>
        <v>600</v>
      </c>
      <c r="F244" s="95">
        <f t="shared" ref="F244:F253" si="16">SUM(D244:E244)</f>
        <v>4600</v>
      </c>
      <c r="G244" s="95"/>
      <c r="H244" s="95"/>
      <c r="I244" s="96"/>
      <c r="J244" s="97"/>
      <c r="L244" s="94" t="s">
        <v>17</v>
      </c>
      <c r="M244" s="95">
        <f>T239</f>
        <v>40000</v>
      </c>
      <c r="N244" s="95">
        <f>T239/T242</f>
        <v>4000</v>
      </c>
      <c r="O244" s="95">
        <f>(M244*0.015)</f>
        <v>600</v>
      </c>
      <c r="P244" s="95">
        <f t="shared" ref="P244:P253" si="17">SUM(N244:O244)</f>
        <v>4600</v>
      </c>
      <c r="Q244" s="95"/>
      <c r="R244" s="95"/>
      <c r="S244" s="96"/>
      <c r="T244" s="97"/>
    </row>
    <row r="245" spans="2:20" x14ac:dyDescent="0.3">
      <c r="B245" s="98" t="s">
        <v>18</v>
      </c>
      <c r="C245" s="99">
        <v>36000</v>
      </c>
      <c r="D245" s="99">
        <v>4000</v>
      </c>
      <c r="E245" s="99">
        <f>(C245*0.015)</f>
        <v>540</v>
      </c>
      <c r="F245" s="99">
        <f t="shared" si="16"/>
        <v>4540</v>
      </c>
      <c r="G245" s="99"/>
      <c r="H245" s="99"/>
      <c r="I245" s="100"/>
      <c r="J245" s="101"/>
      <c r="L245" s="98" t="s">
        <v>18</v>
      </c>
      <c r="M245" s="99">
        <v>36000</v>
      </c>
      <c r="N245" s="99">
        <v>4000</v>
      </c>
      <c r="O245" s="99">
        <f>(M245*0.015)</f>
        <v>540</v>
      </c>
      <c r="P245" s="99">
        <f t="shared" si="17"/>
        <v>4540</v>
      </c>
      <c r="Q245" s="99"/>
      <c r="R245" s="99"/>
      <c r="S245" s="100"/>
      <c r="T245" s="101"/>
    </row>
    <row r="246" spans="2:20" x14ac:dyDescent="0.3">
      <c r="B246" s="98" t="s">
        <v>19</v>
      </c>
      <c r="C246" s="99">
        <v>32000</v>
      </c>
      <c r="D246" s="99">
        <v>4000</v>
      </c>
      <c r="E246" s="99">
        <v>500</v>
      </c>
      <c r="F246" s="99">
        <f t="shared" si="16"/>
        <v>4500</v>
      </c>
      <c r="G246" s="99"/>
      <c r="H246" s="99"/>
      <c r="I246" s="100"/>
      <c r="J246" s="101"/>
      <c r="L246" s="98" t="s">
        <v>19</v>
      </c>
      <c r="M246" s="99">
        <v>32000</v>
      </c>
      <c r="N246" s="99">
        <v>4000</v>
      </c>
      <c r="O246" s="99">
        <v>500</v>
      </c>
      <c r="P246" s="99">
        <f t="shared" si="17"/>
        <v>4500</v>
      </c>
      <c r="Q246" s="99"/>
      <c r="R246" s="99"/>
      <c r="S246" s="100"/>
      <c r="T246" s="101"/>
    </row>
    <row r="247" spans="2:20" x14ac:dyDescent="0.3">
      <c r="B247" s="98" t="s">
        <v>20</v>
      </c>
      <c r="C247" s="99">
        <v>28000</v>
      </c>
      <c r="D247" s="99">
        <v>4000</v>
      </c>
      <c r="E247" s="99">
        <f t="shared" ref="E247:E253" si="18">(C247*0.015)</f>
        <v>420</v>
      </c>
      <c r="F247" s="99">
        <f t="shared" si="16"/>
        <v>4420</v>
      </c>
      <c r="G247" s="99"/>
      <c r="H247" s="99"/>
      <c r="I247" s="100"/>
      <c r="J247" s="101"/>
      <c r="L247" s="98" t="s">
        <v>20</v>
      </c>
      <c r="M247" s="99">
        <v>28000</v>
      </c>
      <c r="N247" s="99">
        <v>4000</v>
      </c>
      <c r="O247" s="99">
        <f t="shared" ref="O247:O253" si="19">(M247*0.015)</f>
        <v>420</v>
      </c>
      <c r="P247" s="99">
        <f t="shared" si="17"/>
        <v>4420</v>
      </c>
      <c r="Q247" s="99"/>
      <c r="R247" s="99"/>
      <c r="S247" s="100"/>
      <c r="T247" s="101"/>
    </row>
    <row r="248" spans="2:20" ht="15" thickBot="1" x14ac:dyDescent="0.35">
      <c r="B248" s="98" t="s">
        <v>21</v>
      </c>
      <c r="C248" s="99">
        <v>24000</v>
      </c>
      <c r="D248" s="99">
        <v>4000</v>
      </c>
      <c r="E248" s="99">
        <f t="shared" si="18"/>
        <v>360</v>
      </c>
      <c r="F248" s="99">
        <f t="shared" si="16"/>
        <v>4360</v>
      </c>
      <c r="G248" s="99"/>
      <c r="H248" s="99"/>
      <c r="I248" s="100"/>
      <c r="J248" s="101"/>
      <c r="L248" s="98" t="s">
        <v>21</v>
      </c>
      <c r="M248" s="99">
        <v>24000</v>
      </c>
      <c r="N248" s="99">
        <v>4000</v>
      </c>
      <c r="O248" s="99">
        <f t="shared" si="19"/>
        <v>360</v>
      </c>
      <c r="P248" s="99">
        <f t="shared" si="17"/>
        <v>4360</v>
      </c>
      <c r="Q248" s="99"/>
      <c r="R248" s="99"/>
      <c r="S248" s="100"/>
      <c r="T248" s="101"/>
    </row>
    <row r="249" spans="2:20" x14ac:dyDescent="0.3">
      <c r="B249" s="98" t="s">
        <v>23</v>
      </c>
      <c r="C249" s="99">
        <v>20000</v>
      </c>
      <c r="D249" s="95">
        <v>4000</v>
      </c>
      <c r="E249" s="99">
        <f t="shared" si="18"/>
        <v>300</v>
      </c>
      <c r="F249" s="99">
        <f t="shared" si="16"/>
        <v>4300</v>
      </c>
      <c r="G249" s="99"/>
      <c r="H249" s="99"/>
      <c r="I249" s="100"/>
      <c r="J249" s="101"/>
      <c r="L249" s="98" t="s">
        <v>23</v>
      </c>
      <c r="M249" s="99">
        <v>20000</v>
      </c>
      <c r="N249" s="95">
        <v>4000</v>
      </c>
      <c r="O249" s="99">
        <f t="shared" si="19"/>
        <v>300</v>
      </c>
      <c r="P249" s="99">
        <f t="shared" si="17"/>
        <v>4300</v>
      </c>
      <c r="Q249" s="99"/>
      <c r="R249" s="99"/>
      <c r="S249" s="100"/>
      <c r="T249" s="101"/>
    </row>
    <row r="250" spans="2:20" x14ac:dyDescent="0.3">
      <c r="B250" s="98" t="s">
        <v>24</v>
      </c>
      <c r="C250" s="99">
        <v>16000</v>
      </c>
      <c r="D250" s="99">
        <v>4000</v>
      </c>
      <c r="E250" s="99">
        <f t="shared" si="18"/>
        <v>240</v>
      </c>
      <c r="F250" s="99">
        <f t="shared" si="16"/>
        <v>4240</v>
      </c>
      <c r="G250" s="99"/>
      <c r="H250" s="99"/>
      <c r="I250" s="100"/>
      <c r="J250" s="101"/>
      <c r="L250" s="98" t="s">
        <v>24</v>
      </c>
      <c r="M250" s="99">
        <v>16000</v>
      </c>
      <c r="N250" s="99">
        <v>4000</v>
      </c>
      <c r="O250" s="99">
        <f t="shared" si="19"/>
        <v>240</v>
      </c>
      <c r="P250" s="99">
        <f t="shared" si="17"/>
        <v>4240</v>
      </c>
      <c r="Q250" s="99"/>
      <c r="R250" s="99"/>
      <c r="S250" s="100"/>
      <c r="T250" s="101"/>
    </row>
    <row r="251" spans="2:20" x14ac:dyDescent="0.3">
      <c r="B251" s="98" t="s">
        <v>25</v>
      </c>
      <c r="C251" s="99">
        <v>12000</v>
      </c>
      <c r="D251" s="99">
        <v>4000</v>
      </c>
      <c r="E251" s="99">
        <f t="shared" si="18"/>
        <v>180</v>
      </c>
      <c r="F251" s="99">
        <f t="shared" si="16"/>
        <v>4180</v>
      </c>
      <c r="G251" s="99"/>
      <c r="H251" s="99"/>
      <c r="I251" s="100"/>
      <c r="J251" s="101"/>
      <c r="L251" s="98" t="s">
        <v>25</v>
      </c>
      <c r="M251" s="99">
        <v>12000</v>
      </c>
      <c r="N251" s="99">
        <v>4000</v>
      </c>
      <c r="O251" s="99">
        <f t="shared" si="19"/>
        <v>180</v>
      </c>
      <c r="P251" s="99">
        <f t="shared" si="17"/>
        <v>4180</v>
      </c>
      <c r="Q251" s="99"/>
      <c r="R251" s="99"/>
      <c r="S251" s="100"/>
      <c r="T251" s="101"/>
    </row>
    <row r="252" spans="2:20" x14ac:dyDescent="0.3">
      <c r="B252" s="98" t="s">
        <v>26</v>
      </c>
      <c r="C252" s="99">
        <v>8000</v>
      </c>
      <c r="D252" s="99">
        <v>4000</v>
      </c>
      <c r="E252" s="99">
        <f t="shared" si="18"/>
        <v>120</v>
      </c>
      <c r="F252" s="99">
        <f t="shared" si="16"/>
        <v>4120</v>
      </c>
      <c r="G252" s="99"/>
      <c r="H252" s="99"/>
      <c r="I252" s="100"/>
      <c r="J252" s="101"/>
      <c r="L252" s="98" t="s">
        <v>26</v>
      </c>
      <c r="M252" s="99">
        <v>8000</v>
      </c>
      <c r="N252" s="99">
        <v>4000</v>
      </c>
      <c r="O252" s="99">
        <f t="shared" si="19"/>
        <v>120</v>
      </c>
      <c r="P252" s="99">
        <f t="shared" si="17"/>
        <v>4120</v>
      </c>
      <c r="Q252" s="99"/>
      <c r="R252" s="99"/>
      <c r="S252" s="100"/>
      <c r="T252" s="101"/>
    </row>
    <row r="253" spans="2:20" x14ac:dyDescent="0.3">
      <c r="B253" s="98" t="s">
        <v>27</v>
      </c>
      <c r="C253" s="99">
        <v>4000</v>
      </c>
      <c r="D253" s="99">
        <v>4000</v>
      </c>
      <c r="E253" s="99">
        <f t="shared" si="18"/>
        <v>60</v>
      </c>
      <c r="F253" s="99">
        <f t="shared" si="16"/>
        <v>4060</v>
      </c>
      <c r="G253" s="99"/>
      <c r="H253" s="99"/>
      <c r="I253" s="100"/>
      <c r="J253" s="101" t="s">
        <v>42</v>
      </c>
      <c r="L253" s="98" t="s">
        <v>27</v>
      </c>
      <c r="M253" s="99">
        <v>4000</v>
      </c>
      <c r="N253" s="99">
        <v>4000</v>
      </c>
      <c r="O253" s="99">
        <f t="shared" si="19"/>
        <v>60</v>
      </c>
      <c r="P253" s="99">
        <f t="shared" si="17"/>
        <v>4060</v>
      </c>
      <c r="Q253" s="99"/>
      <c r="R253" s="99"/>
      <c r="S253" s="100"/>
      <c r="T253" s="101" t="s">
        <v>42</v>
      </c>
    </row>
    <row r="257" spans="2:20" x14ac:dyDescent="0.3">
      <c r="B257" s="77" t="s">
        <v>0</v>
      </c>
      <c r="C257" s="229" t="s">
        <v>193</v>
      </c>
      <c r="D257" s="230"/>
      <c r="E257" s="230"/>
      <c r="F257" s="117" t="s">
        <v>195</v>
      </c>
      <c r="G257" s="80"/>
      <c r="H257" s="231" t="s">
        <v>1</v>
      </c>
      <c r="I257" s="231"/>
      <c r="J257" s="82">
        <v>10000</v>
      </c>
      <c r="L257" s="77" t="s">
        <v>0</v>
      </c>
      <c r="M257" s="229" t="s">
        <v>193</v>
      </c>
      <c r="N257" s="230"/>
      <c r="O257" s="230"/>
      <c r="P257" s="117" t="s">
        <v>195</v>
      </c>
      <c r="Q257" s="80"/>
      <c r="R257" s="231" t="s">
        <v>1</v>
      </c>
      <c r="S257" s="231"/>
      <c r="T257" s="82">
        <v>10000</v>
      </c>
    </row>
    <row r="258" spans="2:20" x14ac:dyDescent="0.3">
      <c r="B258" s="77" t="s">
        <v>2</v>
      </c>
      <c r="C258" s="83"/>
      <c r="D258" s="79"/>
      <c r="E258" s="83"/>
      <c r="F258" s="81"/>
      <c r="G258" s="81"/>
      <c r="H258" s="84"/>
      <c r="I258" s="81" t="s">
        <v>3</v>
      </c>
      <c r="J258" s="85" t="s">
        <v>194</v>
      </c>
      <c r="L258" s="77" t="s">
        <v>2</v>
      </c>
      <c r="M258" s="83"/>
      <c r="N258" s="79"/>
      <c r="O258" s="83"/>
      <c r="P258" s="81"/>
      <c r="Q258" s="81"/>
      <c r="R258" s="84"/>
      <c r="S258" s="81" t="s">
        <v>3</v>
      </c>
      <c r="T258" s="85" t="s">
        <v>194</v>
      </c>
    </row>
    <row r="259" spans="2:20" x14ac:dyDescent="0.3">
      <c r="B259" s="77" t="s">
        <v>4</v>
      </c>
      <c r="C259" s="78"/>
      <c r="D259" s="79"/>
      <c r="E259" s="78"/>
      <c r="F259" s="231" t="s">
        <v>5</v>
      </c>
      <c r="G259" s="231"/>
      <c r="H259" s="231"/>
      <c r="I259" s="231"/>
      <c r="J259" s="86">
        <v>1.4999999999999999E-2</v>
      </c>
      <c r="L259" s="77" t="s">
        <v>4</v>
      </c>
      <c r="M259" s="78"/>
      <c r="N259" s="79"/>
      <c r="O259" s="78"/>
      <c r="P259" s="231" t="s">
        <v>5</v>
      </c>
      <c r="Q259" s="231"/>
      <c r="R259" s="231"/>
      <c r="S259" s="231"/>
      <c r="T259" s="86">
        <v>1.4999999999999999E-2</v>
      </c>
    </row>
    <row r="260" spans="2:20" ht="15" thickBot="1" x14ac:dyDescent="0.35">
      <c r="B260" s="77" t="s">
        <v>6</v>
      </c>
      <c r="C260" s="232"/>
      <c r="D260" s="232"/>
      <c r="E260" s="233" t="s">
        <v>7</v>
      </c>
      <c r="F260" s="233"/>
      <c r="G260" s="233"/>
      <c r="H260" s="233"/>
      <c r="I260" s="233"/>
      <c r="J260" s="78">
        <v>10</v>
      </c>
      <c r="L260" s="77" t="s">
        <v>6</v>
      </c>
      <c r="M260" s="232"/>
      <c r="N260" s="232"/>
      <c r="O260" s="233" t="s">
        <v>7</v>
      </c>
      <c r="P260" s="233"/>
      <c r="Q260" s="233"/>
      <c r="R260" s="233"/>
      <c r="S260" s="233"/>
      <c r="T260" s="78">
        <v>10</v>
      </c>
    </row>
    <row r="261" spans="2:20" ht="51.6" thickBot="1" x14ac:dyDescent="0.35">
      <c r="B261" s="89" t="s">
        <v>8</v>
      </c>
      <c r="C261" s="89" t="s">
        <v>9</v>
      </c>
      <c r="D261" s="89" t="s">
        <v>10</v>
      </c>
      <c r="E261" s="90" t="s">
        <v>11</v>
      </c>
      <c r="F261" s="91" t="s">
        <v>12</v>
      </c>
      <c r="G261" s="92" t="s">
        <v>13</v>
      </c>
      <c r="H261" s="92" t="s">
        <v>14</v>
      </c>
      <c r="I261" s="92" t="s">
        <v>15</v>
      </c>
      <c r="J261" s="93" t="s">
        <v>16</v>
      </c>
      <c r="L261" s="89" t="s">
        <v>8</v>
      </c>
      <c r="M261" s="89" t="s">
        <v>9</v>
      </c>
      <c r="N261" s="89" t="s">
        <v>10</v>
      </c>
      <c r="O261" s="90" t="s">
        <v>11</v>
      </c>
      <c r="P261" s="91" t="s">
        <v>12</v>
      </c>
      <c r="Q261" s="92" t="s">
        <v>13</v>
      </c>
      <c r="R261" s="92" t="s">
        <v>14</v>
      </c>
      <c r="S261" s="92" t="s">
        <v>15</v>
      </c>
      <c r="T261" s="93" t="s">
        <v>16</v>
      </c>
    </row>
    <row r="262" spans="2:20" x14ac:dyDescent="0.3">
      <c r="B262" s="94" t="s">
        <v>17</v>
      </c>
      <c r="C262" s="95">
        <f>J257</f>
        <v>10000</v>
      </c>
      <c r="D262" s="95">
        <v>1000</v>
      </c>
      <c r="E262" s="95">
        <f t="shared" ref="E262:E271" si="20">(C262*0.015)</f>
        <v>150</v>
      </c>
      <c r="F262" s="95">
        <f t="shared" ref="F262:F271" si="21">SUM(D262:E262)</f>
        <v>1150</v>
      </c>
      <c r="G262" s="95"/>
      <c r="H262" s="95"/>
      <c r="I262" s="96"/>
      <c r="J262" s="97"/>
      <c r="L262" s="94" t="s">
        <v>17</v>
      </c>
      <c r="M262" s="95">
        <f>T257</f>
        <v>10000</v>
      </c>
      <c r="N262" s="95">
        <v>1000</v>
      </c>
      <c r="O262" s="95">
        <f t="shared" ref="O262:O271" si="22">(M262*0.015)</f>
        <v>150</v>
      </c>
      <c r="P262" s="95">
        <f t="shared" ref="P262:P271" si="23">SUM(N262:O262)</f>
        <v>1150</v>
      </c>
      <c r="Q262" s="95"/>
      <c r="R262" s="95"/>
      <c r="S262" s="96"/>
      <c r="T262" s="97"/>
    </row>
    <row r="263" spans="2:20" x14ac:dyDescent="0.3">
      <c r="B263" s="98" t="s">
        <v>18</v>
      </c>
      <c r="C263" s="121">
        <v>9000</v>
      </c>
      <c r="D263" s="99">
        <v>1000</v>
      </c>
      <c r="E263" s="99">
        <f t="shared" si="20"/>
        <v>135</v>
      </c>
      <c r="F263" s="99">
        <f t="shared" si="21"/>
        <v>1135</v>
      </c>
      <c r="G263" s="99"/>
      <c r="H263" s="99"/>
      <c r="I263" s="100"/>
      <c r="J263" s="101"/>
      <c r="L263" s="98" t="s">
        <v>18</v>
      </c>
      <c r="M263" s="121">
        <v>9000</v>
      </c>
      <c r="N263" s="99">
        <v>1000</v>
      </c>
      <c r="O263" s="99">
        <f t="shared" si="22"/>
        <v>135</v>
      </c>
      <c r="P263" s="99">
        <f t="shared" si="23"/>
        <v>1135</v>
      </c>
      <c r="Q263" s="99"/>
      <c r="R263" s="99"/>
      <c r="S263" s="100"/>
      <c r="T263" s="101"/>
    </row>
    <row r="264" spans="2:20" x14ac:dyDescent="0.3">
      <c r="B264" s="98" t="s">
        <v>19</v>
      </c>
      <c r="C264" s="121">
        <v>8000</v>
      </c>
      <c r="D264" s="99">
        <v>1000</v>
      </c>
      <c r="E264" s="99">
        <f t="shared" si="20"/>
        <v>120</v>
      </c>
      <c r="F264" s="99">
        <f t="shared" si="21"/>
        <v>1120</v>
      </c>
      <c r="G264" s="99"/>
      <c r="H264" s="99"/>
      <c r="I264" s="100"/>
      <c r="J264" s="101"/>
      <c r="L264" s="98" t="s">
        <v>19</v>
      </c>
      <c r="M264" s="121">
        <v>8000</v>
      </c>
      <c r="N264" s="99">
        <v>1000</v>
      </c>
      <c r="O264" s="99">
        <f t="shared" si="22"/>
        <v>120</v>
      </c>
      <c r="P264" s="99">
        <f t="shared" si="23"/>
        <v>1120</v>
      </c>
      <c r="Q264" s="99"/>
      <c r="R264" s="99"/>
      <c r="S264" s="100"/>
      <c r="T264" s="101"/>
    </row>
    <row r="265" spans="2:20" x14ac:dyDescent="0.3">
      <c r="B265" s="98" t="s">
        <v>20</v>
      </c>
      <c r="C265" s="121">
        <v>7000</v>
      </c>
      <c r="D265" s="99">
        <v>1000</v>
      </c>
      <c r="E265" s="99">
        <f t="shared" si="20"/>
        <v>105</v>
      </c>
      <c r="F265" s="99">
        <f t="shared" si="21"/>
        <v>1105</v>
      </c>
      <c r="G265" s="99"/>
      <c r="H265" s="99"/>
      <c r="I265" s="100"/>
      <c r="J265" s="101"/>
      <c r="L265" s="98" t="s">
        <v>20</v>
      </c>
      <c r="M265" s="121">
        <v>7000</v>
      </c>
      <c r="N265" s="99">
        <v>1000</v>
      </c>
      <c r="O265" s="99">
        <f t="shared" si="22"/>
        <v>105</v>
      </c>
      <c r="P265" s="99">
        <f t="shared" si="23"/>
        <v>1105</v>
      </c>
      <c r="Q265" s="99"/>
      <c r="R265" s="99"/>
      <c r="S265" s="100"/>
      <c r="T265" s="101"/>
    </row>
    <row r="266" spans="2:20" x14ac:dyDescent="0.3">
      <c r="B266" s="98" t="s">
        <v>21</v>
      </c>
      <c r="C266" s="122">
        <v>6000</v>
      </c>
      <c r="D266" s="99">
        <v>1000</v>
      </c>
      <c r="E266" s="99">
        <f t="shared" si="20"/>
        <v>90</v>
      </c>
      <c r="F266" s="99">
        <f t="shared" si="21"/>
        <v>1090</v>
      </c>
      <c r="G266" s="99"/>
      <c r="H266" s="99"/>
      <c r="I266" s="100"/>
      <c r="J266" s="101"/>
      <c r="L266" s="98" t="s">
        <v>21</v>
      </c>
      <c r="M266" s="122">
        <v>6000</v>
      </c>
      <c r="N266" s="99">
        <v>1000</v>
      </c>
      <c r="O266" s="99">
        <f t="shared" si="22"/>
        <v>90</v>
      </c>
      <c r="P266" s="99">
        <f t="shared" si="23"/>
        <v>1090</v>
      </c>
      <c r="Q266" s="99"/>
      <c r="R266" s="99"/>
      <c r="S266" s="100"/>
      <c r="T266" s="101"/>
    </row>
    <row r="267" spans="2:20" x14ac:dyDescent="0.3">
      <c r="B267" s="98" t="s">
        <v>23</v>
      </c>
      <c r="C267" s="121">
        <v>5000</v>
      </c>
      <c r="D267" s="99">
        <v>1000</v>
      </c>
      <c r="E267" s="99">
        <f t="shared" si="20"/>
        <v>75</v>
      </c>
      <c r="F267" s="99">
        <f t="shared" si="21"/>
        <v>1075</v>
      </c>
      <c r="G267" s="99"/>
      <c r="H267" s="99"/>
      <c r="I267" s="100"/>
      <c r="J267" s="101"/>
      <c r="L267" s="98" t="s">
        <v>23</v>
      </c>
      <c r="M267" s="121">
        <v>5000</v>
      </c>
      <c r="N267" s="99">
        <v>1000</v>
      </c>
      <c r="O267" s="99">
        <f t="shared" si="22"/>
        <v>75</v>
      </c>
      <c r="P267" s="99">
        <f t="shared" si="23"/>
        <v>1075</v>
      </c>
      <c r="Q267" s="99"/>
      <c r="R267" s="99"/>
      <c r="S267" s="100"/>
      <c r="T267" s="101"/>
    </row>
    <row r="268" spans="2:20" x14ac:dyDescent="0.3">
      <c r="B268" s="98" t="s">
        <v>24</v>
      </c>
      <c r="C268" s="121">
        <v>4000</v>
      </c>
      <c r="D268" s="99">
        <v>1000</v>
      </c>
      <c r="E268" s="99">
        <f t="shared" si="20"/>
        <v>60</v>
      </c>
      <c r="F268" s="99">
        <f t="shared" si="21"/>
        <v>1060</v>
      </c>
      <c r="G268" s="99"/>
      <c r="H268" s="99"/>
      <c r="I268" s="100"/>
      <c r="J268" s="101"/>
      <c r="L268" s="98" t="s">
        <v>24</v>
      </c>
      <c r="M268" s="121">
        <v>4000</v>
      </c>
      <c r="N268" s="99">
        <v>1000</v>
      </c>
      <c r="O268" s="99">
        <f t="shared" si="22"/>
        <v>60</v>
      </c>
      <c r="P268" s="99">
        <f t="shared" si="23"/>
        <v>1060</v>
      </c>
      <c r="Q268" s="99"/>
      <c r="R268" s="99"/>
      <c r="S268" s="100"/>
      <c r="T268" s="101"/>
    </row>
    <row r="269" spans="2:20" x14ac:dyDescent="0.3">
      <c r="B269" s="98" t="s">
        <v>25</v>
      </c>
      <c r="C269" s="121">
        <v>3000</v>
      </c>
      <c r="D269" s="99">
        <v>1000</v>
      </c>
      <c r="E269" s="99">
        <f t="shared" si="20"/>
        <v>45</v>
      </c>
      <c r="F269" s="99">
        <f t="shared" si="21"/>
        <v>1045</v>
      </c>
      <c r="G269" s="99"/>
      <c r="H269" s="99"/>
      <c r="I269" s="100"/>
      <c r="J269" s="101"/>
      <c r="L269" s="98" t="s">
        <v>25</v>
      </c>
      <c r="M269" s="121">
        <v>3000</v>
      </c>
      <c r="N269" s="99">
        <v>1000</v>
      </c>
      <c r="O269" s="99">
        <f t="shared" si="22"/>
        <v>45</v>
      </c>
      <c r="P269" s="99">
        <f t="shared" si="23"/>
        <v>1045</v>
      </c>
      <c r="Q269" s="99"/>
      <c r="R269" s="99"/>
      <c r="S269" s="100"/>
      <c r="T269" s="101"/>
    </row>
    <row r="270" spans="2:20" x14ac:dyDescent="0.3">
      <c r="B270" s="98" t="s">
        <v>26</v>
      </c>
      <c r="C270" s="121">
        <v>2000</v>
      </c>
      <c r="D270" s="99">
        <v>1000</v>
      </c>
      <c r="E270" s="99">
        <f t="shared" si="20"/>
        <v>30</v>
      </c>
      <c r="F270" s="99">
        <f t="shared" si="21"/>
        <v>1030</v>
      </c>
      <c r="G270" s="99"/>
      <c r="H270" s="99"/>
      <c r="I270" s="100"/>
      <c r="J270" s="101"/>
      <c r="L270" s="98" t="s">
        <v>26</v>
      </c>
      <c r="M270" s="121">
        <v>2000</v>
      </c>
      <c r="N270" s="99">
        <v>1000</v>
      </c>
      <c r="O270" s="99">
        <f t="shared" si="22"/>
        <v>30</v>
      </c>
      <c r="P270" s="99">
        <f t="shared" si="23"/>
        <v>1030</v>
      </c>
      <c r="Q270" s="99"/>
      <c r="R270" s="99"/>
      <c r="S270" s="100"/>
      <c r="T270" s="101"/>
    </row>
    <row r="271" spans="2:20" x14ac:dyDescent="0.3">
      <c r="B271" s="98" t="s">
        <v>27</v>
      </c>
      <c r="C271" s="121">
        <v>1000</v>
      </c>
      <c r="D271" s="99">
        <v>1000</v>
      </c>
      <c r="E271" s="99">
        <f t="shared" si="20"/>
        <v>15</v>
      </c>
      <c r="F271" s="99">
        <f t="shared" si="21"/>
        <v>1015</v>
      </c>
      <c r="G271" s="99"/>
      <c r="H271" s="99"/>
      <c r="I271" s="100"/>
      <c r="J271" s="101" t="s">
        <v>42</v>
      </c>
      <c r="L271" s="98" t="s">
        <v>27</v>
      </c>
      <c r="M271" s="121">
        <v>1000</v>
      </c>
      <c r="N271" s="99">
        <v>1000</v>
      </c>
      <c r="O271" s="99">
        <f t="shared" si="22"/>
        <v>15</v>
      </c>
      <c r="P271" s="99">
        <f t="shared" si="23"/>
        <v>1015</v>
      </c>
      <c r="Q271" s="99"/>
      <c r="R271" s="99"/>
      <c r="S271" s="100"/>
      <c r="T271" s="101" t="s">
        <v>42</v>
      </c>
    </row>
    <row r="272" spans="2:20" x14ac:dyDescent="0.3">
      <c r="F272" s="38">
        <f>SUM(F262:F271)</f>
        <v>10825</v>
      </c>
    </row>
    <row r="293" spans="2:20" x14ac:dyDescent="0.3">
      <c r="B293" s="77" t="s">
        <v>0</v>
      </c>
      <c r="C293" s="229" t="s">
        <v>192</v>
      </c>
      <c r="D293" s="230"/>
      <c r="E293" s="230"/>
      <c r="F293" s="79"/>
      <c r="G293" s="80"/>
      <c r="H293" s="231" t="s">
        <v>1</v>
      </c>
      <c r="I293" s="231"/>
      <c r="J293" s="82">
        <v>10000</v>
      </c>
      <c r="L293" s="77" t="s">
        <v>0</v>
      </c>
      <c r="M293" s="229" t="s">
        <v>192</v>
      </c>
      <c r="N293" s="230"/>
      <c r="O293" s="230"/>
      <c r="P293" s="79"/>
      <c r="Q293" s="80"/>
      <c r="R293" s="231" t="s">
        <v>1</v>
      </c>
      <c r="S293" s="231"/>
      <c r="T293" s="82">
        <v>10000</v>
      </c>
    </row>
    <row r="294" spans="2:20" x14ac:dyDescent="0.3">
      <c r="B294" s="77" t="s">
        <v>2</v>
      </c>
      <c r="C294" s="83"/>
      <c r="D294" s="79"/>
      <c r="E294" s="83"/>
      <c r="F294" s="81"/>
      <c r="G294" s="81"/>
      <c r="H294" s="84"/>
      <c r="I294" s="81" t="s">
        <v>3</v>
      </c>
      <c r="J294" s="85" t="s">
        <v>213</v>
      </c>
      <c r="L294" s="77" t="s">
        <v>2</v>
      </c>
      <c r="M294" s="83"/>
      <c r="N294" s="79"/>
      <c r="O294" s="83"/>
      <c r="P294" s="81"/>
      <c r="Q294" s="81"/>
      <c r="R294" s="84"/>
      <c r="S294" s="81" t="s">
        <v>3</v>
      </c>
      <c r="T294" s="85" t="s">
        <v>213</v>
      </c>
    </row>
    <row r="295" spans="2:20" x14ac:dyDescent="0.3">
      <c r="B295" s="77" t="s">
        <v>4</v>
      </c>
      <c r="C295" s="78"/>
      <c r="D295" s="79"/>
      <c r="E295" s="78"/>
      <c r="F295" s="231" t="s">
        <v>5</v>
      </c>
      <c r="G295" s="231"/>
      <c r="H295" s="231"/>
      <c r="I295" s="231"/>
      <c r="J295" s="86">
        <v>1.4999999999999999E-2</v>
      </c>
      <c r="L295" s="77" t="s">
        <v>4</v>
      </c>
      <c r="M295" s="78"/>
      <c r="N295" s="79"/>
      <c r="O295" s="78"/>
      <c r="P295" s="231" t="s">
        <v>5</v>
      </c>
      <c r="Q295" s="231"/>
      <c r="R295" s="231"/>
      <c r="S295" s="231"/>
      <c r="T295" s="86">
        <v>1.4999999999999999E-2</v>
      </c>
    </row>
    <row r="296" spans="2:20" ht="15" thickBot="1" x14ac:dyDescent="0.35">
      <c r="B296" s="77" t="s">
        <v>6</v>
      </c>
      <c r="C296" s="232"/>
      <c r="D296" s="232"/>
      <c r="E296" s="233" t="s">
        <v>7</v>
      </c>
      <c r="F296" s="233"/>
      <c r="G296" s="233"/>
      <c r="H296" s="233"/>
      <c r="I296" s="233"/>
      <c r="J296" s="78">
        <v>5</v>
      </c>
      <c r="L296" s="77" t="s">
        <v>6</v>
      </c>
      <c r="M296" s="232"/>
      <c r="N296" s="232"/>
      <c r="O296" s="233" t="s">
        <v>7</v>
      </c>
      <c r="P296" s="233"/>
      <c r="Q296" s="233"/>
      <c r="R296" s="233"/>
      <c r="S296" s="233"/>
      <c r="T296" s="78">
        <v>5</v>
      </c>
    </row>
    <row r="297" spans="2:20" ht="51.6" thickBot="1" x14ac:dyDescent="0.35">
      <c r="B297" s="89" t="s">
        <v>8</v>
      </c>
      <c r="C297" s="89" t="s">
        <v>9</v>
      </c>
      <c r="D297" s="89" t="s">
        <v>10</v>
      </c>
      <c r="E297" s="90" t="s">
        <v>11</v>
      </c>
      <c r="F297" s="91" t="s">
        <v>12</v>
      </c>
      <c r="G297" s="92" t="s">
        <v>13</v>
      </c>
      <c r="H297" s="92" t="s">
        <v>14</v>
      </c>
      <c r="I297" s="92" t="s">
        <v>15</v>
      </c>
      <c r="J297" s="93" t="s">
        <v>16</v>
      </c>
      <c r="L297" s="89" t="s">
        <v>8</v>
      </c>
      <c r="M297" s="89" t="s">
        <v>9</v>
      </c>
      <c r="N297" s="89" t="s">
        <v>10</v>
      </c>
      <c r="O297" s="90" t="s">
        <v>11</v>
      </c>
      <c r="P297" s="91" t="s">
        <v>12</v>
      </c>
      <c r="Q297" s="92" t="s">
        <v>13</v>
      </c>
      <c r="R297" s="92" t="s">
        <v>14</v>
      </c>
      <c r="S297" s="92" t="s">
        <v>15</v>
      </c>
      <c r="T297" s="93" t="s">
        <v>16</v>
      </c>
    </row>
    <row r="298" spans="2:20" x14ac:dyDescent="0.3">
      <c r="B298" s="94" t="s">
        <v>17</v>
      </c>
      <c r="C298" s="95">
        <f>J293</f>
        <v>10000</v>
      </c>
      <c r="D298" s="95">
        <f>J293/J296</f>
        <v>2000</v>
      </c>
      <c r="E298" s="95">
        <f>(C298*0.015)</f>
        <v>150</v>
      </c>
      <c r="F298" s="95">
        <f>SUM(D298:E298)</f>
        <v>2150</v>
      </c>
      <c r="G298" s="95"/>
      <c r="H298" s="95"/>
      <c r="I298" s="96"/>
      <c r="J298" s="97"/>
      <c r="L298" s="94" t="s">
        <v>17</v>
      </c>
      <c r="M298" s="95">
        <f>T293</f>
        <v>10000</v>
      </c>
      <c r="N298" s="95">
        <f>T293/T296</f>
        <v>2000</v>
      </c>
      <c r="O298" s="95">
        <f>(M298*0.015)</f>
        <v>150</v>
      </c>
      <c r="P298" s="95">
        <f>SUM(N298:O298)</f>
        <v>2150</v>
      </c>
      <c r="Q298" s="95"/>
      <c r="R298" s="95"/>
      <c r="S298" s="96"/>
      <c r="T298" s="97"/>
    </row>
    <row r="299" spans="2:20" x14ac:dyDescent="0.3">
      <c r="B299" s="98" t="s">
        <v>18</v>
      </c>
      <c r="C299" s="121">
        <v>8000</v>
      </c>
      <c r="D299" s="99">
        <v>2000</v>
      </c>
      <c r="E299" s="99">
        <f>(C299*0.015)</f>
        <v>120</v>
      </c>
      <c r="F299" s="99">
        <f>SUM(D299:E299)</f>
        <v>2120</v>
      </c>
      <c r="G299" s="99"/>
      <c r="H299" s="99"/>
      <c r="I299" s="100"/>
      <c r="J299" s="101"/>
      <c r="L299" s="98" t="s">
        <v>18</v>
      </c>
      <c r="M299" s="121">
        <v>8000</v>
      </c>
      <c r="N299" s="99">
        <v>2000</v>
      </c>
      <c r="O299" s="99">
        <f>(M299*0.015)</f>
        <v>120</v>
      </c>
      <c r="P299" s="99">
        <f>SUM(N299:O299)</f>
        <v>2120</v>
      </c>
      <c r="Q299" s="99"/>
      <c r="R299" s="99"/>
      <c r="S299" s="100"/>
      <c r="T299" s="101"/>
    </row>
    <row r="300" spans="2:20" x14ac:dyDescent="0.3">
      <c r="B300" s="98" t="s">
        <v>19</v>
      </c>
      <c r="C300" s="121">
        <v>6000</v>
      </c>
      <c r="D300" s="99">
        <v>2000</v>
      </c>
      <c r="E300" s="99">
        <f>(C300*0.015)</f>
        <v>90</v>
      </c>
      <c r="F300" s="99">
        <f>SUM(D300:E300)</f>
        <v>2090</v>
      </c>
      <c r="G300" s="99"/>
      <c r="H300" s="99"/>
      <c r="I300" s="100"/>
      <c r="J300" s="101"/>
      <c r="L300" s="98" t="s">
        <v>19</v>
      </c>
      <c r="M300" s="121">
        <v>6000</v>
      </c>
      <c r="N300" s="99">
        <v>2000</v>
      </c>
      <c r="O300" s="99">
        <f>(M300*0.015)</f>
        <v>90</v>
      </c>
      <c r="P300" s="99">
        <f>SUM(N300:O300)</f>
        <v>2090</v>
      </c>
      <c r="Q300" s="99"/>
      <c r="R300" s="99"/>
      <c r="S300" s="100"/>
      <c r="T300" s="101"/>
    </row>
    <row r="301" spans="2:20" x14ac:dyDescent="0.3">
      <c r="B301" s="98" t="s">
        <v>20</v>
      </c>
      <c r="C301" s="121">
        <v>4000</v>
      </c>
      <c r="D301" s="99">
        <v>2000</v>
      </c>
      <c r="E301" s="99">
        <f>(C301*0.015)</f>
        <v>60</v>
      </c>
      <c r="F301" s="99">
        <f>SUM(D301:E301)</f>
        <v>2060</v>
      </c>
      <c r="G301" s="99"/>
      <c r="H301" s="99"/>
      <c r="I301" s="100"/>
      <c r="J301" s="101"/>
      <c r="L301" s="98" t="s">
        <v>20</v>
      </c>
      <c r="M301" s="121">
        <v>4000</v>
      </c>
      <c r="N301" s="99">
        <v>2000</v>
      </c>
      <c r="O301" s="99">
        <f>(M301*0.015)</f>
        <v>60</v>
      </c>
      <c r="P301" s="99">
        <f>SUM(N301:O301)</f>
        <v>2060</v>
      </c>
      <c r="Q301" s="99"/>
      <c r="R301" s="99"/>
      <c r="S301" s="100"/>
      <c r="T301" s="101"/>
    </row>
    <row r="302" spans="2:20" x14ac:dyDescent="0.3">
      <c r="B302" s="98" t="s">
        <v>21</v>
      </c>
      <c r="C302" s="122">
        <v>2000</v>
      </c>
      <c r="D302" s="99">
        <v>2000</v>
      </c>
      <c r="E302" s="99">
        <f>(C302*0.015)</f>
        <v>30</v>
      </c>
      <c r="F302" s="99">
        <f>SUM(D302:E302)</f>
        <v>2030</v>
      </c>
      <c r="G302" s="99"/>
      <c r="H302" s="99"/>
      <c r="I302" s="100"/>
      <c r="J302" s="101" t="s">
        <v>42</v>
      </c>
      <c r="L302" s="98" t="s">
        <v>21</v>
      </c>
      <c r="M302" s="122">
        <v>2000</v>
      </c>
      <c r="N302" s="99">
        <v>2000</v>
      </c>
      <c r="O302" s="99">
        <f>(M302*0.015)</f>
        <v>30</v>
      </c>
      <c r="P302" s="99">
        <f>SUM(N302:O302)</f>
        <v>2030</v>
      </c>
      <c r="Q302" s="99"/>
      <c r="R302" s="99"/>
      <c r="S302" s="100"/>
      <c r="T302" s="101" t="s">
        <v>42</v>
      </c>
    </row>
    <row r="324" spans="2:20" x14ac:dyDescent="0.3">
      <c r="B324" s="77" t="s">
        <v>0</v>
      </c>
      <c r="C324" s="229" t="s">
        <v>187</v>
      </c>
      <c r="D324" s="230"/>
      <c r="E324" s="230"/>
      <c r="F324" s="79"/>
      <c r="G324" s="80"/>
      <c r="H324" s="231" t="s">
        <v>1</v>
      </c>
      <c r="I324" s="231"/>
      <c r="J324" s="82">
        <v>20000</v>
      </c>
      <c r="L324" s="77" t="s">
        <v>0</v>
      </c>
      <c r="M324" s="229" t="s">
        <v>187</v>
      </c>
      <c r="N324" s="230"/>
      <c r="O324" s="230"/>
      <c r="P324" s="79"/>
      <c r="Q324" s="80"/>
      <c r="R324" s="231" t="s">
        <v>1</v>
      </c>
      <c r="S324" s="231"/>
      <c r="T324" s="82">
        <v>20000</v>
      </c>
    </row>
    <row r="325" spans="2:20" x14ac:dyDescent="0.3">
      <c r="B325" s="77" t="s">
        <v>2</v>
      </c>
      <c r="C325" s="83"/>
      <c r="D325" s="79"/>
      <c r="E325" s="83"/>
      <c r="F325" s="81"/>
      <c r="G325" s="81"/>
      <c r="H325" s="84"/>
      <c r="I325" s="81" t="s">
        <v>3</v>
      </c>
      <c r="J325" s="113" t="s">
        <v>188</v>
      </c>
      <c r="L325" s="77" t="s">
        <v>2</v>
      </c>
      <c r="M325" s="83"/>
      <c r="N325" s="79"/>
      <c r="O325" s="83"/>
      <c r="P325" s="81"/>
      <c r="Q325" s="81"/>
      <c r="R325" s="84"/>
      <c r="S325" s="81" t="s">
        <v>3</v>
      </c>
      <c r="T325" s="113" t="s">
        <v>188</v>
      </c>
    </row>
    <row r="326" spans="2:20" x14ac:dyDescent="0.3">
      <c r="B326" s="77" t="s">
        <v>4</v>
      </c>
      <c r="C326" s="78"/>
      <c r="D326" s="79"/>
      <c r="E326" s="78"/>
      <c r="F326" s="231" t="s">
        <v>5</v>
      </c>
      <c r="G326" s="231"/>
      <c r="H326" s="231"/>
      <c r="I326" s="231"/>
      <c r="J326" s="86">
        <v>1.4999999999999999E-2</v>
      </c>
      <c r="L326" s="77" t="s">
        <v>4</v>
      </c>
      <c r="M326" s="78"/>
      <c r="N326" s="79"/>
      <c r="O326" s="78"/>
      <c r="P326" s="231" t="s">
        <v>5</v>
      </c>
      <c r="Q326" s="231"/>
      <c r="R326" s="231"/>
      <c r="S326" s="231"/>
      <c r="T326" s="86">
        <v>1.4999999999999999E-2</v>
      </c>
    </row>
    <row r="327" spans="2:20" ht="15" thickBot="1" x14ac:dyDescent="0.35">
      <c r="B327" s="77" t="s">
        <v>6</v>
      </c>
      <c r="C327" s="232"/>
      <c r="D327" s="232"/>
      <c r="E327" s="233" t="s">
        <v>7</v>
      </c>
      <c r="F327" s="233"/>
      <c r="G327" s="233"/>
      <c r="H327" s="233"/>
      <c r="I327" s="233"/>
      <c r="J327" s="78">
        <v>12</v>
      </c>
      <c r="L327" s="77" t="s">
        <v>6</v>
      </c>
      <c r="M327" s="232"/>
      <c r="N327" s="232"/>
      <c r="O327" s="233" t="s">
        <v>7</v>
      </c>
      <c r="P327" s="233"/>
      <c r="Q327" s="233"/>
      <c r="R327" s="233"/>
      <c r="S327" s="233"/>
      <c r="T327" s="78">
        <v>12</v>
      </c>
    </row>
    <row r="328" spans="2:20" ht="51.6" thickBot="1" x14ac:dyDescent="0.35">
      <c r="B328" s="89" t="s">
        <v>8</v>
      </c>
      <c r="C328" s="89" t="s">
        <v>9</v>
      </c>
      <c r="D328" s="89" t="s">
        <v>10</v>
      </c>
      <c r="E328" s="90" t="s">
        <v>11</v>
      </c>
      <c r="F328" s="91" t="s">
        <v>12</v>
      </c>
      <c r="G328" s="92" t="s">
        <v>13</v>
      </c>
      <c r="H328" s="92" t="s">
        <v>14</v>
      </c>
      <c r="I328" s="92" t="s">
        <v>15</v>
      </c>
      <c r="J328" s="93" t="s">
        <v>16</v>
      </c>
      <c r="L328" s="89" t="s">
        <v>8</v>
      </c>
      <c r="M328" s="89" t="s">
        <v>9</v>
      </c>
      <c r="N328" s="89" t="s">
        <v>10</v>
      </c>
      <c r="O328" s="90" t="s">
        <v>11</v>
      </c>
      <c r="P328" s="91" t="s">
        <v>12</v>
      </c>
      <c r="Q328" s="92" t="s">
        <v>13</v>
      </c>
      <c r="R328" s="92" t="s">
        <v>14</v>
      </c>
      <c r="S328" s="92" t="s">
        <v>15</v>
      </c>
      <c r="T328" s="93" t="s">
        <v>16</v>
      </c>
    </row>
    <row r="329" spans="2:20" x14ac:dyDescent="0.3">
      <c r="B329" s="94" t="s">
        <v>17</v>
      </c>
      <c r="C329" s="95">
        <f>J324</f>
        <v>20000</v>
      </c>
      <c r="D329" s="95">
        <f>J324/J327</f>
        <v>1666.6666666666667</v>
      </c>
      <c r="E329" s="95">
        <f t="shared" ref="E329:E340" si="24">(C329*0.015)</f>
        <v>300</v>
      </c>
      <c r="F329" s="95">
        <f t="shared" ref="F329:F340" si="25">$D$9+E329</f>
        <v>1800</v>
      </c>
      <c r="G329" s="95"/>
      <c r="H329" s="95"/>
      <c r="I329" s="96"/>
      <c r="J329" s="97"/>
      <c r="L329" s="94" t="s">
        <v>17</v>
      </c>
      <c r="M329" s="95">
        <f>T324</f>
        <v>20000</v>
      </c>
      <c r="N329" s="95">
        <f>T324/T327</f>
        <v>1666.6666666666667</v>
      </c>
      <c r="O329" s="95">
        <f t="shared" ref="O329:O340" si="26">(M329*0.015)</f>
        <v>300</v>
      </c>
      <c r="P329" s="95">
        <f t="shared" ref="P329:P340" si="27">$D$9+O329</f>
        <v>1800</v>
      </c>
      <c r="Q329" s="95"/>
      <c r="R329" s="95"/>
      <c r="S329" s="96"/>
      <c r="T329" s="97"/>
    </row>
    <row r="330" spans="2:20" x14ac:dyDescent="0.3">
      <c r="B330" s="98" t="s">
        <v>18</v>
      </c>
      <c r="C330" s="99">
        <v>18333</v>
      </c>
      <c r="D330" s="99">
        <f t="shared" ref="D330:D340" si="28">$D$9</f>
        <v>1500</v>
      </c>
      <c r="E330" s="99">
        <f t="shared" si="24"/>
        <v>274.995</v>
      </c>
      <c r="F330" s="99">
        <f t="shared" si="25"/>
        <v>1774.9949999999999</v>
      </c>
      <c r="G330" s="99"/>
      <c r="H330" s="99"/>
      <c r="I330" s="100"/>
      <c r="J330" s="101"/>
      <c r="L330" s="98" t="s">
        <v>18</v>
      </c>
      <c r="M330" s="99">
        <v>18333</v>
      </c>
      <c r="N330" s="99">
        <f t="shared" ref="N330:N340" si="29">$D$9</f>
        <v>1500</v>
      </c>
      <c r="O330" s="99">
        <f t="shared" si="26"/>
        <v>274.995</v>
      </c>
      <c r="P330" s="99">
        <f t="shared" si="27"/>
        <v>1774.9949999999999</v>
      </c>
      <c r="Q330" s="99"/>
      <c r="R330" s="99"/>
      <c r="S330" s="100"/>
      <c r="T330" s="101"/>
    </row>
    <row r="331" spans="2:20" x14ac:dyDescent="0.3">
      <c r="B331" s="98" t="s">
        <v>19</v>
      </c>
      <c r="C331" s="99">
        <v>16667</v>
      </c>
      <c r="D331" s="99">
        <f t="shared" si="28"/>
        <v>1500</v>
      </c>
      <c r="E331" s="99">
        <f t="shared" si="24"/>
        <v>250.005</v>
      </c>
      <c r="F331" s="99">
        <f t="shared" si="25"/>
        <v>1750.0050000000001</v>
      </c>
      <c r="G331" s="99"/>
      <c r="H331" s="99"/>
      <c r="I331" s="100"/>
      <c r="J331" s="101"/>
      <c r="L331" s="98" t="s">
        <v>19</v>
      </c>
      <c r="M331" s="99">
        <v>16667</v>
      </c>
      <c r="N331" s="99">
        <f t="shared" si="29"/>
        <v>1500</v>
      </c>
      <c r="O331" s="99">
        <f t="shared" si="26"/>
        <v>250.005</v>
      </c>
      <c r="P331" s="99">
        <f t="shared" si="27"/>
        <v>1750.0050000000001</v>
      </c>
      <c r="Q331" s="99"/>
      <c r="R331" s="99"/>
      <c r="S331" s="100"/>
      <c r="T331" s="101"/>
    </row>
    <row r="332" spans="2:20" x14ac:dyDescent="0.3">
      <c r="B332" s="98" t="s">
        <v>20</v>
      </c>
      <c r="C332" s="99">
        <v>14999</v>
      </c>
      <c r="D332" s="99">
        <f t="shared" si="28"/>
        <v>1500</v>
      </c>
      <c r="E332" s="99">
        <f t="shared" si="24"/>
        <v>224.98499999999999</v>
      </c>
      <c r="F332" s="99">
        <f t="shared" si="25"/>
        <v>1724.9849999999999</v>
      </c>
      <c r="G332" s="99"/>
      <c r="H332" s="99"/>
      <c r="I332" s="100"/>
      <c r="J332" s="101"/>
      <c r="L332" s="98" t="s">
        <v>20</v>
      </c>
      <c r="M332" s="99">
        <v>14999</v>
      </c>
      <c r="N332" s="99">
        <f t="shared" si="29"/>
        <v>1500</v>
      </c>
      <c r="O332" s="99">
        <f t="shared" si="26"/>
        <v>224.98499999999999</v>
      </c>
      <c r="P332" s="99">
        <f t="shared" si="27"/>
        <v>1724.9849999999999</v>
      </c>
      <c r="Q332" s="99"/>
      <c r="R332" s="99"/>
      <c r="S332" s="100"/>
      <c r="T332" s="101"/>
    </row>
    <row r="333" spans="2:20" x14ac:dyDescent="0.3">
      <c r="B333" s="98" t="s">
        <v>21</v>
      </c>
      <c r="C333" s="99">
        <v>13333</v>
      </c>
      <c r="D333" s="99">
        <f t="shared" si="28"/>
        <v>1500</v>
      </c>
      <c r="E333" s="99">
        <f t="shared" si="24"/>
        <v>199.995</v>
      </c>
      <c r="F333" s="99">
        <f t="shared" si="25"/>
        <v>1699.9949999999999</v>
      </c>
      <c r="G333" s="99"/>
      <c r="H333" s="99"/>
      <c r="I333" s="100"/>
      <c r="J333" s="101"/>
      <c r="L333" s="98" t="s">
        <v>21</v>
      </c>
      <c r="M333" s="99">
        <v>13333</v>
      </c>
      <c r="N333" s="99">
        <f t="shared" si="29"/>
        <v>1500</v>
      </c>
      <c r="O333" s="99">
        <f t="shared" si="26"/>
        <v>199.995</v>
      </c>
      <c r="P333" s="99">
        <f t="shared" si="27"/>
        <v>1699.9949999999999</v>
      </c>
      <c r="Q333" s="99"/>
      <c r="R333" s="99"/>
      <c r="S333" s="100"/>
      <c r="T333" s="101"/>
    </row>
    <row r="334" spans="2:20" x14ac:dyDescent="0.3">
      <c r="B334" s="98" t="s">
        <v>23</v>
      </c>
      <c r="C334" s="99">
        <v>11665</v>
      </c>
      <c r="D334" s="99">
        <f t="shared" si="28"/>
        <v>1500</v>
      </c>
      <c r="E334" s="99">
        <f t="shared" si="24"/>
        <v>174.97499999999999</v>
      </c>
      <c r="F334" s="99">
        <f t="shared" si="25"/>
        <v>1674.9749999999999</v>
      </c>
      <c r="G334" s="99"/>
      <c r="H334" s="99"/>
      <c r="I334" s="100"/>
      <c r="J334" s="101"/>
      <c r="L334" s="98" t="s">
        <v>23</v>
      </c>
      <c r="M334" s="99">
        <v>11665</v>
      </c>
      <c r="N334" s="99">
        <f t="shared" si="29"/>
        <v>1500</v>
      </c>
      <c r="O334" s="99">
        <f t="shared" si="26"/>
        <v>174.97499999999999</v>
      </c>
      <c r="P334" s="99">
        <f t="shared" si="27"/>
        <v>1674.9749999999999</v>
      </c>
      <c r="Q334" s="99"/>
      <c r="R334" s="99"/>
      <c r="S334" s="100"/>
      <c r="T334" s="101"/>
    </row>
    <row r="335" spans="2:20" x14ac:dyDescent="0.3">
      <c r="B335" s="98" t="s">
        <v>24</v>
      </c>
      <c r="C335" s="99">
        <v>9999</v>
      </c>
      <c r="D335" s="99">
        <f t="shared" si="28"/>
        <v>1500</v>
      </c>
      <c r="E335" s="99">
        <f t="shared" si="24"/>
        <v>149.98499999999999</v>
      </c>
      <c r="F335" s="99">
        <f t="shared" si="25"/>
        <v>1649.9849999999999</v>
      </c>
      <c r="G335" s="99"/>
      <c r="H335" s="99"/>
      <c r="I335" s="100"/>
      <c r="J335" s="101"/>
      <c r="L335" s="98" t="s">
        <v>24</v>
      </c>
      <c r="M335" s="99">
        <v>9999</v>
      </c>
      <c r="N335" s="99">
        <f t="shared" si="29"/>
        <v>1500</v>
      </c>
      <c r="O335" s="99">
        <f t="shared" si="26"/>
        <v>149.98499999999999</v>
      </c>
      <c r="P335" s="99">
        <f t="shared" si="27"/>
        <v>1649.9849999999999</v>
      </c>
      <c r="Q335" s="99"/>
      <c r="R335" s="99"/>
      <c r="S335" s="100"/>
      <c r="T335" s="101"/>
    </row>
    <row r="336" spans="2:20" x14ac:dyDescent="0.3">
      <c r="B336" s="98" t="s">
        <v>25</v>
      </c>
      <c r="C336" s="99">
        <v>8332</v>
      </c>
      <c r="D336" s="99">
        <f t="shared" si="28"/>
        <v>1500</v>
      </c>
      <c r="E336" s="99">
        <f t="shared" si="24"/>
        <v>124.97999999999999</v>
      </c>
      <c r="F336" s="99">
        <f t="shared" si="25"/>
        <v>1624.98</v>
      </c>
      <c r="G336" s="99"/>
      <c r="H336" s="99"/>
      <c r="I336" s="100"/>
      <c r="J336" s="101"/>
      <c r="L336" s="98" t="s">
        <v>25</v>
      </c>
      <c r="M336" s="99">
        <v>8332</v>
      </c>
      <c r="N336" s="99">
        <f t="shared" si="29"/>
        <v>1500</v>
      </c>
      <c r="O336" s="99">
        <f t="shared" si="26"/>
        <v>124.97999999999999</v>
      </c>
      <c r="P336" s="99">
        <f t="shared" si="27"/>
        <v>1624.98</v>
      </c>
      <c r="Q336" s="99"/>
      <c r="R336" s="99"/>
      <c r="S336" s="100"/>
      <c r="T336" s="101"/>
    </row>
    <row r="337" spans="2:20" x14ac:dyDescent="0.3">
      <c r="B337" s="98" t="s">
        <v>26</v>
      </c>
      <c r="C337" s="99">
        <v>6664</v>
      </c>
      <c r="D337" s="99">
        <f t="shared" si="28"/>
        <v>1500</v>
      </c>
      <c r="E337" s="99">
        <f t="shared" si="24"/>
        <v>99.96</v>
      </c>
      <c r="F337" s="99">
        <f t="shared" si="25"/>
        <v>1599.96</v>
      </c>
      <c r="G337" s="99"/>
      <c r="H337" s="99"/>
      <c r="I337" s="100"/>
      <c r="J337" s="101"/>
      <c r="L337" s="98" t="s">
        <v>26</v>
      </c>
      <c r="M337" s="99">
        <v>6664</v>
      </c>
      <c r="N337" s="99">
        <f t="shared" si="29"/>
        <v>1500</v>
      </c>
      <c r="O337" s="99">
        <f t="shared" si="26"/>
        <v>99.96</v>
      </c>
      <c r="P337" s="99">
        <f t="shared" si="27"/>
        <v>1599.96</v>
      </c>
      <c r="Q337" s="99"/>
      <c r="R337" s="99"/>
      <c r="S337" s="100"/>
      <c r="T337" s="101"/>
    </row>
    <row r="338" spans="2:20" x14ac:dyDescent="0.3">
      <c r="B338" s="98" t="s">
        <v>27</v>
      </c>
      <c r="C338" s="99">
        <v>4997</v>
      </c>
      <c r="D338" s="99">
        <f t="shared" si="28"/>
        <v>1500</v>
      </c>
      <c r="E338" s="99">
        <f t="shared" si="24"/>
        <v>74.954999999999998</v>
      </c>
      <c r="F338" s="99">
        <f t="shared" si="25"/>
        <v>1574.9549999999999</v>
      </c>
      <c r="G338" s="99"/>
      <c r="H338" s="99"/>
      <c r="I338" s="100"/>
      <c r="J338" s="101"/>
      <c r="L338" s="98" t="s">
        <v>27</v>
      </c>
      <c r="M338" s="99">
        <v>4997</v>
      </c>
      <c r="N338" s="99">
        <f t="shared" si="29"/>
        <v>1500</v>
      </c>
      <c r="O338" s="99">
        <f t="shared" si="26"/>
        <v>74.954999999999998</v>
      </c>
      <c r="P338" s="99">
        <f t="shared" si="27"/>
        <v>1574.9549999999999</v>
      </c>
      <c r="Q338" s="99"/>
      <c r="R338" s="99"/>
      <c r="S338" s="100"/>
      <c r="T338" s="101"/>
    </row>
    <row r="339" spans="2:20" x14ac:dyDescent="0.3">
      <c r="B339" s="98" t="s">
        <v>28</v>
      </c>
      <c r="C339" s="99">
        <v>3330</v>
      </c>
      <c r="D339" s="99">
        <f t="shared" si="28"/>
        <v>1500</v>
      </c>
      <c r="E339" s="99">
        <f t="shared" si="24"/>
        <v>49.949999999999996</v>
      </c>
      <c r="F339" s="99">
        <f t="shared" si="25"/>
        <v>1549.95</v>
      </c>
      <c r="G339" s="99"/>
      <c r="H339" s="99"/>
      <c r="I339" s="100"/>
      <c r="J339" s="101"/>
      <c r="L339" s="98" t="s">
        <v>28</v>
      </c>
      <c r="M339" s="99">
        <v>3330</v>
      </c>
      <c r="N339" s="99">
        <f t="shared" si="29"/>
        <v>1500</v>
      </c>
      <c r="O339" s="99">
        <f t="shared" si="26"/>
        <v>49.949999999999996</v>
      </c>
      <c r="P339" s="99">
        <f t="shared" si="27"/>
        <v>1549.95</v>
      </c>
      <c r="Q339" s="99"/>
      <c r="R339" s="99"/>
      <c r="S339" s="100"/>
      <c r="T339" s="101"/>
    </row>
    <row r="340" spans="2:20" x14ac:dyDescent="0.3">
      <c r="B340" s="98" t="s">
        <v>29</v>
      </c>
      <c r="C340" s="99">
        <v>1667</v>
      </c>
      <c r="D340" s="99">
        <f t="shared" si="28"/>
        <v>1500</v>
      </c>
      <c r="E340" s="99">
        <f t="shared" si="24"/>
        <v>25.004999999999999</v>
      </c>
      <c r="F340" s="99">
        <f t="shared" si="25"/>
        <v>1525.0050000000001</v>
      </c>
      <c r="G340" s="99"/>
      <c r="H340" s="99"/>
      <c r="I340" s="100"/>
      <c r="J340" s="101" t="s">
        <v>42</v>
      </c>
      <c r="L340" s="98" t="s">
        <v>29</v>
      </c>
      <c r="M340" s="99">
        <v>1667</v>
      </c>
      <c r="N340" s="99">
        <f t="shared" si="29"/>
        <v>1500</v>
      </c>
      <c r="O340" s="99">
        <f t="shared" si="26"/>
        <v>25.004999999999999</v>
      </c>
      <c r="P340" s="99">
        <f t="shared" si="27"/>
        <v>1525.0050000000001</v>
      </c>
      <c r="Q340" s="99"/>
      <c r="R340" s="99"/>
      <c r="S340" s="100"/>
      <c r="T340" s="101" t="s">
        <v>42</v>
      </c>
    </row>
    <row r="357" spans="2:20" x14ac:dyDescent="0.3">
      <c r="B357" s="77" t="s">
        <v>0</v>
      </c>
      <c r="C357" s="229" t="s">
        <v>90</v>
      </c>
      <c r="D357" s="230"/>
      <c r="E357" s="230"/>
      <c r="F357" s="117" t="s">
        <v>195</v>
      </c>
      <c r="G357" s="80"/>
      <c r="H357" s="231" t="s">
        <v>1</v>
      </c>
      <c r="I357" s="231"/>
      <c r="J357" s="82">
        <v>4000</v>
      </c>
      <c r="L357" s="77" t="s">
        <v>0</v>
      </c>
      <c r="M357" s="229" t="s">
        <v>90</v>
      </c>
      <c r="N357" s="230"/>
      <c r="O357" s="230"/>
      <c r="P357" s="117" t="s">
        <v>195</v>
      </c>
      <c r="Q357" s="80"/>
      <c r="R357" s="231" t="s">
        <v>1</v>
      </c>
      <c r="S357" s="231"/>
      <c r="T357" s="82">
        <v>4000</v>
      </c>
    </row>
    <row r="358" spans="2:20" x14ac:dyDescent="0.3">
      <c r="B358" s="77" t="s">
        <v>2</v>
      </c>
      <c r="C358" s="83"/>
      <c r="D358" s="79"/>
      <c r="E358" s="83"/>
      <c r="F358" s="81"/>
      <c r="G358" s="81"/>
      <c r="H358" s="84"/>
      <c r="I358" s="81" t="s">
        <v>3</v>
      </c>
      <c r="J358" s="85" t="s">
        <v>183</v>
      </c>
      <c r="L358" s="77" t="s">
        <v>2</v>
      </c>
      <c r="M358" s="83"/>
      <c r="N358" s="79"/>
      <c r="O358" s="83"/>
      <c r="P358" s="81"/>
      <c r="Q358" s="81"/>
      <c r="R358" s="84"/>
      <c r="S358" s="81" t="s">
        <v>3</v>
      </c>
      <c r="T358" s="85" t="s">
        <v>183</v>
      </c>
    </row>
    <row r="359" spans="2:20" x14ac:dyDescent="0.3">
      <c r="B359" s="77" t="s">
        <v>4</v>
      </c>
      <c r="C359" s="78"/>
      <c r="D359" s="79"/>
      <c r="E359" s="78"/>
      <c r="F359" s="231" t="s">
        <v>5</v>
      </c>
      <c r="G359" s="231"/>
      <c r="H359" s="231"/>
      <c r="I359" s="231"/>
      <c r="J359" s="86">
        <v>1.4999999999999999E-2</v>
      </c>
      <c r="L359" s="77" t="s">
        <v>4</v>
      </c>
      <c r="M359" s="78"/>
      <c r="N359" s="79"/>
      <c r="O359" s="78"/>
      <c r="P359" s="231" t="s">
        <v>5</v>
      </c>
      <c r="Q359" s="231"/>
      <c r="R359" s="231"/>
      <c r="S359" s="231"/>
      <c r="T359" s="86">
        <v>1.4999999999999999E-2</v>
      </c>
    </row>
    <row r="360" spans="2:20" ht="15" thickBot="1" x14ac:dyDescent="0.35">
      <c r="B360" s="77" t="s">
        <v>6</v>
      </c>
      <c r="C360" s="232"/>
      <c r="D360" s="232"/>
      <c r="E360" s="233" t="s">
        <v>7</v>
      </c>
      <c r="F360" s="233"/>
      <c r="G360" s="233"/>
      <c r="H360" s="233"/>
      <c r="I360" s="233"/>
      <c r="J360" s="78">
        <v>2</v>
      </c>
      <c r="L360" s="77" t="s">
        <v>6</v>
      </c>
      <c r="M360" s="232"/>
      <c r="N360" s="232"/>
      <c r="O360" s="233" t="s">
        <v>7</v>
      </c>
      <c r="P360" s="233"/>
      <c r="Q360" s="233"/>
      <c r="R360" s="233"/>
      <c r="S360" s="233"/>
      <c r="T360" s="78">
        <v>2</v>
      </c>
    </row>
    <row r="361" spans="2:20" ht="51.6" thickBot="1" x14ac:dyDescent="0.35">
      <c r="B361" s="89" t="s">
        <v>8</v>
      </c>
      <c r="C361" s="89" t="s">
        <v>9</v>
      </c>
      <c r="D361" s="89" t="s">
        <v>10</v>
      </c>
      <c r="E361" s="90" t="s">
        <v>11</v>
      </c>
      <c r="F361" s="91" t="s">
        <v>12</v>
      </c>
      <c r="G361" s="92" t="s">
        <v>13</v>
      </c>
      <c r="H361" s="92" t="s">
        <v>14</v>
      </c>
      <c r="I361" s="92" t="s">
        <v>15</v>
      </c>
      <c r="J361" s="93" t="s">
        <v>16</v>
      </c>
      <c r="L361" s="89" t="s">
        <v>8</v>
      </c>
      <c r="M361" s="89" t="s">
        <v>9</v>
      </c>
      <c r="N361" s="89" t="s">
        <v>10</v>
      </c>
      <c r="O361" s="90" t="s">
        <v>11</v>
      </c>
      <c r="P361" s="91" t="s">
        <v>12</v>
      </c>
      <c r="Q361" s="92" t="s">
        <v>13</v>
      </c>
      <c r="R361" s="92" t="s">
        <v>14</v>
      </c>
      <c r="S361" s="92" t="s">
        <v>15</v>
      </c>
      <c r="T361" s="93" t="s">
        <v>16</v>
      </c>
    </row>
    <row r="362" spans="2:20" x14ac:dyDescent="0.3">
      <c r="B362" s="94" t="s">
        <v>17</v>
      </c>
      <c r="C362" s="95">
        <f>J357</f>
        <v>4000</v>
      </c>
      <c r="D362" s="95">
        <f>J357/J360</f>
        <v>2000</v>
      </c>
      <c r="E362" s="95">
        <f>(C362*0.015)</f>
        <v>60</v>
      </c>
      <c r="F362" s="95">
        <f>SUM(D362:E362)</f>
        <v>2060</v>
      </c>
      <c r="G362" s="95"/>
      <c r="H362" s="95"/>
      <c r="I362" s="96"/>
      <c r="J362" s="97"/>
      <c r="L362" s="94" t="s">
        <v>17</v>
      </c>
      <c r="M362" s="95">
        <f>T357</f>
        <v>4000</v>
      </c>
      <c r="N362" s="95">
        <f>T357/T360</f>
        <v>2000</v>
      </c>
      <c r="O362" s="95">
        <f>(M362*0.015)</f>
        <v>60</v>
      </c>
      <c r="P362" s="95">
        <f>SUM(N362:O362)</f>
        <v>2060</v>
      </c>
      <c r="Q362" s="95"/>
      <c r="R362" s="95"/>
      <c r="S362" s="96"/>
      <c r="T362" s="97"/>
    </row>
    <row r="363" spans="2:20" x14ac:dyDescent="0.3">
      <c r="B363" s="98" t="s">
        <v>18</v>
      </c>
      <c r="C363" s="99">
        <v>2000</v>
      </c>
      <c r="D363" s="99">
        <v>2000</v>
      </c>
      <c r="E363" s="99">
        <f>(C363*0.015)</f>
        <v>30</v>
      </c>
      <c r="F363" s="99">
        <f>SUM(D363:E363)</f>
        <v>2030</v>
      </c>
      <c r="G363" s="99"/>
      <c r="H363" s="99"/>
      <c r="I363" s="100"/>
      <c r="J363" s="101" t="s">
        <v>42</v>
      </c>
      <c r="L363" s="98" t="s">
        <v>18</v>
      </c>
      <c r="M363" s="99">
        <v>2000</v>
      </c>
      <c r="N363" s="99">
        <v>2000</v>
      </c>
      <c r="O363" s="99">
        <f>(M363*0.015)</f>
        <v>30</v>
      </c>
      <c r="P363" s="99">
        <f>SUM(N363:O363)</f>
        <v>2030</v>
      </c>
      <c r="Q363" s="99"/>
      <c r="R363" s="99"/>
      <c r="S363" s="100"/>
      <c r="T363" s="101" t="s">
        <v>42</v>
      </c>
    </row>
    <row r="389" spans="2:20" x14ac:dyDescent="0.3">
      <c r="B389" s="77" t="s">
        <v>0</v>
      </c>
      <c r="C389" s="229" t="s">
        <v>167</v>
      </c>
      <c r="D389" s="230"/>
      <c r="E389" s="230"/>
      <c r="F389" s="79"/>
      <c r="G389" s="80"/>
      <c r="H389" s="231" t="s">
        <v>1</v>
      </c>
      <c r="I389" s="231"/>
      <c r="J389" s="82">
        <v>15000</v>
      </c>
      <c r="L389" s="77" t="s">
        <v>0</v>
      </c>
      <c r="M389" s="229" t="s">
        <v>167</v>
      </c>
      <c r="N389" s="230"/>
      <c r="O389" s="230"/>
      <c r="P389" s="79"/>
      <c r="Q389" s="80"/>
      <c r="R389" s="231" t="s">
        <v>1</v>
      </c>
      <c r="S389" s="231"/>
      <c r="T389" s="82">
        <v>15000</v>
      </c>
    </row>
    <row r="390" spans="2:20" x14ac:dyDescent="0.3">
      <c r="B390" s="77" t="s">
        <v>2</v>
      </c>
      <c r="C390" s="83"/>
      <c r="D390" s="79"/>
      <c r="E390" s="83"/>
      <c r="F390" s="81"/>
      <c r="G390" s="81"/>
      <c r="H390" s="84"/>
      <c r="I390" s="81" t="s">
        <v>3</v>
      </c>
      <c r="J390" s="85" t="s">
        <v>189</v>
      </c>
      <c r="L390" s="77" t="s">
        <v>2</v>
      </c>
      <c r="M390" s="83"/>
      <c r="N390" s="79"/>
      <c r="O390" s="83"/>
      <c r="P390" s="81"/>
      <c r="Q390" s="81"/>
      <c r="R390" s="84"/>
      <c r="S390" s="81" t="s">
        <v>3</v>
      </c>
      <c r="T390" s="85" t="s">
        <v>189</v>
      </c>
    </row>
    <row r="391" spans="2:20" x14ac:dyDescent="0.3">
      <c r="B391" s="77" t="s">
        <v>4</v>
      </c>
      <c r="C391" s="78"/>
      <c r="D391" s="79"/>
      <c r="E391" s="78"/>
      <c r="F391" s="231" t="s">
        <v>5</v>
      </c>
      <c r="G391" s="231"/>
      <c r="H391" s="231"/>
      <c r="I391" s="231"/>
      <c r="J391" s="86">
        <v>1.4999999999999999E-2</v>
      </c>
      <c r="L391" s="77" t="s">
        <v>4</v>
      </c>
      <c r="M391" s="78"/>
      <c r="N391" s="79"/>
      <c r="O391" s="78"/>
      <c r="P391" s="231" t="s">
        <v>5</v>
      </c>
      <c r="Q391" s="231"/>
      <c r="R391" s="231"/>
      <c r="S391" s="231"/>
      <c r="T391" s="86">
        <v>1.4999999999999999E-2</v>
      </c>
    </row>
    <row r="392" spans="2:20" ht="15" thickBot="1" x14ac:dyDescent="0.35">
      <c r="B392" s="77" t="s">
        <v>6</v>
      </c>
      <c r="C392" s="232"/>
      <c r="D392" s="232"/>
      <c r="E392" s="233" t="s">
        <v>7</v>
      </c>
      <c r="F392" s="233"/>
      <c r="G392" s="233"/>
      <c r="H392" s="233"/>
      <c r="I392" s="233"/>
      <c r="J392" s="78">
        <v>15</v>
      </c>
      <c r="L392" s="77" t="s">
        <v>6</v>
      </c>
      <c r="M392" s="232"/>
      <c r="N392" s="232"/>
      <c r="O392" s="233" t="s">
        <v>7</v>
      </c>
      <c r="P392" s="233"/>
      <c r="Q392" s="233"/>
      <c r="R392" s="233"/>
      <c r="S392" s="233"/>
      <c r="T392" s="78">
        <v>15</v>
      </c>
    </row>
    <row r="393" spans="2:20" ht="51.6" thickBot="1" x14ac:dyDescent="0.35">
      <c r="B393" s="89" t="s">
        <v>8</v>
      </c>
      <c r="C393" s="89" t="s">
        <v>9</v>
      </c>
      <c r="D393" s="89" t="s">
        <v>10</v>
      </c>
      <c r="E393" s="90" t="s">
        <v>11</v>
      </c>
      <c r="F393" s="91" t="s">
        <v>12</v>
      </c>
      <c r="G393" s="92" t="s">
        <v>13</v>
      </c>
      <c r="H393" s="92" t="s">
        <v>14</v>
      </c>
      <c r="I393" s="92" t="s">
        <v>15</v>
      </c>
      <c r="J393" s="93" t="s">
        <v>16</v>
      </c>
      <c r="L393" s="89" t="s">
        <v>8</v>
      </c>
      <c r="M393" s="89" t="s">
        <v>9</v>
      </c>
      <c r="N393" s="89" t="s">
        <v>10</v>
      </c>
      <c r="O393" s="90" t="s">
        <v>11</v>
      </c>
      <c r="P393" s="91" t="s">
        <v>12</v>
      </c>
      <c r="Q393" s="92" t="s">
        <v>13</v>
      </c>
      <c r="R393" s="92" t="s">
        <v>14</v>
      </c>
      <c r="S393" s="92" t="s">
        <v>15</v>
      </c>
      <c r="T393" s="93" t="s">
        <v>16</v>
      </c>
    </row>
    <row r="394" spans="2:20" x14ac:dyDescent="0.3">
      <c r="B394" s="94" t="s">
        <v>17</v>
      </c>
      <c r="C394" s="95">
        <f>J389</f>
        <v>15000</v>
      </c>
      <c r="D394" s="95">
        <f>J389/J392</f>
        <v>1000</v>
      </c>
      <c r="E394" s="95">
        <f t="shared" ref="E394:E408" si="30">(C394*0.015)</f>
        <v>225</v>
      </c>
      <c r="F394" s="95">
        <f t="shared" ref="F394:F408" si="31">SUM(D394:E394)</f>
        <v>1225</v>
      </c>
      <c r="G394" s="95"/>
      <c r="H394" s="126"/>
      <c r="I394" s="128"/>
      <c r="J394" s="97"/>
      <c r="L394" s="94" t="s">
        <v>17</v>
      </c>
      <c r="M394" s="95">
        <f>T389</f>
        <v>15000</v>
      </c>
      <c r="N394" s="95">
        <f>T389/T392</f>
        <v>1000</v>
      </c>
      <c r="O394" s="95">
        <f t="shared" ref="O394:O408" si="32">(M394*0.015)</f>
        <v>225</v>
      </c>
      <c r="P394" s="95">
        <f t="shared" ref="P394:P408" si="33">SUM(N394:O394)</f>
        <v>1225</v>
      </c>
      <c r="Q394" s="95"/>
      <c r="R394" s="126"/>
      <c r="S394" s="128"/>
      <c r="T394" s="97"/>
    </row>
    <row r="395" spans="2:20" x14ac:dyDescent="0.3">
      <c r="B395" s="98" t="s">
        <v>18</v>
      </c>
      <c r="C395" s="99">
        <v>14000</v>
      </c>
      <c r="D395" s="99">
        <v>1000</v>
      </c>
      <c r="E395" s="99">
        <f t="shared" si="30"/>
        <v>210</v>
      </c>
      <c r="F395" s="99">
        <f t="shared" si="31"/>
        <v>1210</v>
      </c>
      <c r="G395" s="99"/>
      <c r="H395" s="127"/>
      <c r="I395" s="129"/>
      <c r="J395" s="101"/>
      <c r="L395" s="98" t="s">
        <v>18</v>
      </c>
      <c r="M395" s="99">
        <v>14000</v>
      </c>
      <c r="N395" s="99">
        <v>1000</v>
      </c>
      <c r="O395" s="99">
        <f t="shared" si="32"/>
        <v>210</v>
      </c>
      <c r="P395" s="99">
        <f t="shared" si="33"/>
        <v>1210</v>
      </c>
      <c r="Q395" s="99"/>
      <c r="R395" s="127"/>
      <c r="S395" s="129"/>
      <c r="T395" s="101"/>
    </row>
    <row r="396" spans="2:20" ht="15" thickBot="1" x14ac:dyDescent="0.35">
      <c r="B396" s="98" t="s">
        <v>19</v>
      </c>
      <c r="C396" s="99">
        <v>13000</v>
      </c>
      <c r="D396" s="99">
        <v>1000</v>
      </c>
      <c r="E396" s="99">
        <f t="shared" si="30"/>
        <v>195</v>
      </c>
      <c r="F396" s="99">
        <f t="shared" si="31"/>
        <v>1195</v>
      </c>
      <c r="G396" s="99"/>
      <c r="H396" s="127"/>
      <c r="I396" s="129"/>
      <c r="J396" s="101"/>
      <c r="L396" s="98" t="s">
        <v>19</v>
      </c>
      <c r="M396" s="99">
        <v>13000</v>
      </c>
      <c r="N396" s="99">
        <v>1000</v>
      </c>
      <c r="O396" s="99">
        <f t="shared" si="32"/>
        <v>195</v>
      </c>
      <c r="P396" s="99">
        <f t="shared" si="33"/>
        <v>1195</v>
      </c>
      <c r="Q396" s="99"/>
      <c r="R396" s="127"/>
      <c r="S396" s="129"/>
      <c r="T396" s="101"/>
    </row>
    <row r="397" spans="2:20" x14ac:dyDescent="0.3">
      <c r="B397" s="98" t="s">
        <v>20</v>
      </c>
      <c r="C397" s="99">
        <v>12000</v>
      </c>
      <c r="D397" s="95">
        <v>1000</v>
      </c>
      <c r="E397" s="99">
        <f t="shared" si="30"/>
        <v>180</v>
      </c>
      <c r="F397" s="99">
        <f t="shared" si="31"/>
        <v>1180</v>
      </c>
      <c r="G397" s="99"/>
      <c r="H397" s="127"/>
      <c r="I397" s="129"/>
      <c r="J397" s="101"/>
      <c r="L397" s="98" t="s">
        <v>20</v>
      </c>
      <c r="M397" s="99">
        <v>12000</v>
      </c>
      <c r="N397" s="95">
        <v>1000</v>
      </c>
      <c r="O397" s="99">
        <f t="shared" si="32"/>
        <v>180</v>
      </c>
      <c r="P397" s="99">
        <f t="shared" si="33"/>
        <v>1180</v>
      </c>
      <c r="Q397" s="99"/>
      <c r="R397" s="127"/>
      <c r="S397" s="129"/>
      <c r="T397" s="101"/>
    </row>
    <row r="398" spans="2:20" x14ac:dyDescent="0.3">
      <c r="B398" s="98" t="s">
        <v>21</v>
      </c>
      <c r="C398" s="99">
        <v>11000</v>
      </c>
      <c r="D398" s="99">
        <v>1000</v>
      </c>
      <c r="E398" s="99">
        <f t="shared" si="30"/>
        <v>165</v>
      </c>
      <c r="F398" s="99">
        <f t="shared" si="31"/>
        <v>1165</v>
      </c>
      <c r="G398" s="99"/>
      <c r="H398" s="127"/>
      <c r="I398" s="129"/>
      <c r="J398" s="101"/>
      <c r="L398" s="98" t="s">
        <v>21</v>
      </c>
      <c r="M398" s="99">
        <v>11000</v>
      </c>
      <c r="N398" s="99">
        <v>1000</v>
      </c>
      <c r="O398" s="99">
        <f t="shared" si="32"/>
        <v>165</v>
      </c>
      <c r="P398" s="99">
        <f t="shared" si="33"/>
        <v>1165</v>
      </c>
      <c r="Q398" s="99"/>
      <c r="R398" s="127"/>
      <c r="S398" s="129"/>
      <c r="T398" s="101"/>
    </row>
    <row r="399" spans="2:20" ht="15" thickBot="1" x14ac:dyDescent="0.35">
      <c r="B399" s="98" t="s">
        <v>23</v>
      </c>
      <c r="C399" s="99">
        <v>10000</v>
      </c>
      <c r="D399" s="99">
        <v>1000</v>
      </c>
      <c r="E399" s="99">
        <f t="shared" si="30"/>
        <v>150</v>
      </c>
      <c r="F399" s="99">
        <f t="shared" si="31"/>
        <v>1150</v>
      </c>
      <c r="G399" s="99"/>
      <c r="H399" s="127"/>
      <c r="I399" s="129"/>
      <c r="J399" s="101"/>
      <c r="L399" s="98" t="s">
        <v>23</v>
      </c>
      <c r="M399" s="99">
        <v>10000</v>
      </c>
      <c r="N399" s="99">
        <v>1000</v>
      </c>
      <c r="O399" s="99">
        <f t="shared" si="32"/>
        <v>150</v>
      </c>
      <c r="P399" s="99">
        <f t="shared" si="33"/>
        <v>1150</v>
      </c>
      <c r="Q399" s="99"/>
      <c r="R399" s="127"/>
      <c r="S399" s="129"/>
      <c r="T399" s="101"/>
    </row>
    <row r="400" spans="2:20" x14ac:dyDescent="0.3">
      <c r="B400" s="98" t="s">
        <v>24</v>
      </c>
      <c r="C400" s="99">
        <v>9000</v>
      </c>
      <c r="D400" s="95">
        <v>1000</v>
      </c>
      <c r="E400" s="99">
        <f t="shared" si="30"/>
        <v>135</v>
      </c>
      <c r="F400" s="99">
        <f t="shared" si="31"/>
        <v>1135</v>
      </c>
      <c r="G400" s="99"/>
      <c r="H400" s="127"/>
      <c r="I400" s="129"/>
      <c r="J400" s="101"/>
      <c r="L400" s="98" t="s">
        <v>24</v>
      </c>
      <c r="M400" s="99">
        <v>9000</v>
      </c>
      <c r="N400" s="95">
        <v>1000</v>
      </c>
      <c r="O400" s="99">
        <f t="shared" si="32"/>
        <v>135</v>
      </c>
      <c r="P400" s="99">
        <f t="shared" si="33"/>
        <v>1135</v>
      </c>
      <c r="Q400" s="99"/>
      <c r="R400" s="127"/>
      <c r="S400" s="129"/>
      <c r="T400" s="101"/>
    </row>
    <row r="401" spans="2:20" x14ac:dyDescent="0.3">
      <c r="B401" s="98" t="s">
        <v>25</v>
      </c>
      <c r="C401" s="99">
        <v>8000</v>
      </c>
      <c r="D401" s="99">
        <v>1000</v>
      </c>
      <c r="E401" s="99">
        <f t="shared" si="30"/>
        <v>120</v>
      </c>
      <c r="F401" s="99">
        <f t="shared" si="31"/>
        <v>1120</v>
      </c>
      <c r="G401" s="99"/>
      <c r="H401" s="127"/>
      <c r="I401" s="129"/>
      <c r="J401" s="101"/>
      <c r="L401" s="98" t="s">
        <v>25</v>
      </c>
      <c r="M401" s="99">
        <v>8000</v>
      </c>
      <c r="N401" s="99">
        <v>1000</v>
      </c>
      <c r="O401" s="99">
        <f t="shared" si="32"/>
        <v>120</v>
      </c>
      <c r="P401" s="99">
        <f t="shared" si="33"/>
        <v>1120</v>
      </c>
      <c r="Q401" s="99"/>
      <c r="R401" s="127"/>
      <c r="S401" s="129"/>
      <c r="T401" s="101"/>
    </row>
    <row r="402" spans="2:20" ht="15" thickBot="1" x14ac:dyDescent="0.35">
      <c r="B402" s="98" t="s">
        <v>26</v>
      </c>
      <c r="C402" s="99">
        <v>7000</v>
      </c>
      <c r="D402" s="99">
        <v>1000</v>
      </c>
      <c r="E402" s="99">
        <f t="shared" si="30"/>
        <v>105</v>
      </c>
      <c r="F402" s="99">
        <f t="shared" si="31"/>
        <v>1105</v>
      </c>
      <c r="G402" s="99"/>
      <c r="H402" s="127"/>
      <c r="I402" s="129"/>
      <c r="J402" s="101"/>
      <c r="L402" s="98" t="s">
        <v>26</v>
      </c>
      <c r="M402" s="99">
        <v>7000</v>
      </c>
      <c r="N402" s="99">
        <v>1000</v>
      </c>
      <c r="O402" s="99">
        <f t="shared" si="32"/>
        <v>105</v>
      </c>
      <c r="P402" s="99">
        <f t="shared" si="33"/>
        <v>1105</v>
      </c>
      <c r="Q402" s="99"/>
      <c r="R402" s="127"/>
      <c r="S402" s="129"/>
      <c r="T402" s="101"/>
    </row>
    <row r="403" spans="2:20" x14ac:dyDescent="0.3">
      <c r="B403" s="98" t="s">
        <v>27</v>
      </c>
      <c r="C403" s="99">
        <v>6000</v>
      </c>
      <c r="D403" s="95">
        <v>1000</v>
      </c>
      <c r="E403" s="99">
        <f t="shared" si="30"/>
        <v>90</v>
      </c>
      <c r="F403" s="99">
        <f t="shared" si="31"/>
        <v>1090</v>
      </c>
      <c r="G403" s="99"/>
      <c r="H403" s="127"/>
      <c r="I403" s="129"/>
      <c r="J403" s="101"/>
      <c r="L403" s="98" t="s">
        <v>27</v>
      </c>
      <c r="M403" s="99">
        <v>6000</v>
      </c>
      <c r="N403" s="95">
        <v>1000</v>
      </c>
      <c r="O403" s="99">
        <f t="shared" si="32"/>
        <v>90</v>
      </c>
      <c r="P403" s="99">
        <f t="shared" si="33"/>
        <v>1090</v>
      </c>
      <c r="Q403" s="99"/>
      <c r="R403" s="127"/>
      <c r="S403" s="129"/>
      <c r="T403" s="101"/>
    </row>
    <row r="404" spans="2:20" x14ac:dyDescent="0.3">
      <c r="B404" s="98" t="s">
        <v>28</v>
      </c>
      <c r="C404" s="99">
        <v>5000</v>
      </c>
      <c r="D404" s="99">
        <v>1000</v>
      </c>
      <c r="E404" s="99">
        <f t="shared" si="30"/>
        <v>75</v>
      </c>
      <c r="F404" s="99">
        <f t="shared" si="31"/>
        <v>1075</v>
      </c>
      <c r="G404" s="99"/>
      <c r="H404" s="127"/>
      <c r="I404" s="129"/>
      <c r="J404" s="101"/>
      <c r="L404" s="98" t="s">
        <v>28</v>
      </c>
      <c r="M404" s="99">
        <v>5000</v>
      </c>
      <c r="N404" s="99">
        <v>1000</v>
      </c>
      <c r="O404" s="99">
        <f t="shared" si="32"/>
        <v>75</v>
      </c>
      <c r="P404" s="99">
        <f t="shared" si="33"/>
        <v>1075</v>
      </c>
      <c r="Q404" s="99"/>
      <c r="R404" s="127"/>
      <c r="S404" s="129"/>
      <c r="T404" s="101"/>
    </row>
    <row r="405" spans="2:20" ht="15" thickBot="1" x14ac:dyDescent="0.35">
      <c r="B405" s="98" t="s">
        <v>29</v>
      </c>
      <c r="C405" s="99">
        <v>4000</v>
      </c>
      <c r="D405" s="99">
        <v>1000</v>
      </c>
      <c r="E405" s="99">
        <f t="shared" si="30"/>
        <v>60</v>
      </c>
      <c r="F405" s="99">
        <f t="shared" si="31"/>
        <v>1060</v>
      </c>
      <c r="G405" s="99"/>
      <c r="H405" s="99"/>
      <c r="I405" s="100"/>
      <c r="J405" s="101"/>
      <c r="L405" s="98" t="s">
        <v>29</v>
      </c>
      <c r="M405" s="99">
        <v>4000</v>
      </c>
      <c r="N405" s="99">
        <v>1000</v>
      </c>
      <c r="O405" s="99">
        <f t="shared" si="32"/>
        <v>60</v>
      </c>
      <c r="P405" s="99">
        <f t="shared" si="33"/>
        <v>1060</v>
      </c>
      <c r="Q405" s="99"/>
      <c r="R405" s="99"/>
      <c r="S405" s="100"/>
      <c r="T405" s="101"/>
    </row>
    <row r="406" spans="2:20" x14ac:dyDescent="0.3">
      <c r="B406" s="98" t="s">
        <v>30</v>
      </c>
      <c r="C406" s="99">
        <v>3000</v>
      </c>
      <c r="D406" s="95">
        <v>1000</v>
      </c>
      <c r="E406" s="99">
        <f t="shared" si="30"/>
        <v>45</v>
      </c>
      <c r="F406" s="99">
        <f t="shared" si="31"/>
        <v>1045</v>
      </c>
      <c r="G406" s="99"/>
      <c r="H406" s="99"/>
      <c r="I406" s="100"/>
      <c r="J406" s="101"/>
      <c r="L406" s="98" t="s">
        <v>30</v>
      </c>
      <c r="M406" s="99">
        <v>3000</v>
      </c>
      <c r="N406" s="95">
        <v>1000</v>
      </c>
      <c r="O406" s="99">
        <f t="shared" si="32"/>
        <v>45</v>
      </c>
      <c r="P406" s="99">
        <f t="shared" si="33"/>
        <v>1045</v>
      </c>
      <c r="Q406" s="99"/>
      <c r="R406" s="99"/>
      <c r="S406" s="100"/>
      <c r="T406" s="101"/>
    </row>
    <row r="407" spans="2:20" x14ac:dyDescent="0.3">
      <c r="B407" s="98" t="s">
        <v>31</v>
      </c>
      <c r="C407" s="99">
        <v>2000</v>
      </c>
      <c r="D407" s="99">
        <v>1000</v>
      </c>
      <c r="E407" s="99">
        <f t="shared" si="30"/>
        <v>30</v>
      </c>
      <c r="F407" s="99">
        <f t="shared" si="31"/>
        <v>1030</v>
      </c>
      <c r="G407" s="99"/>
      <c r="H407" s="99"/>
      <c r="I407" s="100"/>
      <c r="J407" s="101"/>
      <c r="L407" s="98" t="s">
        <v>31</v>
      </c>
      <c r="M407" s="99">
        <v>2000</v>
      </c>
      <c r="N407" s="99">
        <v>1000</v>
      </c>
      <c r="O407" s="99">
        <f t="shared" si="32"/>
        <v>30</v>
      </c>
      <c r="P407" s="99">
        <f t="shared" si="33"/>
        <v>1030</v>
      </c>
      <c r="Q407" s="99"/>
      <c r="R407" s="99"/>
      <c r="S407" s="100"/>
      <c r="T407" s="101"/>
    </row>
    <row r="408" spans="2:20" x14ac:dyDescent="0.3">
      <c r="B408" s="98" t="s">
        <v>32</v>
      </c>
      <c r="C408" s="99">
        <v>1000</v>
      </c>
      <c r="D408" s="99">
        <v>1000</v>
      </c>
      <c r="E408" s="99">
        <f t="shared" si="30"/>
        <v>15</v>
      </c>
      <c r="F408" s="99">
        <f t="shared" si="31"/>
        <v>1015</v>
      </c>
      <c r="G408" s="99"/>
      <c r="H408" s="99"/>
      <c r="I408" s="100"/>
      <c r="J408" s="101"/>
      <c r="L408" s="98" t="s">
        <v>32</v>
      </c>
      <c r="M408" s="99">
        <v>1000</v>
      </c>
      <c r="N408" s="99">
        <v>1000</v>
      </c>
      <c r="O408" s="99">
        <f t="shared" si="32"/>
        <v>15</v>
      </c>
      <c r="P408" s="99">
        <f t="shared" si="33"/>
        <v>1015</v>
      </c>
      <c r="Q408" s="99"/>
      <c r="R408" s="99"/>
      <c r="S408" s="100"/>
      <c r="T408" s="101"/>
    </row>
    <row r="409" spans="2:20" x14ac:dyDescent="0.3">
      <c r="F409" s="38">
        <f>SUM(F394:F408)</f>
        <v>16800</v>
      </c>
    </row>
    <row r="420" spans="2:20" x14ac:dyDescent="0.3">
      <c r="B420" s="77" t="s">
        <v>0</v>
      </c>
      <c r="C420" s="229" t="s">
        <v>158</v>
      </c>
      <c r="D420" s="230"/>
      <c r="E420" s="230"/>
      <c r="F420" s="79"/>
      <c r="G420" s="80"/>
      <c r="H420" s="231" t="s">
        <v>1</v>
      </c>
      <c r="I420" s="231"/>
      <c r="J420" s="82">
        <v>30000</v>
      </c>
      <c r="L420" s="77" t="s">
        <v>0</v>
      </c>
      <c r="M420" s="229" t="s">
        <v>158</v>
      </c>
      <c r="N420" s="230"/>
      <c r="O420" s="230"/>
      <c r="P420" s="79"/>
      <c r="Q420" s="80"/>
      <c r="R420" s="231" t="s">
        <v>1</v>
      </c>
      <c r="S420" s="231"/>
      <c r="T420" s="82">
        <v>30000</v>
      </c>
    </row>
    <row r="421" spans="2:20" x14ac:dyDescent="0.3">
      <c r="B421" s="77" t="s">
        <v>2</v>
      </c>
      <c r="C421" s="83"/>
      <c r="D421" s="79"/>
      <c r="E421" s="83"/>
      <c r="F421" s="81"/>
      <c r="G421" s="81"/>
      <c r="H421" s="84"/>
      <c r="I421" s="81" t="s">
        <v>3</v>
      </c>
      <c r="J421" s="85" t="s">
        <v>190</v>
      </c>
      <c r="L421" s="77" t="s">
        <v>2</v>
      </c>
      <c r="M421" s="83"/>
      <c r="N421" s="79"/>
      <c r="O421" s="83"/>
      <c r="P421" s="81"/>
      <c r="Q421" s="81"/>
      <c r="R421" s="84"/>
      <c r="S421" s="81" t="s">
        <v>3</v>
      </c>
      <c r="T421" s="85" t="s">
        <v>190</v>
      </c>
    </row>
    <row r="422" spans="2:20" x14ac:dyDescent="0.3">
      <c r="B422" s="77" t="s">
        <v>4</v>
      </c>
      <c r="C422" s="78"/>
      <c r="D422" s="79"/>
      <c r="E422" s="78"/>
      <c r="F422" s="231" t="s">
        <v>5</v>
      </c>
      <c r="G422" s="231"/>
      <c r="H422" s="231"/>
      <c r="I422" s="231"/>
      <c r="J422" s="86">
        <v>1.4999999999999999E-2</v>
      </c>
      <c r="L422" s="77" t="s">
        <v>4</v>
      </c>
      <c r="M422" s="78"/>
      <c r="N422" s="79"/>
      <c r="O422" s="78"/>
      <c r="P422" s="231" t="s">
        <v>5</v>
      </c>
      <c r="Q422" s="231"/>
      <c r="R422" s="231"/>
      <c r="S422" s="231"/>
      <c r="T422" s="86">
        <v>1.4999999999999999E-2</v>
      </c>
    </row>
    <row r="423" spans="2:20" ht="15" thickBot="1" x14ac:dyDescent="0.35">
      <c r="B423" s="77" t="s">
        <v>6</v>
      </c>
      <c r="C423" s="232"/>
      <c r="D423" s="232"/>
      <c r="E423" s="233" t="s">
        <v>7</v>
      </c>
      <c r="F423" s="233"/>
      <c r="G423" s="233"/>
      <c r="H423" s="233"/>
      <c r="I423" s="233"/>
      <c r="J423" s="78">
        <v>15</v>
      </c>
      <c r="L423" s="77" t="s">
        <v>6</v>
      </c>
      <c r="M423" s="232"/>
      <c r="N423" s="232"/>
      <c r="O423" s="233" t="s">
        <v>7</v>
      </c>
      <c r="P423" s="233"/>
      <c r="Q423" s="233"/>
      <c r="R423" s="233"/>
      <c r="S423" s="233"/>
      <c r="T423" s="78">
        <v>15</v>
      </c>
    </row>
    <row r="424" spans="2:20" ht="51.6" thickBot="1" x14ac:dyDescent="0.35">
      <c r="B424" s="89" t="s">
        <v>8</v>
      </c>
      <c r="C424" s="89" t="s">
        <v>9</v>
      </c>
      <c r="D424" s="89" t="s">
        <v>10</v>
      </c>
      <c r="E424" s="90" t="s">
        <v>11</v>
      </c>
      <c r="F424" s="91" t="s">
        <v>12</v>
      </c>
      <c r="G424" s="92" t="s">
        <v>13</v>
      </c>
      <c r="H424" s="92" t="s">
        <v>14</v>
      </c>
      <c r="I424" s="92" t="s">
        <v>15</v>
      </c>
      <c r="J424" s="93" t="s">
        <v>16</v>
      </c>
      <c r="L424" s="89" t="s">
        <v>8</v>
      </c>
      <c r="M424" s="89" t="s">
        <v>9</v>
      </c>
      <c r="N424" s="89" t="s">
        <v>10</v>
      </c>
      <c r="O424" s="90" t="s">
        <v>11</v>
      </c>
      <c r="P424" s="91" t="s">
        <v>12</v>
      </c>
      <c r="Q424" s="92" t="s">
        <v>13</v>
      </c>
      <c r="R424" s="92" t="s">
        <v>14</v>
      </c>
      <c r="S424" s="92" t="s">
        <v>15</v>
      </c>
      <c r="T424" s="93" t="s">
        <v>16</v>
      </c>
    </row>
    <row r="425" spans="2:20" x14ac:dyDescent="0.3">
      <c r="B425" s="94" t="s">
        <v>17</v>
      </c>
      <c r="C425" s="95">
        <f>J420</f>
        <v>30000</v>
      </c>
      <c r="D425" s="95">
        <f>J420/J423</f>
        <v>2000</v>
      </c>
      <c r="E425" s="95">
        <f>(C425*0.015)</f>
        <v>450</v>
      </c>
      <c r="F425" s="95">
        <f t="shared" ref="F425:F439" si="34">SUM(D425:E425)</f>
        <v>2450</v>
      </c>
      <c r="G425" s="95"/>
      <c r="H425" s="126"/>
      <c r="I425" s="128"/>
      <c r="J425" s="97"/>
      <c r="L425" s="94" t="s">
        <v>17</v>
      </c>
      <c r="M425" s="95">
        <f>T420</f>
        <v>30000</v>
      </c>
      <c r="N425" s="95">
        <f>T420/T423</f>
        <v>2000</v>
      </c>
      <c r="O425" s="95">
        <f>(M425*0.015)</f>
        <v>450</v>
      </c>
      <c r="P425" s="95">
        <f t="shared" ref="P425:P439" si="35">SUM(N425:O425)</f>
        <v>2450</v>
      </c>
      <c r="Q425" s="95"/>
      <c r="R425" s="126"/>
      <c r="S425" s="128"/>
      <c r="T425" s="97"/>
    </row>
    <row r="426" spans="2:20" x14ac:dyDescent="0.3">
      <c r="B426" s="98" t="s">
        <v>18</v>
      </c>
      <c r="C426" s="99">
        <v>28000</v>
      </c>
      <c r="D426" s="99">
        <v>2000</v>
      </c>
      <c r="E426" s="99">
        <f t="shared" ref="E426:E439" si="36">(C426*0.015)</f>
        <v>420</v>
      </c>
      <c r="F426" s="99">
        <f t="shared" si="34"/>
        <v>2420</v>
      </c>
      <c r="G426" s="99"/>
      <c r="H426" s="127"/>
      <c r="I426" s="129"/>
      <c r="J426" s="101"/>
      <c r="L426" s="98" t="s">
        <v>18</v>
      </c>
      <c r="M426" s="99">
        <v>28000</v>
      </c>
      <c r="N426" s="99">
        <v>2000</v>
      </c>
      <c r="O426" s="99">
        <f t="shared" ref="O426:O439" si="37">(M426*0.015)</f>
        <v>420</v>
      </c>
      <c r="P426" s="99">
        <f t="shared" si="35"/>
        <v>2420</v>
      </c>
      <c r="Q426" s="99"/>
      <c r="R426" s="127"/>
      <c r="S426" s="129"/>
      <c r="T426" s="101"/>
    </row>
    <row r="427" spans="2:20" ht="15" thickBot="1" x14ac:dyDescent="0.35">
      <c r="B427" s="98" t="s">
        <v>19</v>
      </c>
      <c r="C427" s="99">
        <v>26000</v>
      </c>
      <c r="D427" s="99">
        <v>2000</v>
      </c>
      <c r="E427" s="99">
        <f t="shared" si="36"/>
        <v>390</v>
      </c>
      <c r="F427" s="99">
        <f t="shared" si="34"/>
        <v>2390</v>
      </c>
      <c r="G427" s="99"/>
      <c r="H427" s="127"/>
      <c r="I427" s="129"/>
      <c r="J427" s="101"/>
      <c r="L427" s="98" t="s">
        <v>19</v>
      </c>
      <c r="M427" s="99">
        <v>26000</v>
      </c>
      <c r="N427" s="99">
        <v>2000</v>
      </c>
      <c r="O427" s="99">
        <f t="shared" si="37"/>
        <v>390</v>
      </c>
      <c r="P427" s="99">
        <f t="shared" si="35"/>
        <v>2390</v>
      </c>
      <c r="Q427" s="99"/>
      <c r="R427" s="127"/>
      <c r="S427" s="129"/>
      <c r="T427" s="101"/>
    </row>
    <row r="428" spans="2:20" ht="15" thickBot="1" x14ac:dyDescent="0.35">
      <c r="B428" s="98" t="s">
        <v>20</v>
      </c>
      <c r="C428" s="99">
        <v>24000</v>
      </c>
      <c r="D428" s="95">
        <v>2000</v>
      </c>
      <c r="E428" s="99">
        <f t="shared" si="36"/>
        <v>360</v>
      </c>
      <c r="F428" s="99">
        <f t="shared" si="34"/>
        <v>2360</v>
      </c>
      <c r="G428" s="99"/>
      <c r="H428" s="127"/>
      <c r="I428" s="129"/>
      <c r="J428" s="101"/>
      <c r="L428" s="98" t="s">
        <v>20</v>
      </c>
      <c r="M428" s="99">
        <v>24000</v>
      </c>
      <c r="N428" s="95">
        <v>2000</v>
      </c>
      <c r="O428" s="99">
        <f t="shared" si="37"/>
        <v>360</v>
      </c>
      <c r="P428" s="99">
        <f t="shared" si="35"/>
        <v>2360</v>
      </c>
      <c r="Q428" s="99"/>
      <c r="R428" s="127"/>
      <c r="S428" s="129"/>
      <c r="T428" s="101"/>
    </row>
    <row r="429" spans="2:20" x14ac:dyDescent="0.3">
      <c r="B429" s="98" t="s">
        <v>21</v>
      </c>
      <c r="C429" s="99">
        <v>22000</v>
      </c>
      <c r="D429" s="95">
        <v>2000</v>
      </c>
      <c r="E429" s="99">
        <f t="shared" si="36"/>
        <v>330</v>
      </c>
      <c r="F429" s="99">
        <f t="shared" si="34"/>
        <v>2330</v>
      </c>
      <c r="G429" s="99"/>
      <c r="H429" s="127"/>
      <c r="I429" s="129"/>
      <c r="J429" s="101"/>
      <c r="L429" s="98" t="s">
        <v>21</v>
      </c>
      <c r="M429" s="99">
        <v>22000</v>
      </c>
      <c r="N429" s="95">
        <v>2000</v>
      </c>
      <c r="O429" s="99">
        <f t="shared" si="37"/>
        <v>330</v>
      </c>
      <c r="P429" s="99">
        <f t="shared" si="35"/>
        <v>2330</v>
      </c>
      <c r="Q429" s="99"/>
      <c r="R429" s="127"/>
      <c r="S429" s="129"/>
      <c r="T429" s="101"/>
    </row>
    <row r="430" spans="2:20" x14ac:dyDescent="0.3">
      <c r="B430" s="98" t="s">
        <v>23</v>
      </c>
      <c r="C430" s="99">
        <v>20000</v>
      </c>
      <c r="D430" s="99">
        <v>2000</v>
      </c>
      <c r="E430" s="99">
        <f t="shared" si="36"/>
        <v>300</v>
      </c>
      <c r="F430" s="99">
        <f t="shared" si="34"/>
        <v>2300</v>
      </c>
      <c r="G430" s="99"/>
      <c r="H430" s="127"/>
      <c r="I430" s="129"/>
      <c r="J430" s="101"/>
      <c r="L430" s="98" t="s">
        <v>23</v>
      </c>
      <c r="M430" s="99">
        <v>20000</v>
      </c>
      <c r="N430" s="99">
        <v>2000</v>
      </c>
      <c r="O430" s="99">
        <f t="shared" si="37"/>
        <v>300</v>
      </c>
      <c r="P430" s="99">
        <f t="shared" si="35"/>
        <v>2300</v>
      </c>
      <c r="Q430" s="99"/>
      <c r="R430" s="127"/>
      <c r="S430" s="129"/>
      <c r="T430" s="101"/>
    </row>
    <row r="431" spans="2:20" ht="15" thickBot="1" x14ac:dyDescent="0.35">
      <c r="B431" s="98" t="s">
        <v>24</v>
      </c>
      <c r="C431" s="99">
        <v>18000</v>
      </c>
      <c r="D431" s="99">
        <v>2000</v>
      </c>
      <c r="E431" s="99">
        <f t="shared" si="36"/>
        <v>270</v>
      </c>
      <c r="F431" s="99">
        <f t="shared" si="34"/>
        <v>2270</v>
      </c>
      <c r="G431" s="99"/>
      <c r="H431" s="127"/>
      <c r="I431" s="129"/>
      <c r="J431" s="101"/>
      <c r="L431" s="98" t="s">
        <v>24</v>
      </c>
      <c r="M431" s="99">
        <v>18000</v>
      </c>
      <c r="N431" s="99">
        <v>2000</v>
      </c>
      <c r="O431" s="99">
        <f t="shared" si="37"/>
        <v>270</v>
      </c>
      <c r="P431" s="99">
        <f t="shared" si="35"/>
        <v>2270</v>
      </c>
      <c r="Q431" s="99"/>
      <c r="R431" s="127"/>
      <c r="S431" s="129"/>
      <c r="T431" s="101"/>
    </row>
    <row r="432" spans="2:20" ht="15" thickBot="1" x14ac:dyDescent="0.35">
      <c r="B432" s="98" t="s">
        <v>25</v>
      </c>
      <c r="C432" s="99">
        <v>16000</v>
      </c>
      <c r="D432" s="95">
        <v>2000</v>
      </c>
      <c r="E432" s="99">
        <f t="shared" si="36"/>
        <v>240</v>
      </c>
      <c r="F432" s="99">
        <f t="shared" si="34"/>
        <v>2240</v>
      </c>
      <c r="G432" s="99"/>
      <c r="H432" s="127"/>
      <c r="I432" s="129"/>
      <c r="J432" s="101"/>
      <c r="L432" s="98" t="s">
        <v>25</v>
      </c>
      <c r="M432" s="99">
        <v>16000</v>
      </c>
      <c r="N432" s="95">
        <v>2000</v>
      </c>
      <c r="O432" s="99">
        <f t="shared" si="37"/>
        <v>240</v>
      </c>
      <c r="P432" s="99">
        <f t="shared" si="35"/>
        <v>2240</v>
      </c>
      <c r="Q432" s="99"/>
      <c r="R432" s="127"/>
      <c r="S432" s="129"/>
      <c r="T432" s="101"/>
    </row>
    <row r="433" spans="2:20" x14ac:dyDescent="0.3">
      <c r="B433" s="98" t="s">
        <v>26</v>
      </c>
      <c r="C433" s="99">
        <v>14000</v>
      </c>
      <c r="D433" s="95">
        <v>2000</v>
      </c>
      <c r="E433" s="99">
        <f t="shared" si="36"/>
        <v>210</v>
      </c>
      <c r="F433" s="99">
        <f t="shared" si="34"/>
        <v>2210</v>
      </c>
      <c r="G433" s="99"/>
      <c r="H433" s="127"/>
      <c r="I433" s="129"/>
      <c r="J433" s="101"/>
      <c r="L433" s="98" t="s">
        <v>26</v>
      </c>
      <c r="M433" s="99">
        <v>14000</v>
      </c>
      <c r="N433" s="95">
        <v>2000</v>
      </c>
      <c r="O433" s="99">
        <f t="shared" si="37"/>
        <v>210</v>
      </c>
      <c r="P433" s="99">
        <f t="shared" si="35"/>
        <v>2210</v>
      </c>
      <c r="Q433" s="99"/>
      <c r="R433" s="127"/>
      <c r="S433" s="129"/>
      <c r="T433" s="101"/>
    </row>
    <row r="434" spans="2:20" x14ac:dyDescent="0.3">
      <c r="B434" s="98" t="s">
        <v>27</v>
      </c>
      <c r="C434" s="99">
        <v>12000</v>
      </c>
      <c r="D434" s="99">
        <v>2000</v>
      </c>
      <c r="E434" s="99">
        <f t="shared" si="36"/>
        <v>180</v>
      </c>
      <c r="F434" s="99">
        <f t="shared" si="34"/>
        <v>2180</v>
      </c>
      <c r="G434" s="99"/>
      <c r="H434" s="127"/>
      <c r="I434" s="129"/>
      <c r="J434" s="101"/>
      <c r="L434" s="98" t="s">
        <v>27</v>
      </c>
      <c r="M434" s="99">
        <v>12000</v>
      </c>
      <c r="N434" s="99">
        <v>2000</v>
      </c>
      <c r="O434" s="99">
        <f t="shared" si="37"/>
        <v>180</v>
      </c>
      <c r="P434" s="99">
        <f t="shared" si="35"/>
        <v>2180</v>
      </c>
      <c r="Q434" s="99"/>
      <c r="R434" s="127"/>
      <c r="S434" s="129"/>
      <c r="T434" s="101"/>
    </row>
    <row r="435" spans="2:20" ht="15" thickBot="1" x14ac:dyDescent="0.35">
      <c r="B435" s="98" t="s">
        <v>28</v>
      </c>
      <c r="C435" s="99">
        <v>10000</v>
      </c>
      <c r="D435" s="99">
        <v>2000</v>
      </c>
      <c r="E435" s="99">
        <f t="shared" si="36"/>
        <v>150</v>
      </c>
      <c r="F435" s="99">
        <f t="shared" si="34"/>
        <v>2150</v>
      </c>
      <c r="G435" s="99"/>
      <c r="H435" s="127"/>
      <c r="I435" s="129"/>
      <c r="J435" s="101"/>
      <c r="L435" s="98" t="s">
        <v>28</v>
      </c>
      <c r="M435" s="99">
        <v>10000</v>
      </c>
      <c r="N435" s="99">
        <v>2000</v>
      </c>
      <c r="O435" s="99">
        <f t="shared" si="37"/>
        <v>150</v>
      </c>
      <c r="P435" s="99">
        <f t="shared" si="35"/>
        <v>2150</v>
      </c>
      <c r="Q435" s="99"/>
      <c r="R435" s="127"/>
      <c r="S435" s="129"/>
      <c r="T435" s="101"/>
    </row>
    <row r="436" spans="2:20" ht="15" thickBot="1" x14ac:dyDescent="0.35">
      <c r="B436" s="98" t="s">
        <v>29</v>
      </c>
      <c r="C436" s="99">
        <v>8000</v>
      </c>
      <c r="D436" s="95">
        <v>2000</v>
      </c>
      <c r="E436" s="99">
        <f t="shared" si="36"/>
        <v>120</v>
      </c>
      <c r="F436" s="99">
        <f t="shared" si="34"/>
        <v>2120</v>
      </c>
      <c r="G436" s="99"/>
      <c r="H436" s="99"/>
      <c r="I436" s="100"/>
      <c r="J436" s="101"/>
      <c r="L436" s="98" t="s">
        <v>29</v>
      </c>
      <c r="M436" s="99">
        <v>8000</v>
      </c>
      <c r="N436" s="95">
        <v>2000</v>
      </c>
      <c r="O436" s="99">
        <f t="shared" si="37"/>
        <v>120</v>
      </c>
      <c r="P436" s="99">
        <f t="shared" si="35"/>
        <v>2120</v>
      </c>
      <c r="Q436" s="99"/>
      <c r="R436" s="99"/>
      <c r="S436" s="100"/>
      <c r="T436" s="101"/>
    </row>
    <row r="437" spans="2:20" x14ac:dyDescent="0.3">
      <c r="B437" s="98" t="s">
        <v>30</v>
      </c>
      <c r="C437" s="99">
        <v>6000</v>
      </c>
      <c r="D437" s="95">
        <v>2000</v>
      </c>
      <c r="E437" s="99">
        <f t="shared" si="36"/>
        <v>90</v>
      </c>
      <c r="F437" s="99">
        <f t="shared" si="34"/>
        <v>2090</v>
      </c>
      <c r="G437" s="99"/>
      <c r="H437" s="99"/>
      <c r="I437" s="100"/>
      <c r="J437" s="101"/>
      <c r="L437" s="98" t="s">
        <v>30</v>
      </c>
      <c r="M437" s="99">
        <v>6000</v>
      </c>
      <c r="N437" s="95">
        <v>2000</v>
      </c>
      <c r="O437" s="99">
        <f t="shared" si="37"/>
        <v>90</v>
      </c>
      <c r="P437" s="99">
        <f t="shared" si="35"/>
        <v>2090</v>
      </c>
      <c r="Q437" s="99"/>
      <c r="R437" s="99"/>
      <c r="S437" s="100"/>
      <c r="T437" s="101"/>
    </row>
    <row r="438" spans="2:20" x14ac:dyDescent="0.3">
      <c r="B438" s="98" t="s">
        <v>31</v>
      </c>
      <c r="C438" s="99">
        <v>4000</v>
      </c>
      <c r="D438" s="99">
        <v>2000</v>
      </c>
      <c r="E438" s="99">
        <f t="shared" si="36"/>
        <v>60</v>
      </c>
      <c r="F438" s="99">
        <f t="shared" si="34"/>
        <v>2060</v>
      </c>
      <c r="G438" s="99"/>
      <c r="H438" s="99"/>
      <c r="I438" s="100"/>
      <c r="J438" s="101"/>
      <c r="L438" s="98" t="s">
        <v>31</v>
      </c>
      <c r="M438" s="99">
        <v>4000</v>
      </c>
      <c r="N438" s="99">
        <v>2000</v>
      </c>
      <c r="O438" s="99">
        <f t="shared" si="37"/>
        <v>60</v>
      </c>
      <c r="P438" s="99">
        <f t="shared" si="35"/>
        <v>2060</v>
      </c>
      <c r="Q438" s="99"/>
      <c r="R438" s="99"/>
      <c r="S438" s="100"/>
      <c r="T438" s="101"/>
    </row>
    <row r="439" spans="2:20" x14ac:dyDescent="0.3">
      <c r="B439" s="98" t="s">
        <v>32</v>
      </c>
      <c r="C439" s="99">
        <v>2000</v>
      </c>
      <c r="D439" s="99">
        <v>2000</v>
      </c>
      <c r="E439" s="99">
        <f t="shared" si="36"/>
        <v>30</v>
      </c>
      <c r="F439" s="99">
        <f t="shared" si="34"/>
        <v>2030</v>
      </c>
      <c r="G439" s="99"/>
      <c r="H439" s="99"/>
      <c r="I439" s="100"/>
      <c r="J439" s="101"/>
      <c r="L439" s="98" t="s">
        <v>32</v>
      </c>
      <c r="M439" s="99">
        <v>2000</v>
      </c>
      <c r="N439" s="99">
        <v>2000</v>
      </c>
      <c r="O439" s="99">
        <f t="shared" si="37"/>
        <v>30</v>
      </c>
      <c r="P439" s="99">
        <f t="shared" si="35"/>
        <v>2030</v>
      </c>
      <c r="Q439" s="99"/>
      <c r="R439" s="99"/>
      <c r="S439" s="100"/>
      <c r="T439" s="101"/>
    </row>
    <row r="451" spans="2:20" x14ac:dyDescent="0.3">
      <c r="B451" s="77" t="s">
        <v>0</v>
      </c>
      <c r="C451" s="229" t="s">
        <v>90</v>
      </c>
      <c r="D451" s="230"/>
      <c r="E451" s="230"/>
      <c r="F451" s="79"/>
      <c r="G451" s="80"/>
      <c r="H451" s="231" t="s">
        <v>1</v>
      </c>
      <c r="I451" s="231"/>
      <c r="J451" s="82">
        <v>50000</v>
      </c>
      <c r="L451" s="77" t="s">
        <v>0</v>
      </c>
      <c r="M451" s="229" t="s">
        <v>90</v>
      </c>
      <c r="N451" s="230"/>
      <c r="O451" s="230"/>
      <c r="P451" s="79"/>
      <c r="Q451" s="80"/>
      <c r="R451" s="231" t="s">
        <v>1</v>
      </c>
      <c r="S451" s="231"/>
      <c r="T451" s="82">
        <v>50000</v>
      </c>
    </row>
    <row r="452" spans="2:20" x14ac:dyDescent="0.3">
      <c r="B452" s="77" t="s">
        <v>2</v>
      </c>
      <c r="C452" s="83"/>
      <c r="D452" s="79"/>
      <c r="E452" s="83"/>
      <c r="F452" s="81"/>
      <c r="G452" s="81"/>
      <c r="H452" s="84"/>
      <c r="I452" s="81" t="s">
        <v>3</v>
      </c>
      <c r="J452" s="85" t="s">
        <v>225</v>
      </c>
      <c r="L452" s="77" t="s">
        <v>2</v>
      </c>
      <c r="M452" s="83"/>
      <c r="N452" s="79"/>
      <c r="O452" s="83"/>
      <c r="P452" s="81"/>
      <c r="Q452" s="81"/>
      <c r="R452" s="84"/>
      <c r="S452" s="81" t="s">
        <v>3</v>
      </c>
      <c r="T452" s="85" t="s">
        <v>225</v>
      </c>
    </row>
    <row r="453" spans="2:20" x14ac:dyDescent="0.3">
      <c r="B453" s="77" t="s">
        <v>4</v>
      </c>
      <c r="C453" s="78"/>
      <c r="D453" s="79"/>
      <c r="E453" s="78"/>
      <c r="F453" s="231" t="s">
        <v>5</v>
      </c>
      <c r="G453" s="231"/>
      <c r="H453" s="231"/>
      <c r="I453" s="231"/>
      <c r="J453" s="86">
        <v>1.4999999999999999E-2</v>
      </c>
      <c r="L453" s="77" t="s">
        <v>4</v>
      </c>
      <c r="M453" s="78"/>
      <c r="N453" s="79"/>
      <c r="O453" s="78"/>
      <c r="P453" s="231" t="s">
        <v>5</v>
      </c>
      <c r="Q453" s="231"/>
      <c r="R453" s="231"/>
      <c r="S453" s="231"/>
      <c r="T453" s="86">
        <v>1.4999999999999999E-2</v>
      </c>
    </row>
    <row r="454" spans="2:20" ht="15" thickBot="1" x14ac:dyDescent="0.35">
      <c r="B454" s="77" t="s">
        <v>6</v>
      </c>
      <c r="C454" s="232"/>
      <c r="D454" s="232"/>
      <c r="E454" s="233" t="s">
        <v>7</v>
      </c>
      <c r="F454" s="233"/>
      <c r="G454" s="233"/>
      <c r="H454" s="233"/>
      <c r="I454" s="233"/>
      <c r="J454" s="78">
        <v>10</v>
      </c>
      <c r="L454" s="77" t="s">
        <v>6</v>
      </c>
      <c r="M454" s="232"/>
      <c r="N454" s="232"/>
      <c r="O454" s="233" t="s">
        <v>7</v>
      </c>
      <c r="P454" s="233"/>
      <c r="Q454" s="233"/>
      <c r="R454" s="233"/>
      <c r="S454" s="233"/>
      <c r="T454" s="78">
        <v>10</v>
      </c>
    </row>
    <row r="455" spans="2:20" ht="51.6" thickBot="1" x14ac:dyDescent="0.35">
      <c r="B455" s="89" t="s">
        <v>8</v>
      </c>
      <c r="C455" s="89" t="s">
        <v>9</v>
      </c>
      <c r="D455" s="89" t="s">
        <v>10</v>
      </c>
      <c r="E455" s="90" t="s">
        <v>11</v>
      </c>
      <c r="F455" s="91" t="s">
        <v>12</v>
      </c>
      <c r="G455" s="92" t="s">
        <v>13</v>
      </c>
      <c r="H455" s="92" t="s">
        <v>14</v>
      </c>
      <c r="I455" s="92" t="s">
        <v>15</v>
      </c>
      <c r="J455" s="93" t="s">
        <v>16</v>
      </c>
      <c r="L455" s="89" t="s">
        <v>8</v>
      </c>
      <c r="M455" s="89" t="s">
        <v>9</v>
      </c>
      <c r="N455" s="89" t="s">
        <v>10</v>
      </c>
      <c r="O455" s="90" t="s">
        <v>11</v>
      </c>
      <c r="P455" s="91" t="s">
        <v>12</v>
      </c>
      <c r="Q455" s="92" t="s">
        <v>13</v>
      </c>
      <c r="R455" s="92" t="s">
        <v>14</v>
      </c>
      <c r="S455" s="92" t="s">
        <v>15</v>
      </c>
      <c r="T455" s="93" t="s">
        <v>16</v>
      </c>
    </row>
    <row r="456" spans="2:20" x14ac:dyDescent="0.3">
      <c r="B456" s="94" t="s">
        <v>17</v>
      </c>
      <c r="C456" s="95">
        <f>J451</f>
        <v>50000</v>
      </c>
      <c r="D456" s="95">
        <v>5000</v>
      </c>
      <c r="E456" s="95">
        <f>(C456*0.015)</f>
        <v>750</v>
      </c>
      <c r="F456" s="95">
        <f t="shared" ref="F456:F465" si="38">SUM(D456:E456)</f>
        <v>5750</v>
      </c>
      <c r="G456" s="95"/>
      <c r="H456" s="95"/>
      <c r="I456" s="96"/>
      <c r="J456" s="97"/>
      <c r="L456" s="94" t="s">
        <v>17</v>
      </c>
      <c r="M456" s="95">
        <f>T451</f>
        <v>50000</v>
      </c>
      <c r="N456" s="95">
        <v>5000</v>
      </c>
      <c r="O456" s="95">
        <f>(M456*0.015)</f>
        <v>750</v>
      </c>
      <c r="P456" s="95">
        <f t="shared" ref="P456:P465" si="39">SUM(N456:O456)</f>
        <v>5750</v>
      </c>
      <c r="Q456" s="95"/>
      <c r="R456" s="95"/>
      <c r="S456" s="96"/>
      <c r="T456" s="97"/>
    </row>
    <row r="457" spans="2:20" x14ac:dyDescent="0.3">
      <c r="B457" s="98" t="s">
        <v>18</v>
      </c>
      <c r="C457" s="135">
        <v>45000</v>
      </c>
      <c r="D457" s="99">
        <v>5000</v>
      </c>
      <c r="E457" s="99">
        <f t="shared" ref="E457:E465" si="40">(C457*0.015)</f>
        <v>675</v>
      </c>
      <c r="F457" s="99">
        <f t="shared" si="38"/>
        <v>5675</v>
      </c>
      <c r="G457" s="99"/>
      <c r="H457" s="99"/>
      <c r="I457" s="100"/>
      <c r="J457" s="101"/>
      <c r="L457" s="98" t="s">
        <v>18</v>
      </c>
      <c r="M457" s="135">
        <v>45000</v>
      </c>
      <c r="N457" s="99">
        <v>5000</v>
      </c>
      <c r="O457" s="99">
        <f t="shared" ref="O457:O465" si="41">(M457*0.015)</f>
        <v>675</v>
      </c>
      <c r="P457" s="99">
        <f t="shared" si="39"/>
        <v>5675</v>
      </c>
      <c r="Q457" s="99"/>
      <c r="R457" s="99"/>
      <c r="S457" s="100"/>
      <c r="T457" s="101"/>
    </row>
    <row r="458" spans="2:20" x14ac:dyDescent="0.3">
      <c r="B458" s="98" t="s">
        <v>19</v>
      </c>
      <c r="C458" s="135">
        <v>40000</v>
      </c>
      <c r="D458" s="99">
        <v>5000</v>
      </c>
      <c r="E458" s="99">
        <f t="shared" si="40"/>
        <v>600</v>
      </c>
      <c r="F458" s="99">
        <f t="shared" si="38"/>
        <v>5600</v>
      </c>
      <c r="G458" s="99"/>
      <c r="H458" s="99"/>
      <c r="I458" s="100"/>
      <c r="J458" s="101"/>
      <c r="L458" s="98" t="s">
        <v>19</v>
      </c>
      <c r="M458" s="135">
        <v>40000</v>
      </c>
      <c r="N458" s="99">
        <v>5000</v>
      </c>
      <c r="O458" s="99">
        <f t="shared" si="41"/>
        <v>600</v>
      </c>
      <c r="P458" s="99">
        <f t="shared" si="39"/>
        <v>5600</v>
      </c>
      <c r="Q458" s="99"/>
      <c r="R458" s="99"/>
      <c r="S458" s="100"/>
      <c r="T458" s="101"/>
    </row>
    <row r="459" spans="2:20" x14ac:dyDescent="0.3">
      <c r="B459" s="98" t="s">
        <v>20</v>
      </c>
      <c r="C459" s="135">
        <v>35000</v>
      </c>
      <c r="D459" s="99">
        <v>5000</v>
      </c>
      <c r="E459" s="99">
        <f t="shared" si="40"/>
        <v>525</v>
      </c>
      <c r="F459" s="99">
        <f t="shared" si="38"/>
        <v>5525</v>
      </c>
      <c r="G459" s="99"/>
      <c r="H459" s="99"/>
      <c r="I459" s="100"/>
      <c r="J459" s="101"/>
      <c r="L459" s="98" t="s">
        <v>20</v>
      </c>
      <c r="M459" s="135">
        <v>35000</v>
      </c>
      <c r="N459" s="99">
        <v>5000</v>
      </c>
      <c r="O459" s="99">
        <f t="shared" si="41"/>
        <v>525</v>
      </c>
      <c r="P459" s="99">
        <f t="shared" si="39"/>
        <v>5525</v>
      </c>
      <c r="Q459" s="99"/>
      <c r="R459" s="99"/>
      <c r="S459" s="100"/>
      <c r="T459" s="101"/>
    </row>
    <row r="460" spans="2:20" x14ac:dyDescent="0.3">
      <c r="B460" s="98" t="s">
        <v>21</v>
      </c>
      <c r="C460" s="136">
        <v>30000</v>
      </c>
      <c r="D460" s="99">
        <v>5000</v>
      </c>
      <c r="E460" s="99">
        <f t="shared" si="40"/>
        <v>450</v>
      </c>
      <c r="F460" s="99">
        <f t="shared" si="38"/>
        <v>5450</v>
      </c>
      <c r="G460" s="99"/>
      <c r="H460" s="99"/>
      <c r="I460" s="100"/>
      <c r="J460" s="101"/>
      <c r="L460" s="98" t="s">
        <v>21</v>
      </c>
      <c r="M460" s="136">
        <v>30000</v>
      </c>
      <c r="N460" s="99">
        <v>5000</v>
      </c>
      <c r="O460" s="99">
        <f t="shared" si="41"/>
        <v>450</v>
      </c>
      <c r="P460" s="99">
        <f t="shared" si="39"/>
        <v>5450</v>
      </c>
      <c r="Q460" s="99"/>
      <c r="R460" s="99"/>
      <c r="S460" s="100"/>
      <c r="T460" s="101"/>
    </row>
    <row r="461" spans="2:20" x14ac:dyDescent="0.3">
      <c r="B461" s="98" t="s">
        <v>23</v>
      </c>
      <c r="C461" s="135">
        <v>25000</v>
      </c>
      <c r="D461" s="99">
        <v>5000</v>
      </c>
      <c r="E461" s="99">
        <f t="shared" si="40"/>
        <v>375</v>
      </c>
      <c r="F461" s="99">
        <f t="shared" si="38"/>
        <v>5375</v>
      </c>
      <c r="G461" s="99"/>
      <c r="H461" s="99"/>
      <c r="I461" s="100"/>
      <c r="J461" s="101"/>
      <c r="L461" s="98" t="s">
        <v>23</v>
      </c>
      <c r="M461" s="135">
        <v>25000</v>
      </c>
      <c r="N461" s="99">
        <v>5000</v>
      </c>
      <c r="O461" s="99">
        <f t="shared" si="41"/>
        <v>375</v>
      </c>
      <c r="P461" s="99">
        <f t="shared" si="39"/>
        <v>5375</v>
      </c>
      <c r="Q461" s="99"/>
      <c r="R461" s="99"/>
      <c r="S461" s="100"/>
      <c r="T461" s="101"/>
    </row>
    <row r="462" spans="2:20" x14ac:dyDescent="0.3">
      <c r="B462" s="98" t="s">
        <v>24</v>
      </c>
      <c r="C462" s="135">
        <v>20000</v>
      </c>
      <c r="D462" s="99">
        <v>5000</v>
      </c>
      <c r="E462" s="99">
        <f t="shared" si="40"/>
        <v>300</v>
      </c>
      <c r="F462" s="99">
        <f t="shared" si="38"/>
        <v>5300</v>
      </c>
      <c r="G462" s="99"/>
      <c r="H462" s="99"/>
      <c r="I462" s="100"/>
      <c r="J462" s="101"/>
      <c r="L462" s="98" t="s">
        <v>24</v>
      </c>
      <c r="M462" s="135">
        <v>20000</v>
      </c>
      <c r="N462" s="99">
        <v>5000</v>
      </c>
      <c r="O462" s="99">
        <f t="shared" si="41"/>
        <v>300</v>
      </c>
      <c r="P462" s="99">
        <f t="shared" si="39"/>
        <v>5300</v>
      </c>
      <c r="Q462" s="99"/>
      <c r="R462" s="99"/>
      <c r="S462" s="100"/>
      <c r="T462" s="101"/>
    </row>
    <row r="463" spans="2:20" x14ac:dyDescent="0.3">
      <c r="B463" s="98" t="s">
        <v>25</v>
      </c>
      <c r="C463" s="135">
        <v>15000</v>
      </c>
      <c r="D463" s="99">
        <v>5000</v>
      </c>
      <c r="E463" s="99">
        <f t="shared" si="40"/>
        <v>225</v>
      </c>
      <c r="F463" s="99">
        <f t="shared" si="38"/>
        <v>5225</v>
      </c>
      <c r="G463" s="99"/>
      <c r="H463" s="99"/>
      <c r="I463" s="100"/>
      <c r="J463" s="101"/>
      <c r="L463" s="98" t="s">
        <v>25</v>
      </c>
      <c r="M463" s="135">
        <v>15000</v>
      </c>
      <c r="N463" s="99">
        <v>5000</v>
      </c>
      <c r="O463" s="99">
        <f t="shared" si="41"/>
        <v>225</v>
      </c>
      <c r="P463" s="99">
        <f t="shared" si="39"/>
        <v>5225</v>
      </c>
      <c r="Q463" s="99"/>
      <c r="R463" s="99"/>
      <c r="S463" s="100"/>
      <c r="T463" s="101"/>
    </row>
    <row r="464" spans="2:20" x14ac:dyDescent="0.3">
      <c r="B464" s="98" t="s">
        <v>26</v>
      </c>
      <c r="C464" s="135">
        <v>10000</v>
      </c>
      <c r="D464" s="99">
        <v>5000</v>
      </c>
      <c r="E464" s="99">
        <f t="shared" si="40"/>
        <v>150</v>
      </c>
      <c r="F464" s="99">
        <f t="shared" si="38"/>
        <v>5150</v>
      </c>
      <c r="G464" s="99"/>
      <c r="H464" s="99"/>
      <c r="I464" s="100"/>
      <c r="J464" s="101"/>
      <c r="L464" s="98" t="s">
        <v>26</v>
      </c>
      <c r="M464" s="135">
        <v>10000</v>
      </c>
      <c r="N464" s="99">
        <v>5000</v>
      </c>
      <c r="O464" s="99">
        <f t="shared" si="41"/>
        <v>150</v>
      </c>
      <c r="P464" s="99">
        <f t="shared" si="39"/>
        <v>5150</v>
      </c>
      <c r="Q464" s="99"/>
      <c r="R464" s="99"/>
      <c r="S464" s="100"/>
      <c r="T464" s="101"/>
    </row>
    <row r="465" spans="2:20" x14ac:dyDescent="0.3">
      <c r="B465" s="98" t="s">
        <v>27</v>
      </c>
      <c r="C465" s="135">
        <v>5000</v>
      </c>
      <c r="D465" s="99">
        <v>5000</v>
      </c>
      <c r="E465" s="99">
        <f t="shared" si="40"/>
        <v>75</v>
      </c>
      <c r="F465" s="99">
        <f t="shared" si="38"/>
        <v>5075</v>
      </c>
      <c r="G465" s="99"/>
      <c r="H465" s="99"/>
      <c r="I465" s="100"/>
      <c r="J465" s="101" t="s">
        <v>44</v>
      </c>
      <c r="L465" s="98" t="s">
        <v>27</v>
      </c>
      <c r="M465" s="135">
        <v>5000</v>
      </c>
      <c r="N465" s="99">
        <v>5000</v>
      </c>
      <c r="O465" s="99">
        <f t="shared" si="41"/>
        <v>75</v>
      </c>
      <c r="P465" s="99">
        <f t="shared" si="39"/>
        <v>5075</v>
      </c>
      <c r="Q465" s="99"/>
      <c r="R465" s="99"/>
      <c r="S465" s="100"/>
      <c r="T465" s="101" t="s">
        <v>44</v>
      </c>
    </row>
    <row r="483" spans="1:20" x14ac:dyDescent="0.3">
      <c r="B483" s="77" t="s">
        <v>0</v>
      </c>
      <c r="C483" s="229" t="s">
        <v>192</v>
      </c>
      <c r="D483" s="230"/>
      <c r="E483" s="230"/>
      <c r="F483" s="79"/>
      <c r="G483" s="80"/>
      <c r="H483" s="231" t="s">
        <v>1</v>
      </c>
      <c r="I483" s="231"/>
      <c r="J483" s="82">
        <v>10000</v>
      </c>
      <c r="L483" s="77" t="s">
        <v>0</v>
      </c>
      <c r="M483" s="229" t="s">
        <v>192</v>
      </c>
      <c r="N483" s="230"/>
      <c r="O483" s="230"/>
      <c r="P483" s="79"/>
      <c r="Q483" s="80"/>
      <c r="R483" s="231" t="s">
        <v>1</v>
      </c>
      <c r="S483" s="231"/>
      <c r="T483" s="82">
        <v>10000</v>
      </c>
    </row>
    <row r="484" spans="1:20" x14ac:dyDescent="0.3">
      <c r="B484" s="77" t="s">
        <v>2</v>
      </c>
      <c r="C484" s="83"/>
      <c r="D484" s="79"/>
      <c r="E484" s="83"/>
      <c r="F484" s="81"/>
      <c r="G484" s="81"/>
      <c r="H484" s="84"/>
      <c r="I484" s="81" t="s">
        <v>3</v>
      </c>
      <c r="J484" s="85" t="s">
        <v>191</v>
      </c>
      <c r="L484" s="77" t="s">
        <v>2</v>
      </c>
      <c r="M484" s="83"/>
      <c r="N484" s="79"/>
      <c r="O484" s="83"/>
      <c r="P484" s="81"/>
      <c r="Q484" s="81"/>
      <c r="R484" s="84"/>
      <c r="S484" s="81" t="s">
        <v>3</v>
      </c>
      <c r="T484" s="85" t="s">
        <v>191</v>
      </c>
    </row>
    <row r="485" spans="1:20" x14ac:dyDescent="0.3">
      <c r="B485" s="77" t="s">
        <v>4</v>
      </c>
      <c r="C485" s="78"/>
      <c r="D485" s="79"/>
      <c r="E485" s="78"/>
      <c r="F485" s="231" t="s">
        <v>5</v>
      </c>
      <c r="G485" s="231"/>
      <c r="H485" s="231"/>
      <c r="I485" s="231"/>
      <c r="J485" s="86">
        <v>1.4999999999999999E-2</v>
      </c>
      <c r="L485" s="77" t="s">
        <v>4</v>
      </c>
      <c r="M485" s="78"/>
      <c r="N485" s="79"/>
      <c r="O485" s="78"/>
      <c r="P485" s="231" t="s">
        <v>5</v>
      </c>
      <c r="Q485" s="231"/>
      <c r="R485" s="231"/>
      <c r="S485" s="231"/>
      <c r="T485" s="86">
        <v>1.4999999999999999E-2</v>
      </c>
    </row>
    <row r="486" spans="1:20" ht="15" thickBot="1" x14ac:dyDescent="0.35">
      <c r="B486" s="77" t="s">
        <v>6</v>
      </c>
      <c r="C486" s="232"/>
      <c r="D486" s="232"/>
      <c r="E486" s="233" t="s">
        <v>7</v>
      </c>
      <c r="F486" s="233"/>
      <c r="G486" s="233"/>
      <c r="H486" s="233"/>
      <c r="I486" s="233"/>
      <c r="J486" s="78">
        <v>5</v>
      </c>
      <c r="L486" s="77" t="s">
        <v>6</v>
      </c>
      <c r="M486" s="232"/>
      <c r="N486" s="232"/>
      <c r="O486" s="233" t="s">
        <v>7</v>
      </c>
      <c r="P486" s="233"/>
      <c r="Q486" s="233"/>
      <c r="R486" s="233"/>
      <c r="S486" s="233"/>
      <c r="T486" s="78">
        <v>5</v>
      </c>
    </row>
    <row r="487" spans="1:20" ht="51.6" thickBot="1" x14ac:dyDescent="0.35">
      <c r="B487" s="89" t="s">
        <v>8</v>
      </c>
      <c r="C487" s="89" t="s">
        <v>9</v>
      </c>
      <c r="D487" s="89" t="s">
        <v>10</v>
      </c>
      <c r="E487" s="90" t="s">
        <v>11</v>
      </c>
      <c r="F487" s="91" t="s">
        <v>12</v>
      </c>
      <c r="G487" s="92" t="s">
        <v>13</v>
      </c>
      <c r="H487" s="92" t="s">
        <v>14</v>
      </c>
      <c r="I487" s="92" t="s">
        <v>15</v>
      </c>
      <c r="J487" s="93" t="s">
        <v>16</v>
      </c>
      <c r="L487" s="89" t="s">
        <v>8</v>
      </c>
      <c r="M487" s="89" t="s">
        <v>9</v>
      </c>
      <c r="N487" s="89" t="s">
        <v>10</v>
      </c>
      <c r="O487" s="90" t="s">
        <v>11</v>
      </c>
      <c r="P487" s="91" t="s">
        <v>12</v>
      </c>
      <c r="Q487" s="92" t="s">
        <v>13</v>
      </c>
      <c r="R487" s="92" t="s">
        <v>14</v>
      </c>
      <c r="S487" s="92" t="s">
        <v>15</v>
      </c>
      <c r="T487" s="93" t="s">
        <v>16</v>
      </c>
    </row>
    <row r="488" spans="1:20" x14ac:dyDescent="0.3">
      <c r="B488" s="94" t="s">
        <v>17</v>
      </c>
      <c r="C488" s="95">
        <f>J483</f>
        <v>10000</v>
      </c>
      <c r="D488" s="95">
        <f>J483/J486</f>
        <v>2000</v>
      </c>
      <c r="E488" s="95">
        <f>(C488*0.015)</f>
        <v>150</v>
      </c>
      <c r="F488" s="95">
        <f>SUM(D488:E488)</f>
        <v>2150</v>
      </c>
      <c r="G488" s="95"/>
      <c r="H488" s="95"/>
      <c r="I488" s="96"/>
      <c r="J488" s="97"/>
      <c r="L488" s="94" t="s">
        <v>17</v>
      </c>
      <c r="M488" s="95">
        <f>T483</f>
        <v>10000</v>
      </c>
      <c r="N488" s="95">
        <f>T483/T486</f>
        <v>2000</v>
      </c>
      <c r="O488" s="95">
        <f>(M488*0.015)</f>
        <v>150</v>
      </c>
      <c r="P488" s="95">
        <f>SUM(N488:O488)</f>
        <v>2150</v>
      </c>
      <c r="Q488" s="95"/>
      <c r="R488" s="95"/>
      <c r="S488" s="96"/>
      <c r="T488" s="97"/>
    </row>
    <row r="489" spans="1:20" x14ac:dyDescent="0.3">
      <c r="B489" s="98" t="s">
        <v>18</v>
      </c>
      <c r="C489" s="121">
        <v>8000</v>
      </c>
      <c r="D489" s="99">
        <v>2000</v>
      </c>
      <c r="E489" s="99">
        <f t="shared" ref="E489:E492" si="42">(C489*0.015)</f>
        <v>120</v>
      </c>
      <c r="F489" s="99">
        <f>SUM(D489:E489)</f>
        <v>2120</v>
      </c>
      <c r="G489" s="99"/>
      <c r="H489" s="99"/>
      <c r="I489" s="100"/>
      <c r="J489" s="101"/>
      <c r="L489" s="98" t="s">
        <v>18</v>
      </c>
      <c r="M489" s="121">
        <v>8000</v>
      </c>
      <c r="N489" s="99">
        <v>2000</v>
      </c>
      <c r="O489" s="99">
        <f t="shared" ref="O489:O492" si="43">(M489*0.015)</f>
        <v>120</v>
      </c>
      <c r="P489" s="99">
        <f>SUM(N489:O489)</f>
        <v>2120</v>
      </c>
      <c r="Q489" s="99"/>
      <c r="R489" s="99"/>
      <c r="S489" s="100"/>
      <c r="T489" s="101"/>
    </row>
    <row r="490" spans="1:20" x14ac:dyDescent="0.3">
      <c r="B490" s="98" t="s">
        <v>19</v>
      </c>
      <c r="C490" s="121">
        <v>6000</v>
      </c>
      <c r="D490" s="99">
        <v>2000</v>
      </c>
      <c r="E490" s="99">
        <f t="shared" si="42"/>
        <v>90</v>
      </c>
      <c r="F490" s="99">
        <f>SUM(D490:E490)</f>
        <v>2090</v>
      </c>
      <c r="G490" s="99"/>
      <c r="H490" s="99"/>
      <c r="I490" s="100"/>
      <c r="J490" s="101"/>
      <c r="L490" s="98" t="s">
        <v>19</v>
      </c>
      <c r="M490" s="121">
        <v>6000</v>
      </c>
      <c r="N490" s="99">
        <v>2000</v>
      </c>
      <c r="O490" s="99">
        <f t="shared" si="43"/>
        <v>90</v>
      </c>
      <c r="P490" s="99">
        <f>SUM(N490:O490)</f>
        <v>2090</v>
      </c>
      <c r="Q490" s="99"/>
      <c r="R490" s="99"/>
      <c r="S490" s="100"/>
      <c r="T490" s="101"/>
    </row>
    <row r="491" spans="1:20" x14ac:dyDescent="0.3">
      <c r="B491" s="98" t="s">
        <v>20</v>
      </c>
      <c r="C491" s="121">
        <v>4000</v>
      </c>
      <c r="D491" s="99">
        <v>2000</v>
      </c>
      <c r="E491" s="99">
        <f t="shared" si="42"/>
        <v>60</v>
      </c>
      <c r="F491" s="99">
        <f>SUM(D491:E491)</f>
        <v>2060</v>
      </c>
      <c r="G491" s="99"/>
      <c r="H491" s="99"/>
      <c r="I491" s="100"/>
      <c r="J491" s="101"/>
      <c r="L491" s="98" t="s">
        <v>20</v>
      </c>
      <c r="M491" s="121">
        <v>4000</v>
      </c>
      <c r="N491" s="99">
        <v>2000</v>
      </c>
      <c r="O491" s="99">
        <f t="shared" si="43"/>
        <v>60</v>
      </c>
      <c r="P491" s="99">
        <f>SUM(N491:O491)</f>
        <v>2060</v>
      </c>
      <c r="Q491" s="99"/>
      <c r="R491" s="99"/>
      <c r="S491" s="100"/>
      <c r="T491" s="101"/>
    </row>
    <row r="492" spans="1:20" x14ac:dyDescent="0.3">
      <c r="B492" s="98" t="s">
        <v>21</v>
      </c>
      <c r="C492" s="122">
        <v>2000</v>
      </c>
      <c r="D492" s="99">
        <v>2000</v>
      </c>
      <c r="E492" s="99">
        <f t="shared" si="42"/>
        <v>30</v>
      </c>
      <c r="F492" s="99">
        <f>SUM(D492:E492)</f>
        <v>2030</v>
      </c>
      <c r="G492" s="99"/>
      <c r="H492" s="99"/>
      <c r="I492" s="100"/>
      <c r="J492" s="101" t="s">
        <v>42</v>
      </c>
      <c r="L492" s="98" t="s">
        <v>21</v>
      </c>
      <c r="M492" s="122">
        <v>2000</v>
      </c>
      <c r="N492" s="99">
        <v>2000</v>
      </c>
      <c r="O492" s="99">
        <f t="shared" si="43"/>
        <v>30</v>
      </c>
      <c r="P492" s="99">
        <f>SUM(N492:O492)</f>
        <v>2030</v>
      </c>
      <c r="Q492" s="99"/>
      <c r="R492" s="99"/>
      <c r="S492" s="100"/>
      <c r="T492" s="101" t="s">
        <v>42</v>
      </c>
    </row>
    <row r="496" spans="1:20" x14ac:dyDescent="0.3">
      <c r="A496" t="s">
        <v>223</v>
      </c>
    </row>
    <row r="504" spans="2:20" x14ac:dyDescent="0.3">
      <c r="B504" s="77" t="s">
        <v>0</v>
      </c>
      <c r="C504" s="77" t="s">
        <v>135</v>
      </c>
      <c r="D504" s="112"/>
      <c r="E504" s="112"/>
      <c r="F504" s="79"/>
      <c r="G504" s="80"/>
      <c r="I504" s="81" t="s">
        <v>1</v>
      </c>
      <c r="J504" s="82">
        <v>15000</v>
      </c>
      <c r="L504" s="77" t="s">
        <v>0</v>
      </c>
      <c r="M504" s="77" t="s">
        <v>135</v>
      </c>
      <c r="N504" s="112"/>
      <c r="O504" s="112"/>
      <c r="P504" s="79"/>
      <c r="Q504" s="80"/>
      <c r="S504" s="81" t="s">
        <v>1</v>
      </c>
      <c r="T504" s="82">
        <v>15000</v>
      </c>
    </row>
    <row r="505" spans="2:20" x14ac:dyDescent="0.3">
      <c r="B505" s="77" t="s">
        <v>2</v>
      </c>
      <c r="C505" s="83"/>
      <c r="D505" s="79"/>
      <c r="E505" s="83"/>
      <c r="F505" s="81"/>
      <c r="G505" s="81"/>
      <c r="I505" s="81" t="s">
        <v>3</v>
      </c>
      <c r="J505" s="85" t="s">
        <v>222</v>
      </c>
      <c r="L505" s="77" t="s">
        <v>2</v>
      </c>
      <c r="M505" s="83"/>
      <c r="N505" s="79"/>
      <c r="O505" s="83"/>
      <c r="P505" s="81"/>
      <c r="Q505" s="81"/>
      <c r="S505" s="81" t="s">
        <v>3</v>
      </c>
      <c r="T505" s="85" t="s">
        <v>222</v>
      </c>
    </row>
    <row r="506" spans="2:20" x14ac:dyDescent="0.3">
      <c r="B506" s="77" t="s">
        <v>4</v>
      </c>
      <c r="C506" s="78"/>
      <c r="D506" s="79"/>
      <c r="E506" s="78"/>
      <c r="F506" s="81"/>
      <c r="G506" s="81"/>
      <c r="I506" s="81" t="s">
        <v>5</v>
      </c>
      <c r="J506" s="86">
        <v>1.4999999999999999E-2</v>
      </c>
      <c r="L506" s="77" t="s">
        <v>4</v>
      </c>
      <c r="M506" s="78"/>
      <c r="N506" s="79"/>
      <c r="O506" s="78"/>
      <c r="P506" s="81"/>
      <c r="Q506" s="81"/>
      <c r="S506" s="81" t="s">
        <v>5</v>
      </c>
      <c r="T506" s="86">
        <v>1.4999999999999999E-2</v>
      </c>
    </row>
    <row r="507" spans="2:20" ht="15" thickBot="1" x14ac:dyDescent="0.35">
      <c r="B507" s="77" t="s">
        <v>6</v>
      </c>
      <c r="C507" s="87"/>
      <c r="D507" s="87"/>
      <c r="E507" s="88"/>
      <c r="F507" s="88"/>
      <c r="G507" s="88"/>
      <c r="I507" s="88" t="s">
        <v>7</v>
      </c>
      <c r="J507" s="78">
        <v>12</v>
      </c>
      <c r="L507" s="77" t="s">
        <v>6</v>
      </c>
      <c r="M507" s="87"/>
      <c r="N507" s="87"/>
      <c r="O507" s="88"/>
      <c r="P507" s="88"/>
      <c r="Q507" s="88"/>
      <c r="S507" s="88" t="s">
        <v>7</v>
      </c>
      <c r="T507" s="78">
        <v>12</v>
      </c>
    </row>
    <row r="508" spans="2:20" ht="51.6" thickBot="1" x14ac:dyDescent="0.35">
      <c r="B508" s="89" t="s">
        <v>8</v>
      </c>
      <c r="C508" s="89" t="s">
        <v>9</v>
      </c>
      <c r="D508" s="89" t="s">
        <v>10</v>
      </c>
      <c r="E508" s="90" t="s">
        <v>11</v>
      </c>
      <c r="F508" s="91" t="s">
        <v>12</v>
      </c>
      <c r="G508" s="92" t="s">
        <v>13</v>
      </c>
      <c r="H508" s="92" t="s">
        <v>14</v>
      </c>
      <c r="I508" s="92" t="s">
        <v>15</v>
      </c>
      <c r="J508" s="93" t="s">
        <v>16</v>
      </c>
      <c r="L508" s="89" t="s">
        <v>8</v>
      </c>
      <c r="M508" s="89" t="s">
        <v>9</v>
      </c>
      <c r="N508" s="89" t="s">
        <v>10</v>
      </c>
      <c r="O508" s="90" t="s">
        <v>11</v>
      </c>
      <c r="P508" s="91" t="s">
        <v>12</v>
      </c>
      <c r="Q508" s="92" t="s">
        <v>13</v>
      </c>
      <c r="R508" s="92" t="s">
        <v>14</v>
      </c>
      <c r="S508" s="92" t="s">
        <v>15</v>
      </c>
      <c r="T508" s="93" t="s">
        <v>16</v>
      </c>
    </row>
    <row r="509" spans="2:20" x14ac:dyDescent="0.3">
      <c r="B509" s="94" t="s">
        <v>17</v>
      </c>
      <c r="C509" s="95">
        <f>J504</f>
        <v>15000</v>
      </c>
      <c r="D509" s="95">
        <f>J504/J507</f>
        <v>1250</v>
      </c>
      <c r="E509" s="95">
        <f t="shared" ref="E509:E520" si="44">(C509*0.015)</f>
        <v>225</v>
      </c>
      <c r="F509" s="95">
        <f t="shared" ref="F509:F520" si="45">SUM(D509:E509)</f>
        <v>1475</v>
      </c>
      <c r="G509" s="95"/>
      <c r="H509" s="95"/>
      <c r="I509" s="96"/>
      <c r="J509" s="97"/>
      <c r="L509" s="94" t="s">
        <v>17</v>
      </c>
      <c r="M509" s="95">
        <f>T504</f>
        <v>15000</v>
      </c>
      <c r="N509" s="95">
        <f>T504/T507</f>
        <v>1250</v>
      </c>
      <c r="O509" s="95">
        <f t="shared" ref="O509:O520" si="46">(M509*0.015)</f>
        <v>225</v>
      </c>
      <c r="P509" s="95">
        <f t="shared" ref="P509:P520" si="47">SUM(N509:O509)</f>
        <v>1475</v>
      </c>
      <c r="Q509" s="95"/>
      <c r="R509" s="95"/>
      <c r="S509" s="96"/>
      <c r="T509" s="97"/>
    </row>
    <row r="510" spans="2:20" x14ac:dyDescent="0.3">
      <c r="B510" s="98" t="s">
        <v>18</v>
      </c>
      <c r="C510" s="99">
        <v>13750</v>
      </c>
      <c r="D510" s="99">
        <v>1250</v>
      </c>
      <c r="E510" s="99">
        <f t="shared" si="44"/>
        <v>206.25</v>
      </c>
      <c r="F510" s="99">
        <f t="shared" si="45"/>
        <v>1456.25</v>
      </c>
      <c r="G510" s="99"/>
      <c r="H510" s="99"/>
      <c r="I510" s="100"/>
      <c r="J510" s="101"/>
      <c r="L510" s="98" t="s">
        <v>18</v>
      </c>
      <c r="M510" s="99">
        <v>13750</v>
      </c>
      <c r="N510" s="99">
        <v>1250</v>
      </c>
      <c r="O510" s="99">
        <f t="shared" si="46"/>
        <v>206.25</v>
      </c>
      <c r="P510" s="99">
        <f t="shared" si="47"/>
        <v>1456.25</v>
      </c>
      <c r="Q510" s="99"/>
      <c r="R510" s="99"/>
      <c r="S510" s="100"/>
      <c r="T510" s="101"/>
    </row>
    <row r="511" spans="2:20" x14ac:dyDescent="0.3">
      <c r="B511" s="98" t="s">
        <v>19</v>
      </c>
      <c r="C511" s="99">
        <v>15000</v>
      </c>
      <c r="D511" s="99">
        <v>1250</v>
      </c>
      <c r="E511" s="99">
        <f t="shared" si="44"/>
        <v>225</v>
      </c>
      <c r="F511" s="99">
        <f t="shared" si="45"/>
        <v>1475</v>
      </c>
      <c r="G511" s="99"/>
      <c r="H511" s="99"/>
      <c r="I511" s="100"/>
      <c r="J511" s="101"/>
      <c r="L511" s="98" t="s">
        <v>19</v>
      </c>
      <c r="M511" s="99">
        <v>15000</v>
      </c>
      <c r="N511" s="99">
        <v>1250</v>
      </c>
      <c r="O511" s="99">
        <f t="shared" si="46"/>
        <v>225</v>
      </c>
      <c r="P511" s="99">
        <f t="shared" si="47"/>
        <v>1475</v>
      </c>
      <c r="Q511" s="99"/>
      <c r="R511" s="99"/>
      <c r="S511" s="100"/>
      <c r="T511" s="101"/>
    </row>
    <row r="512" spans="2:20" x14ac:dyDescent="0.3">
      <c r="B512" s="98" t="s">
        <v>20</v>
      </c>
      <c r="C512" s="99">
        <v>11250</v>
      </c>
      <c r="D512" s="99">
        <v>1250</v>
      </c>
      <c r="E512" s="99">
        <f t="shared" si="44"/>
        <v>168.75</v>
      </c>
      <c r="F512" s="99">
        <f t="shared" si="45"/>
        <v>1418.75</v>
      </c>
      <c r="G512" s="99"/>
      <c r="H512" s="99"/>
      <c r="I512" s="100"/>
      <c r="J512" s="101"/>
      <c r="L512" s="98" t="s">
        <v>20</v>
      </c>
      <c r="M512" s="99">
        <v>11250</v>
      </c>
      <c r="N512" s="99">
        <v>1250</v>
      </c>
      <c r="O512" s="99">
        <f t="shared" si="46"/>
        <v>168.75</v>
      </c>
      <c r="P512" s="99">
        <f t="shared" si="47"/>
        <v>1418.75</v>
      </c>
      <c r="Q512" s="99"/>
      <c r="R512" s="99"/>
      <c r="S512" s="100"/>
      <c r="T512" s="101"/>
    </row>
    <row r="513" spans="2:20" x14ac:dyDescent="0.3">
      <c r="B513" s="98" t="s">
        <v>21</v>
      </c>
      <c r="C513" s="99">
        <v>10000</v>
      </c>
      <c r="D513" s="99">
        <v>1250</v>
      </c>
      <c r="E513" s="99">
        <f t="shared" si="44"/>
        <v>150</v>
      </c>
      <c r="F513" s="99">
        <f t="shared" si="45"/>
        <v>1400</v>
      </c>
      <c r="G513" s="99"/>
      <c r="H513" s="99"/>
      <c r="I513" s="100"/>
      <c r="J513" s="101"/>
      <c r="L513" s="98" t="s">
        <v>21</v>
      </c>
      <c r="M513" s="99">
        <v>10000</v>
      </c>
      <c r="N513" s="99">
        <v>1250</v>
      </c>
      <c r="O513" s="99">
        <f t="shared" si="46"/>
        <v>150</v>
      </c>
      <c r="P513" s="99">
        <f t="shared" si="47"/>
        <v>1400</v>
      </c>
      <c r="Q513" s="99"/>
      <c r="R513" s="99"/>
      <c r="S513" s="100"/>
      <c r="T513" s="101"/>
    </row>
    <row r="514" spans="2:20" x14ac:dyDescent="0.3">
      <c r="B514" s="98" t="s">
        <v>23</v>
      </c>
      <c r="C514" s="99">
        <v>8750</v>
      </c>
      <c r="D514" s="99">
        <v>1250</v>
      </c>
      <c r="E514" s="99">
        <f t="shared" si="44"/>
        <v>131.25</v>
      </c>
      <c r="F514" s="99">
        <f t="shared" si="45"/>
        <v>1381.25</v>
      </c>
      <c r="G514" s="99"/>
      <c r="H514" s="99"/>
      <c r="I514" s="100"/>
      <c r="J514" s="101"/>
      <c r="L514" s="98" t="s">
        <v>23</v>
      </c>
      <c r="M514" s="99">
        <v>8750</v>
      </c>
      <c r="N514" s="99">
        <v>1250</v>
      </c>
      <c r="O514" s="99">
        <f t="shared" si="46"/>
        <v>131.25</v>
      </c>
      <c r="P514" s="99">
        <f t="shared" si="47"/>
        <v>1381.25</v>
      </c>
      <c r="Q514" s="99"/>
      <c r="R514" s="99"/>
      <c r="S514" s="100"/>
      <c r="T514" s="101"/>
    </row>
    <row r="515" spans="2:20" x14ac:dyDescent="0.3">
      <c r="B515" s="98" t="s">
        <v>24</v>
      </c>
      <c r="C515" s="99">
        <v>7500</v>
      </c>
      <c r="D515" s="99">
        <v>1250</v>
      </c>
      <c r="E515" s="99">
        <f t="shared" si="44"/>
        <v>112.5</v>
      </c>
      <c r="F515" s="99">
        <f t="shared" si="45"/>
        <v>1362.5</v>
      </c>
      <c r="G515" s="99"/>
      <c r="H515" s="99"/>
      <c r="I515" s="100"/>
      <c r="J515" s="101"/>
      <c r="L515" s="98" t="s">
        <v>24</v>
      </c>
      <c r="M515" s="99">
        <v>7500</v>
      </c>
      <c r="N515" s="99">
        <v>1250</v>
      </c>
      <c r="O515" s="99">
        <f t="shared" si="46"/>
        <v>112.5</v>
      </c>
      <c r="P515" s="99">
        <f t="shared" si="47"/>
        <v>1362.5</v>
      </c>
      <c r="Q515" s="99"/>
      <c r="R515" s="99"/>
      <c r="S515" s="100"/>
      <c r="T515" s="101"/>
    </row>
    <row r="516" spans="2:20" x14ac:dyDescent="0.3">
      <c r="B516" s="98" t="s">
        <v>25</v>
      </c>
      <c r="C516" s="99">
        <v>6250</v>
      </c>
      <c r="D516" s="99">
        <v>1250</v>
      </c>
      <c r="E516" s="99">
        <f t="shared" si="44"/>
        <v>93.75</v>
      </c>
      <c r="F516" s="99">
        <f t="shared" si="45"/>
        <v>1343.75</v>
      </c>
      <c r="G516" s="99"/>
      <c r="H516" s="99"/>
      <c r="I516" s="100"/>
      <c r="J516" s="101"/>
      <c r="L516" s="98" t="s">
        <v>25</v>
      </c>
      <c r="M516" s="99">
        <v>6250</v>
      </c>
      <c r="N516" s="99">
        <v>1250</v>
      </c>
      <c r="O516" s="99">
        <f t="shared" si="46"/>
        <v>93.75</v>
      </c>
      <c r="P516" s="99">
        <f t="shared" si="47"/>
        <v>1343.75</v>
      </c>
      <c r="Q516" s="99"/>
      <c r="R516" s="99"/>
      <c r="S516" s="100"/>
      <c r="T516" s="101"/>
    </row>
    <row r="517" spans="2:20" x14ac:dyDescent="0.3">
      <c r="B517" s="98" t="s">
        <v>26</v>
      </c>
      <c r="C517" s="99">
        <v>5000</v>
      </c>
      <c r="D517" s="99">
        <v>1250</v>
      </c>
      <c r="E517" s="99">
        <f t="shared" si="44"/>
        <v>75</v>
      </c>
      <c r="F517" s="99">
        <f t="shared" si="45"/>
        <v>1325</v>
      </c>
      <c r="G517" s="99"/>
      <c r="H517" s="99"/>
      <c r="I517" s="100"/>
      <c r="J517" s="101"/>
      <c r="L517" s="98" t="s">
        <v>26</v>
      </c>
      <c r="M517" s="99">
        <v>5000</v>
      </c>
      <c r="N517" s="99">
        <v>1250</v>
      </c>
      <c r="O517" s="99">
        <f t="shared" si="46"/>
        <v>75</v>
      </c>
      <c r="P517" s="99">
        <f t="shared" si="47"/>
        <v>1325</v>
      </c>
      <c r="Q517" s="99"/>
      <c r="R517" s="99"/>
      <c r="S517" s="100"/>
      <c r="T517" s="101"/>
    </row>
    <row r="518" spans="2:20" x14ac:dyDescent="0.3">
      <c r="B518" s="98" t="s">
        <v>27</v>
      </c>
      <c r="C518" s="99">
        <v>3750</v>
      </c>
      <c r="D518" s="99">
        <v>1250</v>
      </c>
      <c r="E518" s="99">
        <f t="shared" si="44"/>
        <v>56.25</v>
      </c>
      <c r="F518" s="99">
        <f t="shared" si="45"/>
        <v>1306.25</v>
      </c>
      <c r="G518" s="99"/>
      <c r="H518" s="99"/>
      <c r="I518" s="100"/>
      <c r="J518" s="101"/>
      <c r="L518" s="98" t="s">
        <v>27</v>
      </c>
      <c r="M518" s="99">
        <v>3750</v>
      </c>
      <c r="N518" s="99">
        <v>1250</v>
      </c>
      <c r="O518" s="99">
        <f t="shared" si="46"/>
        <v>56.25</v>
      </c>
      <c r="P518" s="99">
        <f t="shared" si="47"/>
        <v>1306.25</v>
      </c>
      <c r="Q518" s="99"/>
      <c r="R518" s="99"/>
      <c r="S518" s="100"/>
      <c r="T518" s="101"/>
    </row>
    <row r="519" spans="2:20" x14ac:dyDescent="0.3">
      <c r="B519" s="98" t="s">
        <v>28</v>
      </c>
      <c r="C519" s="99">
        <v>2500</v>
      </c>
      <c r="D519" s="99">
        <v>1250</v>
      </c>
      <c r="E519" s="99">
        <f t="shared" si="44"/>
        <v>37.5</v>
      </c>
      <c r="F519" s="99">
        <f t="shared" si="45"/>
        <v>1287.5</v>
      </c>
      <c r="G519" s="99"/>
      <c r="H519" s="99"/>
      <c r="I519" s="100"/>
      <c r="J519" s="101"/>
      <c r="L519" s="98" t="s">
        <v>28</v>
      </c>
      <c r="M519" s="99">
        <v>2500</v>
      </c>
      <c r="N519" s="99">
        <v>1250</v>
      </c>
      <c r="O519" s="99">
        <f t="shared" si="46"/>
        <v>37.5</v>
      </c>
      <c r="P519" s="99">
        <f t="shared" si="47"/>
        <v>1287.5</v>
      </c>
      <c r="Q519" s="99"/>
      <c r="R519" s="99"/>
      <c r="S519" s="100"/>
      <c r="T519" s="101"/>
    </row>
    <row r="520" spans="2:20" x14ac:dyDescent="0.3">
      <c r="B520" s="98" t="s">
        <v>29</v>
      </c>
      <c r="C520" s="99">
        <v>1250</v>
      </c>
      <c r="D520" s="99">
        <v>1250</v>
      </c>
      <c r="E520" s="99">
        <f t="shared" si="44"/>
        <v>18.75</v>
      </c>
      <c r="F520" s="99">
        <f t="shared" si="45"/>
        <v>1268.75</v>
      </c>
      <c r="G520" s="99"/>
      <c r="H520" s="99"/>
      <c r="I520" s="100"/>
      <c r="J520" s="101" t="s">
        <v>42</v>
      </c>
      <c r="L520" s="98" t="s">
        <v>29</v>
      </c>
      <c r="M520" s="99">
        <v>1250</v>
      </c>
      <c r="N520" s="99">
        <v>1250</v>
      </c>
      <c r="O520" s="99">
        <f t="shared" si="46"/>
        <v>18.75</v>
      </c>
      <c r="P520" s="99">
        <f t="shared" si="47"/>
        <v>1268.75</v>
      </c>
      <c r="Q520" s="99"/>
      <c r="R520" s="99"/>
      <c r="S520" s="100"/>
      <c r="T520" s="101" t="s">
        <v>42</v>
      </c>
    </row>
    <row r="521" spans="2:20" x14ac:dyDescent="0.3">
      <c r="F521" s="38">
        <f>SUM(F509:F520)</f>
        <v>16500</v>
      </c>
    </row>
    <row r="524" spans="2:20" x14ac:dyDescent="0.3">
      <c r="B524" s="77" t="s">
        <v>0</v>
      </c>
      <c r="C524" s="77" t="s">
        <v>212</v>
      </c>
      <c r="E524" s="78"/>
      <c r="F524" s="79"/>
      <c r="G524" s="79"/>
      <c r="H524" s="80"/>
      <c r="I524" s="81" t="s">
        <v>1</v>
      </c>
      <c r="J524" s="82">
        <v>20000</v>
      </c>
      <c r="L524" s="77" t="s">
        <v>0</v>
      </c>
      <c r="M524" s="77" t="s">
        <v>212</v>
      </c>
      <c r="O524" s="78"/>
      <c r="P524" s="79"/>
      <c r="Q524" s="79"/>
      <c r="R524" s="80"/>
      <c r="S524" s="81" t="s">
        <v>1</v>
      </c>
      <c r="T524" s="82">
        <v>20000</v>
      </c>
    </row>
    <row r="525" spans="2:20" x14ac:dyDescent="0.3">
      <c r="B525" s="77" t="s">
        <v>2</v>
      </c>
      <c r="C525" s="83"/>
      <c r="D525" s="79"/>
      <c r="E525" s="83"/>
      <c r="F525" s="81"/>
      <c r="G525" s="81"/>
      <c r="H525" s="84"/>
      <c r="I525" s="81" t="s">
        <v>3</v>
      </c>
      <c r="J525" s="85" t="s">
        <v>213</v>
      </c>
      <c r="L525" s="77" t="s">
        <v>2</v>
      </c>
      <c r="M525" s="83"/>
      <c r="N525" s="79"/>
      <c r="O525" s="83"/>
      <c r="P525" s="81"/>
      <c r="Q525" s="81"/>
      <c r="R525" s="84"/>
      <c r="S525" s="81" t="s">
        <v>3</v>
      </c>
      <c r="T525" s="85" t="s">
        <v>213</v>
      </c>
    </row>
    <row r="526" spans="2:20" x14ac:dyDescent="0.3">
      <c r="B526" s="77" t="s">
        <v>4</v>
      </c>
      <c r="C526" s="78"/>
      <c r="D526" s="79"/>
      <c r="E526" s="79"/>
      <c r="F526" s="79"/>
      <c r="G526" s="81"/>
      <c r="H526" s="78"/>
      <c r="I526" s="81" t="s">
        <v>5</v>
      </c>
      <c r="J526" s="86">
        <v>1.4999999999999999E-2</v>
      </c>
      <c r="L526" s="77" t="s">
        <v>4</v>
      </c>
      <c r="M526" s="78"/>
      <c r="N526" s="79"/>
      <c r="O526" s="79"/>
      <c r="P526" s="79"/>
      <c r="Q526" s="81"/>
      <c r="R526" s="78"/>
      <c r="S526" s="81" t="s">
        <v>5</v>
      </c>
      <c r="T526" s="86">
        <v>1.4999999999999999E-2</v>
      </c>
    </row>
    <row r="527" spans="2:20" ht="15" thickBot="1" x14ac:dyDescent="0.35">
      <c r="B527" s="77" t="s">
        <v>6</v>
      </c>
      <c r="C527" s="87"/>
      <c r="D527" s="79"/>
      <c r="E527" s="79"/>
      <c r="F527" s="88"/>
      <c r="G527" s="88"/>
      <c r="H527" s="87"/>
      <c r="I527" s="88" t="s">
        <v>7</v>
      </c>
      <c r="J527" s="78">
        <v>10</v>
      </c>
      <c r="L527" s="77" t="s">
        <v>6</v>
      </c>
      <c r="M527" s="87"/>
      <c r="N527" s="79"/>
      <c r="O527" s="79"/>
      <c r="P527" s="88"/>
      <c r="Q527" s="88"/>
      <c r="R527" s="87"/>
      <c r="S527" s="88" t="s">
        <v>7</v>
      </c>
      <c r="T527" s="78">
        <v>10</v>
      </c>
    </row>
    <row r="528" spans="2:20" ht="51.6" thickBot="1" x14ac:dyDescent="0.35">
      <c r="B528" s="89" t="s">
        <v>8</v>
      </c>
      <c r="C528" s="89" t="s">
        <v>9</v>
      </c>
      <c r="D528" s="89" t="s">
        <v>10</v>
      </c>
      <c r="E528" s="90" t="s">
        <v>11</v>
      </c>
      <c r="F528" s="91" t="s">
        <v>12</v>
      </c>
      <c r="G528" s="92" t="s">
        <v>13</v>
      </c>
      <c r="H528" s="92" t="s">
        <v>14</v>
      </c>
      <c r="I528" s="92" t="s">
        <v>15</v>
      </c>
      <c r="J528" s="93" t="s">
        <v>16</v>
      </c>
      <c r="L528" s="89" t="s">
        <v>8</v>
      </c>
      <c r="M528" s="89" t="s">
        <v>9</v>
      </c>
      <c r="N528" s="89" t="s">
        <v>10</v>
      </c>
      <c r="O528" s="90" t="s">
        <v>11</v>
      </c>
      <c r="P528" s="91" t="s">
        <v>12</v>
      </c>
      <c r="Q528" s="92" t="s">
        <v>13</v>
      </c>
      <c r="R528" s="92" t="s">
        <v>14</v>
      </c>
      <c r="S528" s="92" t="s">
        <v>15</v>
      </c>
      <c r="T528" s="93" t="s">
        <v>16</v>
      </c>
    </row>
    <row r="529" spans="1:20" x14ac:dyDescent="0.3">
      <c r="B529" s="94" t="s">
        <v>17</v>
      </c>
      <c r="C529" s="95">
        <f>J524</f>
        <v>20000</v>
      </c>
      <c r="D529" s="95">
        <f>J524/J527</f>
        <v>2000</v>
      </c>
      <c r="E529" s="95">
        <f t="shared" ref="E529:E538" si="48">(C529*0.015)</f>
        <v>300</v>
      </c>
      <c r="F529" s="95">
        <f t="shared" ref="F529:F538" si="49">SUM(D529:E529)</f>
        <v>2300</v>
      </c>
      <c r="G529" s="95"/>
      <c r="H529" s="95"/>
      <c r="I529" s="96"/>
      <c r="J529" s="97"/>
      <c r="L529" s="94" t="s">
        <v>17</v>
      </c>
      <c r="M529" s="95">
        <f>T524</f>
        <v>20000</v>
      </c>
      <c r="N529" s="95">
        <f>T524/T527</f>
        <v>2000</v>
      </c>
      <c r="O529" s="95">
        <f t="shared" ref="O529:O538" si="50">(M529*0.015)</f>
        <v>300</v>
      </c>
      <c r="P529" s="95">
        <f t="shared" ref="P529:P538" si="51">SUM(N529:O529)</f>
        <v>2300</v>
      </c>
      <c r="Q529" s="95"/>
      <c r="R529" s="95"/>
      <c r="S529" s="96"/>
      <c r="T529" s="97"/>
    </row>
    <row r="530" spans="1:20" x14ac:dyDescent="0.3">
      <c r="B530" s="98" t="s">
        <v>18</v>
      </c>
      <c r="C530" s="99">
        <v>18000</v>
      </c>
      <c r="D530" s="99">
        <v>2000</v>
      </c>
      <c r="E530" s="99">
        <f t="shared" si="48"/>
        <v>270</v>
      </c>
      <c r="F530" s="99">
        <f t="shared" si="49"/>
        <v>2270</v>
      </c>
      <c r="G530" s="99"/>
      <c r="H530" s="99"/>
      <c r="I530" s="100"/>
      <c r="J530" s="101"/>
      <c r="L530" s="98" t="s">
        <v>18</v>
      </c>
      <c r="M530" s="99">
        <v>18000</v>
      </c>
      <c r="N530" s="99">
        <v>2000</v>
      </c>
      <c r="O530" s="99">
        <f t="shared" si="50"/>
        <v>270</v>
      </c>
      <c r="P530" s="99">
        <f t="shared" si="51"/>
        <v>2270</v>
      </c>
      <c r="Q530" s="99"/>
      <c r="R530" s="99"/>
      <c r="S530" s="100"/>
      <c r="T530" s="101"/>
    </row>
    <row r="531" spans="1:20" x14ac:dyDescent="0.3">
      <c r="B531" s="98" t="s">
        <v>19</v>
      </c>
      <c r="C531" s="99">
        <v>16000</v>
      </c>
      <c r="D531" s="99">
        <v>2000</v>
      </c>
      <c r="E531" s="99">
        <f t="shared" si="48"/>
        <v>240</v>
      </c>
      <c r="F531" s="99">
        <f t="shared" si="49"/>
        <v>2240</v>
      </c>
      <c r="G531" s="99"/>
      <c r="H531" s="99"/>
      <c r="I531" s="100"/>
      <c r="J531" s="101"/>
      <c r="L531" s="98" t="s">
        <v>19</v>
      </c>
      <c r="M531" s="99">
        <v>16000</v>
      </c>
      <c r="N531" s="99">
        <v>2000</v>
      </c>
      <c r="O531" s="99">
        <f t="shared" si="50"/>
        <v>240</v>
      </c>
      <c r="P531" s="99">
        <f t="shared" si="51"/>
        <v>2240</v>
      </c>
      <c r="Q531" s="99"/>
      <c r="R531" s="99"/>
      <c r="S531" s="100"/>
      <c r="T531" s="101"/>
    </row>
    <row r="532" spans="1:20" x14ac:dyDescent="0.3">
      <c r="B532" s="98" t="s">
        <v>20</v>
      </c>
      <c r="C532" s="99">
        <v>14000</v>
      </c>
      <c r="D532" s="99">
        <v>2000</v>
      </c>
      <c r="E532" s="99">
        <f t="shared" si="48"/>
        <v>210</v>
      </c>
      <c r="F532" s="99">
        <f t="shared" si="49"/>
        <v>2210</v>
      </c>
      <c r="G532" s="99"/>
      <c r="H532" s="99"/>
      <c r="I532" s="100"/>
      <c r="J532" s="101"/>
      <c r="L532" s="98" t="s">
        <v>20</v>
      </c>
      <c r="M532" s="99">
        <v>14000</v>
      </c>
      <c r="N532" s="99">
        <v>2000</v>
      </c>
      <c r="O532" s="99">
        <f t="shared" si="50"/>
        <v>210</v>
      </c>
      <c r="P532" s="99">
        <f t="shared" si="51"/>
        <v>2210</v>
      </c>
      <c r="Q532" s="99"/>
      <c r="R532" s="99"/>
      <c r="S532" s="100"/>
      <c r="T532" s="101"/>
    </row>
    <row r="533" spans="1:20" x14ac:dyDescent="0.3">
      <c r="B533" s="98" t="s">
        <v>21</v>
      </c>
      <c r="C533" s="99">
        <v>12000</v>
      </c>
      <c r="D533" s="99">
        <v>2000</v>
      </c>
      <c r="E533" s="99">
        <f t="shared" si="48"/>
        <v>180</v>
      </c>
      <c r="F533" s="99">
        <f t="shared" si="49"/>
        <v>2180</v>
      </c>
      <c r="G533" s="99"/>
      <c r="H533" s="99"/>
      <c r="I533" s="100"/>
      <c r="J533" s="101"/>
      <c r="L533" s="98" t="s">
        <v>21</v>
      </c>
      <c r="M533" s="99">
        <v>12000</v>
      </c>
      <c r="N533" s="99">
        <v>2000</v>
      </c>
      <c r="O533" s="99">
        <f t="shared" si="50"/>
        <v>180</v>
      </c>
      <c r="P533" s="99">
        <f t="shared" si="51"/>
        <v>2180</v>
      </c>
      <c r="Q533" s="99"/>
      <c r="R533" s="99"/>
      <c r="S533" s="100"/>
      <c r="T533" s="101"/>
    </row>
    <row r="534" spans="1:20" x14ac:dyDescent="0.3">
      <c r="B534" s="98" t="s">
        <v>23</v>
      </c>
      <c r="C534" s="99">
        <v>10000</v>
      </c>
      <c r="D534" s="99">
        <v>2000</v>
      </c>
      <c r="E534" s="99">
        <f t="shared" si="48"/>
        <v>150</v>
      </c>
      <c r="F534" s="99">
        <f t="shared" si="49"/>
        <v>2150</v>
      </c>
      <c r="G534" s="99"/>
      <c r="H534" s="99"/>
      <c r="I534" s="100"/>
      <c r="J534" s="101"/>
      <c r="L534" s="98" t="s">
        <v>23</v>
      </c>
      <c r="M534" s="99">
        <v>10000</v>
      </c>
      <c r="N534" s="99">
        <v>2000</v>
      </c>
      <c r="O534" s="99">
        <f t="shared" si="50"/>
        <v>150</v>
      </c>
      <c r="P534" s="99">
        <f t="shared" si="51"/>
        <v>2150</v>
      </c>
      <c r="Q534" s="99"/>
      <c r="R534" s="99"/>
      <c r="S534" s="100"/>
      <c r="T534" s="101"/>
    </row>
    <row r="535" spans="1:20" x14ac:dyDescent="0.3">
      <c r="B535" s="98" t="s">
        <v>24</v>
      </c>
      <c r="C535" s="99">
        <v>8000</v>
      </c>
      <c r="D535" s="99">
        <v>2000</v>
      </c>
      <c r="E535" s="99">
        <f t="shared" si="48"/>
        <v>120</v>
      </c>
      <c r="F535" s="99">
        <f t="shared" si="49"/>
        <v>2120</v>
      </c>
      <c r="G535" s="99"/>
      <c r="H535" s="99"/>
      <c r="I535" s="100"/>
      <c r="J535" s="101"/>
      <c r="L535" s="98" t="s">
        <v>24</v>
      </c>
      <c r="M535" s="99">
        <v>8000</v>
      </c>
      <c r="N535" s="99">
        <v>2000</v>
      </c>
      <c r="O535" s="99">
        <f t="shared" si="50"/>
        <v>120</v>
      </c>
      <c r="P535" s="99">
        <f t="shared" si="51"/>
        <v>2120</v>
      </c>
      <c r="Q535" s="99"/>
      <c r="R535" s="99"/>
      <c r="S535" s="100"/>
      <c r="T535" s="101"/>
    </row>
    <row r="536" spans="1:20" x14ac:dyDescent="0.3">
      <c r="B536" s="98" t="s">
        <v>25</v>
      </c>
      <c r="C536" s="99">
        <v>6000</v>
      </c>
      <c r="D536" s="99">
        <v>2000</v>
      </c>
      <c r="E536" s="99">
        <f t="shared" si="48"/>
        <v>90</v>
      </c>
      <c r="F536" s="99">
        <f t="shared" si="49"/>
        <v>2090</v>
      </c>
      <c r="G536" s="99"/>
      <c r="H536" s="99"/>
      <c r="I536" s="100"/>
      <c r="J536" s="101"/>
      <c r="L536" s="98" t="s">
        <v>25</v>
      </c>
      <c r="M536" s="99">
        <v>6000</v>
      </c>
      <c r="N536" s="99">
        <v>2000</v>
      </c>
      <c r="O536" s="99">
        <f t="shared" si="50"/>
        <v>90</v>
      </c>
      <c r="P536" s="99">
        <f t="shared" si="51"/>
        <v>2090</v>
      </c>
      <c r="Q536" s="99"/>
      <c r="R536" s="99"/>
      <c r="S536" s="100"/>
      <c r="T536" s="101"/>
    </row>
    <row r="537" spans="1:20" x14ac:dyDescent="0.3">
      <c r="B537" s="98" t="s">
        <v>26</v>
      </c>
      <c r="C537" s="99">
        <v>4000</v>
      </c>
      <c r="D537" s="99">
        <v>2000</v>
      </c>
      <c r="E537" s="99">
        <f t="shared" si="48"/>
        <v>60</v>
      </c>
      <c r="F537" s="99">
        <f t="shared" si="49"/>
        <v>2060</v>
      </c>
      <c r="G537" s="99"/>
      <c r="H537" s="99"/>
      <c r="I537" s="100"/>
      <c r="J537" s="101"/>
      <c r="L537" s="98" t="s">
        <v>26</v>
      </c>
      <c r="M537" s="99">
        <v>4000</v>
      </c>
      <c r="N537" s="99">
        <v>2000</v>
      </c>
      <c r="O537" s="99">
        <f t="shared" si="50"/>
        <v>60</v>
      </c>
      <c r="P537" s="99">
        <f t="shared" si="51"/>
        <v>2060</v>
      </c>
      <c r="Q537" s="99"/>
      <c r="R537" s="99"/>
      <c r="S537" s="100"/>
      <c r="T537" s="101"/>
    </row>
    <row r="538" spans="1:20" x14ac:dyDescent="0.3">
      <c r="B538" s="106" t="s">
        <v>27</v>
      </c>
      <c r="C538" s="99">
        <v>2000</v>
      </c>
      <c r="D538" s="99">
        <v>2000</v>
      </c>
      <c r="E538" s="99">
        <f t="shared" si="48"/>
        <v>30</v>
      </c>
      <c r="F538" s="99">
        <f t="shared" si="49"/>
        <v>2030</v>
      </c>
      <c r="G538" s="99"/>
      <c r="H538" s="99"/>
      <c r="I538" s="100"/>
      <c r="J538" s="124" t="s">
        <v>42</v>
      </c>
      <c r="L538" s="106" t="s">
        <v>27</v>
      </c>
      <c r="M538" s="99">
        <v>2000</v>
      </c>
      <c r="N538" s="99">
        <v>2000</v>
      </c>
      <c r="O538" s="99">
        <f t="shared" si="50"/>
        <v>30</v>
      </c>
      <c r="P538" s="99">
        <f t="shared" si="51"/>
        <v>2030</v>
      </c>
      <c r="Q538" s="99"/>
      <c r="R538" s="99"/>
      <c r="S538" s="100"/>
      <c r="T538" s="124" t="s">
        <v>42</v>
      </c>
    </row>
    <row r="541" spans="1:20" x14ac:dyDescent="0.3">
      <c r="A541" s="1"/>
      <c r="B541" s="77" t="s">
        <v>0</v>
      </c>
      <c r="C541" s="77"/>
      <c r="D541" s="112"/>
      <c r="E541" s="112"/>
      <c r="F541" s="79"/>
      <c r="G541" s="80"/>
      <c r="I541" s="81" t="s">
        <v>1</v>
      </c>
      <c r="J541" s="82">
        <v>50000</v>
      </c>
      <c r="L541" s="77" t="s">
        <v>0</v>
      </c>
      <c r="M541" s="77"/>
      <c r="N541" s="112"/>
      <c r="O541" s="112"/>
      <c r="P541" s="79"/>
      <c r="Q541" s="80"/>
      <c r="S541" s="81" t="s">
        <v>1</v>
      </c>
      <c r="T541" s="82">
        <v>50000</v>
      </c>
    </row>
    <row r="542" spans="1:20" x14ac:dyDescent="0.3">
      <c r="A542" s="1"/>
      <c r="B542" s="77" t="s">
        <v>2</v>
      </c>
      <c r="C542" s="83"/>
      <c r="D542" s="79"/>
      <c r="E542" s="83"/>
      <c r="F542" s="81"/>
      <c r="G542" s="81"/>
      <c r="H542" s="84"/>
      <c r="I542" s="81" t="s">
        <v>3</v>
      </c>
      <c r="J542" s="85"/>
      <c r="L542" s="77" t="s">
        <v>2</v>
      </c>
      <c r="M542" s="83"/>
      <c r="N542" s="79"/>
      <c r="O542" s="83"/>
      <c r="P542" s="81"/>
      <c r="Q542" s="81"/>
      <c r="R542" s="84"/>
      <c r="S542" s="81" t="s">
        <v>3</v>
      </c>
      <c r="T542" s="85"/>
    </row>
    <row r="543" spans="1:20" x14ac:dyDescent="0.3">
      <c r="A543" s="1"/>
      <c r="B543" s="77" t="s">
        <v>4</v>
      </c>
      <c r="C543" s="78"/>
      <c r="D543" s="79"/>
      <c r="E543" s="78"/>
      <c r="F543" s="81"/>
      <c r="G543" s="81"/>
      <c r="H543" s="81"/>
      <c r="I543" s="81" t="s">
        <v>5</v>
      </c>
      <c r="J543" s="86">
        <v>1.4999999999999999E-2</v>
      </c>
      <c r="L543" s="77" t="s">
        <v>4</v>
      </c>
      <c r="M543" s="78"/>
      <c r="N543" s="79"/>
      <c r="O543" s="78"/>
      <c r="P543" s="81"/>
      <c r="Q543" s="81"/>
      <c r="R543" s="81"/>
      <c r="S543" s="81" t="s">
        <v>5</v>
      </c>
      <c r="T543" s="86">
        <v>1.4999999999999999E-2</v>
      </c>
    </row>
    <row r="544" spans="1:20" ht="15" thickBot="1" x14ac:dyDescent="0.35">
      <c r="A544" s="1"/>
      <c r="B544" s="77" t="s">
        <v>6</v>
      </c>
      <c r="C544" s="87"/>
      <c r="D544" s="87"/>
      <c r="E544" s="88"/>
      <c r="F544" s="88"/>
      <c r="G544" s="88"/>
      <c r="H544" s="88"/>
      <c r="I544" s="88" t="s">
        <v>7</v>
      </c>
      <c r="J544" s="78">
        <v>24</v>
      </c>
      <c r="L544" s="77" t="s">
        <v>6</v>
      </c>
      <c r="M544" s="87"/>
      <c r="N544" s="87"/>
      <c r="O544" s="88"/>
      <c r="P544" s="88"/>
      <c r="Q544" s="88"/>
      <c r="R544" s="88"/>
      <c r="S544" s="88" t="s">
        <v>7</v>
      </c>
      <c r="T544" s="78">
        <v>24</v>
      </c>
    </row>
    <row r="545" spans="1:20" ht="51.6" thickBot="1" x14ac:dyDescent="0.35">
      <c r="A545" s="1"/>
      <c r="B545" s="89" t="s">
        <v>8</v>
      </c>
      <c r="C545" s="89" t="s">
        <v>9</v>
      </c>
      <c r="D545" s="89" t="s">
        <v>10</v>
      </c>
      <c r="E545" s="90" t="s">
        <v>11</v>
      </c>
      <c r="F545" s="91" t="s">
        <v>12</v>
      </c>
      <c r="G545" s="92" t="s">
        <v>13</v>
      </c>
      <c r="H545" s="92" t="s">
        <v>14</v>
      </c>
      <c r="I545" s="92" t="s">
        <v>15</v>
      </c>
      <c r="J545" s="93" t="s">
        <v>16</v>
      </c>
      <c r="L545" s="89" t="s">
        <v>8</v>
      </c>
      <c r="M545" s="89" t="s">
        <v>9</v>
      </c>
      <c r="N545" s="89" t="s">
        <v>10</v>
      </c>
      <c r="O545" s="90" t="s">
        <v>11</v>
      </c>
      <c r="P545" s="91" t="s">
        <v>12</v>
      </c>
      <c r="Q545" s="92" t="s">
        <v>13</v>
      </c>
      <c r="R545" s="92" t="s">
        <v>14</v>
      </c>
      <c r="S545" s="92" t="s">
        <v>15</v>
      </c>
      <c r="T545" s="93" t="s">
        <v>16</v>
      </c>
    </row>
    <row r="546" spans="1:20" x14ac:dyDescent="0.3">
      <c r="A546" s="1"/>
      <c r="B546" s="94" t="s">
        <v>17</v>
      </c>
      <c r="C546" s="95">
        <f>J541</f>
        <v>50000</v>
      </c>
      <c r="D546" s="95">
        <f>J541/J544</f>
        <v>2083.3333333333335</v>
      </c>
      <c r="E546" s="95">
        <f>(C546*0.015)</f>
        <v>750</v>
      </c>
      <c r="F546" s="95">
        <f t="shared" ref="F546:F569" si="52">SUM(D546:E546)</f>
        <v>2833.3333333333335</v>
      </c>
      <c r="G546" s="95"/>
      <c r="H546" s="126"/>
      <c r="I546" s="96"/>
      <c r="J546" s="97"/>
      <c r="L546" s="94" t="s">
        <v>17</v>
      </c>
      <c r="M546" s="95">
        <f>T541</f>
        <v>50000</v>
      </c>
      <c r="N546" s="95">
        <f>T541/T544</f>
        <v>2083.3333333333335</v>
      </c>
      <c r="O546" s="95">
        <f>(M546*0.015)</f>
        <v>750</v>
      </c>
      <c r="P546" s="95">
        <f t="shared" ref="P546:P569" si="53">SUM(N546:O546)</f>
        <v>2833.3333333333335</v>
      </c>
      <c r="Q546" s="95"/>
      <c r="R546" s="126"/>
      <c r="S546" s="96"/>
      <c r="T546" s="97"/>
    </row>
    <row r="547" spans="1:20" x14ac:dyDescent="0.3">
      <c r="A547" s="1"/>
      <c r="B547" s="98" t="s">
        <v>18</v>
      </c>
      <c r="C547" s="99">
        <v>47909</v>
      </c>
      <c r="D547" s="99">
        <v>2083</v>
      </c>
      <c r="E547" s="99">
        <f t="shared" ref="E547:E569" si="54">(C547*0.015)</f>
        <v>718.63499999999999</v>
      </c>
      <c r="F547" s="99">
        <f t="shared" si="52"/>
        <v>2801.6350000000002</v>
      </c>
      <c r="G547" s="99"/>
      <c r="H547" s="127"/>
      <c r="I547" s="100"/>
      <c r="J547" s="101"/>
      <c r="L547" s="98" t="s">
        <v>18</v>
      </c>
      <c r="M547" s="99">
        <v>47909</v>
      </c>
      <c r="N547" s="99">
        <v>2083</v>
      </c>
      <c r="O547" s="99">
        <f t="shared" ref="O547:O569" si="55">(M547*0.015)</f>
        <v>718.63499999999999</v>
      </c>
      <c r="P547" s="99">
        <f t="shared" si="53"/>
        <v>2801.6350000000002</v>
      </c>
      <c r="Q547" s="99"/>
      <c r="R547" s="127"/>
      <c r="S547" s="100"/>
      <c r="T547" s="101"/>
    </row>
    <row r="548" spans="1:20" x14ac:dyDescent="0.3">
      <c r="B548" s="98" t="s">
        <v>19</v>
      </c>
      <c r="C548" s="99">
        <v>45826</v>
      </c>
      <c r="D548" s="99">
        <v>2083</v>
      </c>
      <c r="E548" s="99">
        <f t="shared" si="54"/>
        <v>687.39</v>
      </c>
      <c r="F548" s="99">
        <f t="shared" si="52"/>
        <v>2770.39</v>
      </c>
      <c r="G548" s="99"/>
      <c r="H548" s="127"/>
      <c r="I548" s="100"/>
      <c r="J548" s="101"/>
      <c r="L548" s="98" t="s">
        <v>19</v>
      </c>
      <c r="M548" s="99">
        <v>45826</v>
      </c>
      <c r="N548" s="99">
        <v>2083</v>
      </c>
      <c r="O548" s="99">
        <f t="shared" si="55"/>
        <v>687.39</v>
      </c>
      <c r="P548" s="99">
        <f t="shared" si="53"/>
        <v>2770.39</v>
      </c>
      <c r="Q548" s="99"/>
      <c r="R548" s="127"/>
      <c r="S548" s="100"/>
      <c r="T548" s="101"/>
    </row>
    <row r="549" spans="1:20" ht="15" thickBot="1" x14ac:dyDescent="0.35">
      <c r="B549" s="98" t="s">
        <v>20</v>
      </c>
      <c r="C549" s="99">
        <v>43743</v>
      </c>
      <c r="D549" s="99">
        <v>2083</v>
      </c>
      <c r="E549" s="99">
        <f t="shared" si="54"/>
        <v>656.14499999999998</v>
      </c>
      <c r="F549" s="99">
        <f t="shared" si="52"/>
        <v>2739.145</v>
      </c>
      <c r="G549" s="99"/>
      <c r="H549" s="127"/>
      <c r="I549" s="100"/>
      <c r="J549" s="101"/>
      <c r="L549" s="98" t="s">
        <v>20</v>
      </c>
      <c r="M549" s="99">
        <v>43743</v>
      </c>
      <c r="N549" s="99">
        <v>2083</v>
      </c>
      <c r="O549" s="99">
        <f t="shared" si="55"/>
        <v>656.14499999999998</v>
      </c>
      <c r="P549" s="99">
        <f t="shared" si="53"/>
        <v>2739.145</v>
      </c>
      <c r="Q549" s="99"/>
      <c r="R549" s="127"/>
      <c r="S549" s="100"/>
      <c r="T549" s="101"/>
    </row>
    <row r="550" spans="1:20" x14ac:dyDescent="0.3">
      <c r="B550" s="98" t="s">
        <v>21</v>
      </c>
      <c r="C550" s="99">
        <v>41660</v>
      </c>
      <c r="D550" s="95">
        <v>2083</v>
      </c>
      <c r="E550" s="99">
        <f t="shared" si="54"/>
        <v>624.9</v>
      </c>
      <c r="F550" s="99">
        <f t="shared" si="52"/>
        <v>2707.9</v>
      </c>
      <c r="G550" s="99"/>
      <c r="H550" s="99"/>
      <c r="I550" s="100"/>
      <c r="J550" s="101"/>
      <c r="L550" s="98" t="s">
        <v>21</v>
      </c>
      <c r="M550" s="99">
        <v>41660</v>
      </c>
      <c r="N550" s="95">
        <v>2083</v>
      </c>
      <c r="O550" s="99">
        <f t="shared" si="55"/>
        <v>624.9</v>
      </c>
      <c r="P550" s="99">
        <f t="shared" si="53"/>
        <v>2707.9</v>
      </c>
      <c r="Q550" s="99"/>
      <c r="R550" s="99"/>
      <c r="S550" s="100"/>
      <c r="T550" s="101"/>
    </row>
    <row r="551" spans="1:20" x14ac:dyDescent="0.3">
      <c r="B551" s="98" t="s">
        <v>23</v>
      </c>
      <c r="C551" s="99">
        <v>39577</v>
      </c>
      <c r="D551" s="99">
        <v>2083</v>
      </c>
      <c r="E551" s="99">
        <f t="shared" si="54"/>
        <v>593.65499999999997</v>
      </c>
      <c r="F551" s="99">
        <f t="shared" si="52"/>
        <v>2676.6549999999997</v>
      </c>
      <c r="G551" s="99"/>
      <c r="H551" s="99"/>
      <c r="I551" s="100"/>
      <c r="J551" s="101"/>
      <c r="L551" s="98" t="s">
        <v>23</v>
      </c>
      <c r="M551" s="99">
        <v>39577</v>
      </c>
      <c r="N551" s="99">
        <v>2083</v>
      </c>
      <c r="O551" s="99">
        <f t="shared" si="55"/>
        <v>593.65499999999997</v>
      </c>
      <c r="P551" s="99">
        <f t="shared" si="53"/>
        <v>2676.6549999999997</v>
      </c>
      <c r="Q551" s="99"/>
      <c r="R551" s="99"/>
      <c r="S551" s="100"/>
      <c r="T551" s="101"/>
    </row>
    <row r="552" spans="1:20" x14ac:dyDescent="0.3">
      <c r="B552" s="98" t="s">
        <v>24</v>
      </c>
      <c r="C552" s="99">
        <v>37494</v>
      </c>
      <c r="D552" s="99">
        <v>2083</v>
      </c>
      <c r="E552" s="99">
        <f t="shared" si="54"/>
        <v>562.41</v>
      </c>
      <c r="F552" s="99">
        <f t="shared" si="52"/>
        <v>2645.41</v>
      </c>
      <c r="G552" s="99"/>
      <c r="H552" s="99"/>
      <c r="I552" s="100"/>
      <c r="J552" s="101"/>
      <c r="L552" s="98" t="s">
        <v>24</v>
      </c>
      <c r="M552" s="99">
        <v>37494</v>
      </c>
      <c r="N552" s="99">
        <v>2083</v>
      </c>
      <c r="O552" s="99">
        <f t="shared" si="55"/>
        <v>562.41</v>
      </c>
      <c r="P552" s="99">
        <f t="shared" si="53"/>
        <v>2645.41</v>
      </c>
      <c r="Q552" s="99"/>
      <c r="R552" s="99"/>
      <c r="S552" s="100"/>
      <c r="T552" s="101"/>
    </row>
    <row r="553" spans="1:20" ht="15" thickBot="1" x14ac:dyDescent="0.35">
      <c r="B553" s="98" t="s">
        <v>25</v>
      </c>
      <c r="C553" s="99">
        <v>35411</v>
      </c>
      <c r="D553" s="99">
        <v>2083</v>
      </c>
      <c r="E553" s="99">
        <f t="shared" si="54"/>
        <v>531.16499999999996</v>
      </c>
      <c r="F553" s="99">
        <f t="shared" si="52"/>
        <v>2614.165</v>
      </c>
      <c r="G553" s="99"/>
      <c r="H553" s="99"/>
      <c r="I553" s="100"/>
      <c r="J553" s="101"/>
      <c r="L553" s="98" t="s">
        <v>25</v>
      </c>
      <c r="M553" s="99">
        <v>35411</v>
      </c>
      <c r="N553" s="99">
        <v>2083</v>
      </c>
      <c r="O553" s="99">
        <f t="shared" si="55"/>
        <v>531.16499999999996</v>
      </c>
      <c r="P553" s="99">
        <f t="shared" si="53"/>
        <v>2614.165</v>
      </c>
      <c r="Q553" s="99"/>
      <c r="R553" s="99"/>
      <c r="S553" s="100"/>
      <c r="T553" s="101"/>
    </row>
    <row r="554" spans="1:20" x14ac:dyDescent="0.3">
      <c r="B554" s="98" t="s">
        <v>26</v>
      </c>
      <c r="C554" s="99">
        <v>33328</v>
      </c>
      <c r="D554" s="95">
        <v>2083</v>
      </c>
      <c r="E554" s="99">
        <f t="shared" si="54"/>
        <v>499.91999999999996</v>
      </c>
      <c r="F554" s="99">
        <f t="shared" si="52"/>
        <v>2582.92</v>
      </c>
      <c r="G554" s="99"/>
      <c r="H554" s="99"/>
      <c r="I554" s="100"/>
      <c r="J554" s="101"/>
      <c r="L554" s="98" t="s">
        <v>26</v>
      </c>
      <c r="M554" s="99">
        <v>33328</v>
      </c>
      <c r="N554" s="95">
        <v>2083</v>
      </c>
      <c r="O554" s="99">
        <f t="shared" si="55"/>
        <v>499.91999999999996</v>
      </c>
      <c r="P554" s="99">
        <f t="shared" si="53"/>
        <v>2582.92</v>
      </c>
      <c r="Q554" s="99"/>
      <c r="R554" s="99"/>
      <c r="S554" s="100"/>
      <c r="T554" s="101"/>
    </row>
    <row r="555" spans="1:20" x14ac:dyDescent="0.3">
      <c r="B555" s="98" t="s">
        <v>27</v>
      </c>
      <c r="C555" s="99">
        <v>31245</v>
      </c>
      <c r="D555" s="99">
        <v>2083</v>
      </c>
      <c r="E555" s="99">
        <f t="shared" si="54"/>
        <v>468.67499999999995</v>
      </c>
      <c r="F555" s="99">
        <f t="shared" si="52"/>
        <v>2551.6750000000002</v>
      </c>
      <c r="G555" s="99"/>
      <c r="H555" s="99"/>
      <c r="I555" s="100"/>
      <c r="J555" s="101"/>
      <c r="L555" s="98" t="s">
        <v>27</v>
      </c>
      <c r="M555" s="99">
        <v>31245</v>
      </c>
      <c r="N555" s="99">
        <v>2083</v>
      </c>
      <c r="O555" s="99">
        <f t="shared" si="55"/>
        <v>468.67499999999995</v>
      </c>
      <c r="P555" s="99">
        <f t="shared" si="53"/>
        <v>2551.6750000000002</v>
      </c>
      <c r="Q555" s="99"/>
      <c r="R555" s="99"/>
      <c r="S555" s="100"/>
      <c r="T555" s="101"/>
    </row>
    <row r="556" spans="1:20" x14ac:dyDescent="0.3">
      <c r="B556" s="98" t="s">
        <v>28</v>
      </c>
      <c r="C556" s="99">
        <v>29162</v>
      </c>
      <c r="D556" s="99">
        <v>2083</v>
      </c>
      <c r="E556" s="99">
        <f t="shared" si="54"/>
        <v>437.43</v>
      </c>
      <c r="F556" s="99">
        <f t="shared" si="52"/>
        <v>2520.4299999999998</v>
      </c>
      <c r="G556" s="99"/>
      <c r="H556" s="99"/>
      <c r="I556" s="100"/>
      <c r="J556" s="101"/>
      <c r="L556" s="98" t="s">
        <v>28</v>
      </c>
      <c r="M556" s="99">
        <v>29162</v>
      </c>
      <c r="N556" s="99">
        <v>2083</v>
      </c>
      <c r="O556" s="99">
        <f t="shared" si="55"/>
        <v>437.43</v>
      </c>
      <c r="P556" s="99">
        <f t="shared" si="53"/>
        <v>2520.4299999999998</v>
      </c>
      <c r="Q556" s="99"/>
      <c r="R556" s="99"/>
      <c r="S556" s="100"/>
      <c r="T556" s="101"/>
    </row>
    <row r="557" spans="1:20" ht="15" thickBot="1" x14ac:dyDescent="0.35">
      <c r="B557" s="98" t="s">
        <v>29</v>
      </c>
      <c r="C557" s="99">
        <v>27079</v>
      </c>
      <c r="D557" s="99">
        <v>2083</v>
      </c>
      <c r="E557" s="99">
        <f t="shared" si="54"/>
        <v>406.185</v>
      </c>
      <c r="F557" s="99">
        <f t="shared" si="52"/>
        <v>2489.1849999999999</v>
      </c>
      <c r="G557" s="99"/>
      <c r="H557" s="99"/>
      <c r="I557" s="100"/>
      <c r="J557" s="101"/>
      <c r="L557" s="98" t="s">
        <v>29</v>
      </c>
      <c r="M557" s="99">
        <v>27079</v>
      </c>
      <c r="N557" s="99">
        <v>2083</v>
      </c>
      <c r="O557" s="99">
        <f t="shared" si="55"/>
        <v>406.185</v>
      </c>
      <c r="P557" s="99">
        <f t="shared" si="53"/>
        <v>2489.1849999999999</v>
      </c>
      <c r="Q557" s="99"/>
      <c r="R557" s="99"/>
      <c r="S557" s="100"/>
      <c r="T557" s="101"/>
    </row>
    <row r="558" spans="1:20" x14ac:dyDescent="0.3">
      <c r="B558" s="98" t="s">
        <v>30</v>
      </c>
      <c r="C558" s="99">
        <v>24996</v>
      </c>
      <c r="D558" s="95">
        <v>2083</v>
      </c>
      <c r="E558" s="99">
        <f t="shared" si="54"/>
        <v>374.94</v>
      </c>
      <c r="F558" s="99">
        <f t="shared" si="52"/>
        <v>2457.94</v>
      </c>
      <c r="G558" s="99"/>
      <c r="H558" s="99"/>
      <c r="I558" s="100"/>
      <c r="J558" s="101"/>
      <c r="L558" s="98" t="s">
        <v>30</v>
      </c>
      <c r="M558" s="99">
        <v>24996</v>
      </c>
      <c r="N558" s="95">
        <v>2083</v>
      </c>
      <c r="O558" s="99">
        <f t="shared" si="55"/>
        <v>374.94</v>
      </c>
      <c r="P558" s="99">
        <f t="shared" si="53"/>
        <v>2457.94</v>
      </c>
      <c r="Q558" s="99"/>
      <c r="R558" s="99"/>
      <c r="S558" s="100"/>
      <c r="T558" s="101"/>
    </row>
    <row r="559" spans="1:20" x14ac:dyDescent="0.3">
      <c r="B559" s="98" t="s">
        <v>31</v>
      </c>
      <c r="C559" s="99">
        <v>22913</v>
      </c>
      <c r="D559" s="99">
        <v>2083</v>
      </c>
      <c r="E559" s="99">
        <f t="shared" si="54"/>
        <v>343.69499999999999</v>
      </c>
      <c r="F559" s="99">
        <f t="shared" si="52"/>
        <v>2426.6950000000002</v>
      </c>
      <c r="G559" s="99"/>
      <c r="H559" s="99"/>
      <c r="I559" s="100"/>
      <c r="J559" s="101"/>
      <c r="L559" s="98" t="s">
        <v>31</v>
      </c>
      <c r="M559" s="99">
        <v>22913</v>
      </c>
      <c r="N559" s="99">
        <v>2083</v>
      </c>
      <c r="O559" s="99">
        <f t="shared" si="55"/>
        <v>343.69499999999999</v>
      </c>
      <c r="P559" s="99">
        <f t="shared" si="53"/>
        <v>2426.6950000000002</v>
      </c>
      <c r="Q559" s="99"/>
      <c r="R559" s="99"/>
      <c r="S559" s="100"/>
      <c r="T559" s="101"/>
    </row>
    <row r="560" spans="1:20" x14ac:dyDescent="0.3">
      <c r="B560" s="98" t="s">
        <v>32</v>
      </c>
      <c r="C560" s="99">
        <v>20830</v>
      </c>
      <c r="D560" s="99">
        <v>2083</v>
      </c>
      <c r="E560" s="99">
        <f t="shared" si="54"/>
        <v>312.45</v>
      </c>
      <c r="F560" s="99">
        <f t="shared" si="52"/>
        <v>2395.4499999999998</v>
      </c>
      <c r="G560" s="99"/>
      <c r="H560" s="99"/>
      <c r="I560" s="100"/>
      <c r="J560" s="101"/>
      <c r="L560" s="98" t="s">
        <v>32</v>
      </c>
      <c r="M560" s="99">
        <v>20830</v>
      </c>
      <c r="N560" s="99">
        <v>2083</v>
      </c>
      <c r="O560" s="99">
        <f t="shared" si="55"/>
        <v>312.45</v>
      </c>
      <c r="P560" s="99">
        <f t="shared" si="53"/>
        <v>2395.4499999999998</v>
      </c>
      <c r="Q560" s="99"/>
      <c r="R560" s="99"/>
      <c r="S560" s="100"/>
      <c r="T560" s="101"/>
    </row>
    <row r="561" spans="1:20" ht="15" thickBot="1" x14ac:dyDescent="0.35">
      <c r="B561" s="98" t="s">
        <v>33</v>
      </c>
      <c r="C561" s="99">
        <v>18747</v>
      </c>
      <c r="D561" s="99">
        <v>2083</v>
      </c>
      <c r="E561" s="99">
        <f t="shared" si="54"/>
        <v>281.20499999999998</v>
      </c>
      <c r="F561" s="99">
        <f t="shared" si="52"/>
        <v>2364.2049999999999</v>
      </c>
      <c r="G561" s="99"/>
      <c r="H561" s="99"/>
      <c r="I561" s="100"/>
      <c r="J561" s="101"/>
      <c r="L561" s="98" t="s">
        <v>33</v>
      </c>
      <c r="M561" s="99">
        <v>18747</v>
      </c>
      <c r="N561" s="99">
        <v>2083</v>
      </c>
      <c r="O561" s="99">
        <f t="shared" si="55"/>
        <v>281.20499999999998</v>
      </c>
      <c r="P561" s="99">
        <f t="shared" si="53"/>
        <v>2364.2049999999999</v>
      </c>
      <c r="Q561" s="99"/>
      <c r="R561" s="99"/>
      <c r="S561" s="100"/>
      <c r="T561" s="101"/>
    </row>
    <row r="562" spans="1:20" x14ac:dyDescent="0.3">
      <c r="B562" s="98" t="s">
        <v>34</v>
      </c>
      <c r="C562" s="99">
        <v>16664</v>
      </c>
      <c r="D562" s="95">
        <v>2083</v>
      </c>
      <c r="E562" s="99">
        <f t="shared" si="54"/>
        <v>249.95999999999998</v>
      </c>
      <c r="F562" s="99">
        <f t="shared" si="52"/>
        <v>2332.96</v>
      </c>
      <c r="G562" s="99"/>
      <c r="H562" s="99"/>
      <c r="I562" s="100"/>
      <c r="J562" s="101"/>
      <c r="L562" s="98" t="s">
        <v>34</v>
      </c>
      <c r="M562" s="99">
        <v>16664</v>
      </c>
      <c r="N562" s="95">
        <v>2083</v>
      </c>
      <c r="O562" s="99">
        <f t="shared" si="55"/>
        <v>249.95999999999998</v>
      </c>
      <c r="P562" s="99">
        <f t="shared" si="53"/>
        <v>2332.96</v>
      </c>
      <c r="Q562" s="99"/>
      <c r="R562" s="99"/>
      <c r="S562" s="100"/>
      <c r="T562" s="101"/>
    </row>
    <row r="563" spans="1:20" ht="15" thickBot="1" x14ac:dyDescent="0.35">
      <c r="B563" s="98" t="s">
        <v>35</v>
      </c>
      <c r="C563" s="99">
        <v>14581</v>
      </c>
      <c r="D563" s="99">
        <v>2083</v>
      </c>
      <c r="E563" s="99">
        <f t="shared" si="54"/>
        <v>218.715</v>
      </c>
      <c r="F563" s="99">
        <f t="shared" si="52"/>
        <v>2301.7150000000001</v>
      </c>
      <c r="G563" s="99"/>
      <c r="H563" s="99"/>
      <c r="I563" s="100"/>
      <c r="J563" s="101"/>
      <c r="L563" s="98" t="s">
        <v>35</v>
      </c>
      <c r="M563" s="99">
        <v>14581</v>
      </c>
      <c r="N563" s="99">
        <v>2083</v>
      </c>
      <c r="O563" s="99">
        <f t="shared" si="55"/>
        <v>218.715</v>
      </c>
      <c r="P563" s="99">
        <f t="shared" si="53"/>
        <v>2301.7150000000001</v>
      </c>
      <c r="Q563" s="99"/>
      <c r="R563" s="99"/>
      <c r="S563" s="100"/>
      <c r="T563" s="101"/>
    </row>
    <row r="564" spans="1:20" x14ac:dyDescent="0.3">
      <c r="B564" s="98" t="s">
        <v>36</v>
      </c>
      <c r="C564" s="99">
        <v>12498</v>
      </c>
      <c r="D564" s="95">
        <v>2083</v>
      </c>
      <c r="E564" s="99">
        <f t="shared" si="54"/>
        <v>187.47</v>
      </c>
      <c r="F564" s="99">
        <f t="shared" si="52"/>
        <v>2270.4699999999998</v>
      </c>
      <c r="G564" s="99"/>
      <c r="H564" s="99"/>
      <c r="I564" s="100"/>
      <c r="J564" s="101"/>
      <c r="L564" s="98" t="s">
        <v>36</v>
      </c>
      <c r="M564" s="99">
        <v>12498</v>
      </c>
      <c r="N564" s="95">
        <v>2083</v>
      </c>
      <c r="O564" s="99">
        <f t="shared" si="55"/>
        <v>187.47</v>
      </c>
      <c r="P564" s="99">
        <f t="shared" si="53"/>
        <v>2270.4699999999998</v>
      </c>
      <c r="Q564" s="99"/>
      <c r="R564" s="99"/>
      <c r="S564" s="100"/>
      <c r="T564" s="101"/>
    </row>
    <row r="565" spans="1:20" x14ac:dyDescent="0.3">
      <c r="B565" s="98" t="s">
        <v>37</v>
      </c>
      <c r="C565" s="99">
        <v>10415</v>
      </c>
      <c r="D565" s="99">
        <v>2083</v>
      </c>
      <c r="E565" s="99">
        <f t="shared" si="54"/>
        <v>156.22499999999999</v>
      </c>
      <c r="F565" s="99">
        <f t="shared" si="52"/>
        <v>2239.2249999999999</v>
      </c>
      <c r="G565" s="99"/>
      <c r="H565" s="99"/>
      <c r="I565" s="100"/>
      <c r="J565" s="101"/>
      <c r="L565" s="98" t="s">
        <v>37</v>
      </c>
      <c r="M565" s="99">
        <v>10415</v>
      </c>
      <c r="N565" s="99">
        <v>2083</v>
      </c>
      <c r="O565" s="99">
        <f t="shared" si="55"/>
        <v>156.22499999999999</v>
      </c>
      <c r="P565" s="99">
        <f t="shared" si="53"/>
        <v>2239.2249999999999</v>
      </c>
      <c r="Q565" s="99"/>
      <c r="R565" s="99"/>
      <c r="S565" s="100"/>
      <c r="T565" s="101"/>
    </row>
    <row r="566" spans="1:20" x14ac:dyDescent="0.3">
      <c r="B566" s="98" t="s">
        <v>38</v>
      </c>
      <c r="C566" s="99">
        <v>8332</v>
      </c>
      <c r="D566" s="99">
        <v>2083</v>
      </c>
      <c r="E566" s="99">
        <f t="shared" si="54"/>
        <v>124.97999999999999</v>
      </c>
      <c r="F566" s="99">
        <f t="shared" si="52"/>
        <v>2207.98</v>
      </c>
      <c r="G566" s="99"/>
      <c r="H566" s="99"/>
      <c r="I566" s="100"/>
      <c r="J566" s="101"/>
      <c r="L566" s="98" t="s">
        <v>38</v>
      </c>
      <c r="M566" s="99">
        <v>8332</v>
      </c>
      <c r="N566" s="99">
        <v>2083</v>
      </c>
      <c r="O566" s="99">
        <f t="shared" si="55"/>
        <v>124.97999999999999</v>
      </c>
      <c r="P566" s="99">
        <f t="shared" si="53"/>
        <v>2207.98</v>
      </c>
      <c r="Q566" s="99"/>
      <c r="R566" s="99"/>
      <c r="S566" s="100"/>
      <c r="T566" s="101"/>
    </row>
    <row r="567" spans="1:20" ht="15" thickBot="1" x14ac:dyDescent="0.35">
      <c r="B567" s="98" t="s">
        <v>39</v>
      </c>
      <c r="C567" s="99">
        <v>6249</v>
      </c>
      <c r="D567" s="99">
        <v>2083</v>
      </c>
      <c r="E567" s="99">
        <f t="shared" si="54"/>
        <v>93.734999999999999</v>
      </c>
      <c r="F567" s="99">
        <f t="shared" si="52"/>
        <v>2176.7350000000001</v>
      </c>
      <c r="G567" s="99"/>
      <c r="H567" s="99"/>
      <c r="I567" s="100"/>
      <c r="J567" s="101"/>
      <c r="L567" s="98" t="s">
        <v>39</v>
      </c>
      <c r="M567" s="99">
        <v>6249</v>
      </c>
      <c r="N567" s="99">
        <v>2083</v>
      </c>
      <c r="O567" s="99">
        <f t="shared" si="55"/>
        <v>93.734999999999999</v>
      </c>
      <c r="P567" s="99">
        <f t="shared" si="53"/>
        <v>2176.7350000000001</v>
      </c>
      <c r="Q567" s="99"/>
      <c r="R567" s="99"/>
      <c r="S567" s="100"/>
      <c r="T567" s="101"/>
    </row>
    <row r="568" spans="1:20" x14ac:dyDescent="0.3">
      <c r="B568" s="98" t="s">
        <v>40</v>
      </c>
      <c r="C568" s="99">
        <v>4166</v>
      </c>
      <c r="D568" s="95">
        <v>2083</v>
      </c>
      <c r="E568" s="99">
        <f t="shared" si="54"/>
        <v>62.489999999999995</v>
      </c>
      <c r="F568" s="99">
        <f t="shared" si="52"/>
        <v>2145.4899999999998</v>
      </c>
      <c r="G568" s="99"/>
      <c r="H568" s="99"/>
      <c r="I568" s="100"/>
      <c r="J568" s="101"/>
      <c r="L568" s="98" t="s">
        <v>40</v>
      </c>
      <c r="M568" s="99">
        <v>4166</v>
      </c>
      <c r="N568" s="95">
        <v>2083</v>
      </c>
      <c r="O568" s="99">
        <f t="shared" si="55"/>
        <v>62.489999999999995</v>
      </c>
      <c r="P568" s="99">
        <f t="shared" si="53"/>
        <v>2145.4899999999998</v>
      </c>
      <c r="Q568" s="99"/>
      <c r="R568" s="99"/>
      <c r="S568" s="100"/>
      <c r="T568" s="101"/>
    </row>
    <row r="569" spans="1:20" ht="15" thickBot="1" x14ac:dyDescent="0.35">
      <c r="B569" s="103" t="s">
        <v>41</v>
      </c>
      <c r="C569" s="102">
        <v>2083</v>
      </c>
      <c r="D569" s="99">
        <v>2083</v>
      </c>
      <c r="E569" s="102">
        <f t="shared" si="54"/>
        <v>31.244999999999997</v>
      </c>
      <c r="F569" s="102">
        <f t="shared" si="52"/>
        <v>2114.2449999999999</v>
      </c>
      <c r="G569" s="102"/>
      <c r="H569" s="102"/>
      <c r="I569" s="104"/>
      <c r="J569" s="105" t="s">
        <v>42</v>
      </c>
      <c r="L569" s="103" t="s">
        <v>41</v>
      </c>
      <c r="M569" s="102">
        <v>2083</v>
      </c>
      <c r="N569" s="99">
        <v>2083</v>
      </c>
      <c r="O569" s="102">
        <f t="shared" si="55"/>
        <v>31.244999999999997</v>
      </c>
      <c r="P569" s="102">
        <f t="shared" si="53"/>
        <v>2114.2449999999999</v>
      </c>
      <c r="Q569" s="102"/>
      <c r="R569" s="102"/>
      <c r="S569" s="104"/>
      <c r="T569" s="105" t="s">
        <v>42</v>
      </c>
    </row>
    <row r="570" spans="1:20" x14ac:dyDescent="0.3">
      <c r="E570" s="38">
        <f>SUM(E546:E569)</f>
        <v>9373.6200000000008</v>
      </c>
      <c r="F570" s="38">
        <f>SUM(F546:F569)</f>
        <v>59365.953333333338</v>
      </c>
      <c r="G570" s="38"/>
    </row>
    <row r="572" spans="1:20" x14ac:dyDescent="0.3">
      <c r="A572" s="1"/>
      <c r="B572" s="77" t="s">
        <v>0</v>
      </c>
      <c r="C572" s="77"/>
      <c r="D572" s="112"/>
      <c r="E572" s="112"/>
      <c r="F572" s="79"/>
      <c r="G572" s="80"/>
      <c r="I572" s="81" t="s">
        <v>1</v>
      </c>
      <c r="J572" s="82">
        <v>30000</v>
      </c>
      <c r="K572" s="1"/>
      <c r="L572" s="77" t="s">
        <v>0</v>
      </c>
      <c r="M572" s="77"/>
      <c r="N572" s="112"/>
      <c r="O572" s="112"/>
      <c r="P572" s="79"/>
      <c r="Q572" s="80"/>
      <c r="S572" s="81" t="s">
        <v>1</v>
      </c>
      <c r="T572" s="82">
        <v>65000</v>
      </c>
    </row>
    <row r="573" spans="1:20" x14ac:dyDescent="0.3">
      <c r="A573" s="1"/>
      <c r="B573" s="77" t="s">
        <v>2</v>
      </c>
      <c r="C573" s="83"/>
      <c r="D573" s="79"/>
      <c r="E573" s="83"/>
      <c r="F573" s="81"/>
      <c r="G573" s="81"/>
      <c r="H573" s="84"/>
      <c r="I573" s="81" t="s">
        <v>3</v>
      </c>
      <c r="J573" s="85"/>
      <c r="K573" s="1"/>
      <c r="L573" s="77" t="s">
        <v>2</v>
      </c>
      <c r="M573" s="83"/>
      <c r="N573" s="79"/>
      <c r="O573" s="83"/>
      <c r="P573" s="81"/>
      <c r="Q573" s="81"/>
      <c r="R573" s="84"/>
      <c r="S573" s="81" t="s">
        <v>3</v>
      </c>
      <c r="T573" s="85"/>
    </row>
    <row r="574" spans="1:20" x14ac:dyDescent="0.3">
      <c r="A574" s="1"/>
      <c r="B574" s="77" t="s">
        <v>4</v>
      </c>
      <c r="C574" s="78"/>
      <c r="D574" s="79"/>
      <c r="E574" s="78"/>
      <c r="F574" s="81"/>
      <c r="G574" s="81"/>
      <c r="H574" s="81"/>
      <c r="I574" s="81" t="s">
        <v>5</v>
      </c>
      <c r="J574" s="86">
        <v>1.4999999999999999E-2</v>
      </c>
      <c r="K574" s="1"/>
      <c r="L574" s="77" t="s">
        <v>4</v>
      </c>
      <c r="M574" s="78"/>
      <c r="N574" s="79"/>
      <c r="O574" s="78"/>
      <c r="P574" s="81"/>
      <c r="Q574" s="81"/>
      <c r="R574" s="81"/>
      <c r="S574" s="81" t="s">
        <v>5</v>
      </c>
      <c r="T574" s="86">
        <v>1.4999999999999999E-2</v>
      </c>
    </row>
    <row r="575" spans="1:20" ht="15" thickBot="1" x14ac:dyDescent="0.35">
      <c r="A575" s="1"/>
      <c r="B575" s="77" t="s">
        <v>6</v>
      </c>
      <c r="C575" s="87"/>
      <c r="D575" s="87"/>
      <c r="E575" s="88"/>
      <c r="F575" s="88"/>
      <c r="G575" s="88"/>
      <c r="H575" s="88"/>
      <c r="I575" s="88" t="s">
        <v>7</v>
      </c>
      <c r="J575" s="78">
        <v>24</v>
      </c>
      <c r="K575" s="1"/>
      <c r="L575" s="77" t="s">
        <v>6</v>
      </c>
      <c r="M575" s="87"/>
      <c r="N575" s="87"/>
      <c r="O575" s="88"/>
      <c r="P575" s="88"/>
      <c r="Q575" s="88"/>
      <c r="R575" s="88"/>
      <c r="S575" s="88" t="s">
        <v>7</v>
      </c>
      <c r="T575" s="78">
        <v>24</v>
      </c>
    </row>
    <row r="576" spans="1:20" ht="51.6" thickBot="1" x14ac:dyDescent="0.35">
      <c r="A576" s="1"/>
      <c r="B576" s="89" t="s">
        <v>8</v>
      </c>
      <c r="C576" s="89" t="s">
        <v>9</v>
      </c>
      <c r="D576" s="89" t="s">
        <v>10</v>
      </c>
      <c r="E576" s="90" t="s">
        <v>11</v>
      </c>
      <c r="F576" s="91" t="s">
        <v>12</v>
      </c>
      <c r="G576" s="92" t="s">
        <v>13</v>
      </c>
      <c r="H576" s="92" t="s">
        <v>14</v>
      </c>
      <c r="I576" s="92" t="s">
        <v>15</v>
      </c>
      <c r="J576" s="93" t="s">
        <v>16</v>
      </c>
      <c r="K576" s="1"/>
      <c r="L576" s="89" t="s">
        <v>8</v>
      </c>
      <c r="M576" s="89" t="s">
        <v>9</v>
      </c>
      <c r="N576" s="89" t="s">
        <v>10</v>
      </c>
      <c r="O576" s="90" t="s">
        <v>11</v>
      </c>
      <c r="P576" s="91" t="s">
        <v>12</v>
      </c>
      <c r="Q576" s="92" t="s">
        <v>13</v>
      </c>
      <c r="R576" s="92" t="s">
        <v>14</v>
      </c>
      <c r="S576" s="92" t="s">
        <v>15</v>
      </c>
      <c r="T576" s="93" t="s">
        <v>16</v>
      </c>
    </row>
    <row r="577" spans="1:20" x14ac:dyDescent="0.3">
      <c r="A577" s="1"/>
      <c r="B577" s="94" t="s">
        <v>17</v>
      </c>
      <c r="C577" s="95">
        <f>J572</f>
        <v>30000</v>
      </c>
      <c r="D577" s="95">
        <f>J572/J575</f>
        <v>1250</v>
      </c>
      <c r="E577" s="95">
        <f>(C577*0.015)</f>
        <v>450</v>
      </c>
      <c r="F577" s="95">
        <f t="shared" ref="F577:F600" si="56">SUM(D577:E577)</f>
        <v>1700</v>
      </c>
      <c r="G577" s="95"/>
      <c r="H577" s="126"/>
      <c r="I577" s="96"/>
      <c r="J577" s="97"/>
      <c r="K577" s="1"/>
      <c r="L577" s="94" t="s">
        <v>17</v>
      </c>
      <c r="M577" s="99">
        <v>65000</v>
      </c>
      <c r="N577" s="95">
        <f>T572/T575</f>
        <v>2708.3333333333335</v>
      </c>
      <c r="O577" s="95">
        <f>(M577*0.015)</f>
        <v>975</v>
      </c>
      <c r="P577" s="95">
        <f t="shared" ref="P577:P600" si="57">SUM(N577:O577)</f>
        <v>3683.3333333333335</v>
      </c>
      <c r="Q577" s="95"/>
      <c r="R577" s="126"/>
      <c r="S577" s="96"/>
      <c r="T577" s="97"/>
    </row>
    <row r="578" spans="1:20" x14ac:dyDescent="0.3">
      <c r="A578" s="1"/>
      <c r="B578" s="98" t="s">
        <v>18</v>
      </c>
      <c r="C578" s="99">
        <v>28750</v>
      </c>
      <c r="D578" s="99">
        <v>1250</v>
      </c>
      <c r="E578" s="99">
        <f t="shared" ref="E578:E600" si="58">(C578*0.015)</f>
        <v>431.25</v>
      </c>
      <c r="F578" s="99">
        <f t="shared" si="56"/>
        <v>1681.25</v>
      </c>
      <c r="G578" s="99"/>
      <c r="H578" s="127"/>
      <c r="I578" s="100"/>
      <c r="J578" s="101"/>
      <c r="K578" s="1"/>
      <c r="L578" s="98" t="s">
        <v>18</v>
      </c>
      <c r="M578" s="99">
        <v>62284</v>
      </c>
      <c r="N578" s="99">
        <v>2708</v>
      </c>
      <c r="O578" s="99">
        <f t="shared" ref="O578:O600" si="59">(M578*0.015)</f>
        <v>934.26</v>
      </c>
      <c r="P578" s="99">
        <f t="shared" si="57"/>
        <v>3642.26</v>
      </c>
      <c r="Q578" s="99"/>
      <c r="R578" s="127"/>
      <c r="S578" s="100"/>
      <c r="T578" s="101"/>
    </row>
    <row r="579" spans="1:20" ht="15" thickBot="1" x14ac:dyDescent="0.35">
      <c r="B579" s="98" t="s">
        <v>19</v>
      </c>
      <c r="C579" s="99">
        <v>27500</v>
      </c>
      <c r="D579" s="99">
        <v>1250</v>
      </c>
      <c r="E579" s="99">
        <f t="shared" si="58"/>
        <v>412.5</v>
      </c>
      <c r="F579" s="99">
        <f t="shared" si="56"/>
        <v>1662.5</v>
      </c>
      <c r="G579" s="99"/>
      <c r="H579" s="127"/>
      <c r="I579" s="100"/>
      <c r="J579" s="101"/>
      <c r="L579" s="98" t="s">
        <v>19</v>
      </c>
      <c r="M579" s="99">
        <v>59576</v>
      </c>
      <c r="N579" s="99">
        <v>2708</v>
      </c>
      <c r="O579" s="99">
        <f t="shared" si="59"/>
        <v>893.64</v>
      </c>
      <c r="P579" s="99">
        <f t="shared" si="57"/>
        <v>3601.64</v>
      </c>
      <c r="Q579" s="99"/>
      <c r="R579" s="127"/>
      <c r="S579" s="100"/>
      <c r="T579" s="101"/>
    </row>
    <row r="580" spans="1:20" ht="15" thickBot="1" x14ac:dyDescent="0.35">
      <c r="B580" s="98" t="s">
        <v>20</v>
      </c>
      <c r="C580" s="99">
        <v>26250</v>
      </c>
      <c r="D580" s="99">
        <v>1250</v>
      </c>
      <c r="E580" s="99">
        <f t="shared" si="58"/>
        <v>393.75</v>
      </c>
      <c r="F580" s="99">
        <f t="shared" si="56"/>
        <v>1643.75</v>
      </c>
      <c r="G580" s="99"/>
      <c r="H580" s="127"/>
      <c r="I580" s="100"/>
      <c r="J580" s="101"/>
      <c r="L580" s="98" t="s">
        <v>20</v>
      </c>
      <c r="M580" s="99">
        <v>56868</v>
      </c>
      <c r="N580" s="95">
        <v>2708</v>
      </c>
      <c r="O580" s="99">
        <f t="shared" si="59"/>
        <v>853.02</v>
      </c>
      <c r="P580" s="99">
        <f t="shared" si="57"/>
        <v>3561.02</v>
      </c>
      <c r="Q580" s="99"/>
      <c r="R580" s="127"/>
      <c r="S580" s="100"/>
      <c r="T580" s="101"/>
    </row>
    <row r="581" spans="1:20" x14ac:dyDescent="0.3">
      <c r="B581" s="98" t="s">
        <v>21</v>
      </c>
      <c r="C581" s="99">
        <v>25000</v>
      </c>
      <c r="D581" s="95">
        <v>1250</v>
      </c>
      <c r="E581" s="99">
        <f t="shared" si="58"/>
        <v>375</v>
      </c>
      <c r="F581" s="99">
        <f t="shared" si="56"/>
        <v>1625</v>
      </c>
      <c r="G581" s="99"/>
      <c r="H581" s="99"/>
      <c r="I581" s="100"/>
      <c r="J581" s="101"/>
      <c r="L581" s="98" t="s">
        <v>21</v>
      </c>
      <c r="M581" s="99">
        <v>54160</v>
      </c>
      <c r="N581" s="99">
        <v>2708</v>
      </c>
      <c r="O581" s="99">
        <f t="shared" si="59"/>
        <v>812.4</v>
      </c>
      <c r="P581" s="99">
        <f t="shared" si="57"/>
        <v>3520.4</v>
      </c>
      <c r="Q581" s="99"/>
      <c r="R581" s="99"/>
      <c r="S581" s="100"/>
      <c r="T581" s="101"/>
    </row>
    <row r="582" spans="1:20" ht="15" thickBot="1" x14ac:dyDescent="0.35">
      <c r="B582" s="98" t="s">
        <v>23</v>
      </c>
      <c r="C582" s="99">
        <v>23750</v>
      </c>
      <c r="D582" s="99">
        <v>1250</v>
      </c>
      <c r="E582" s="99">
        <f t="shared" si="58"/>
        <v>356.25</v>
      </c>
      <c r="F582" s="99">
        <f t="shared" si="56"/>
        <v>1606.25</v>
      </c>
      <c r="G582" s="99"/>
      <c r="H582" s="99"/>
      <c r="I582" s="100"/>
      <c r="J582" s="101"/>
      <c r="L582" s="98" t="s">
        <v>23</v>
      </c>
      <c r="M582" s="99">
        <v>51452</v>
      </c>
      <c r="N582" s="99">
        <v>2708</v>
      </c>
      <c r="O582" s="99">
        <f t="shared" si="59"/>
        <v>771.78</v>
      </c>
      <c r="P582" s="99">
        <f t="shared" si="57"/>
        <v>3479.7799999999997</v>
      </c>
      <c r="Q582" s="99"/>
      <c r="R582" s="99"/>
      <c r="S582" s="100"/>
      <c r="T582" s="101"/>
    </row>
    <row r="583" spans="1:20" ht="15" thickBot="1" x14ac:dyDescent="0.35">
      <c r="B583" s="98" t="s">
        <v>24</v>
      </c>
      <c r="C583" s="99">
        <v>22500</v>
      </c>
      <c r="D583" s="99">
        <v>1250</v>
      </c>
      <c r="E583" s="99">
        <f t="shared" si="58"/>
        <v>337.5</v>
      </c>
      <c r="F583" s="99">
        <f t="shared" si="56"/>
        <v>1587.5</v>
      </c>
      <c r="G583" s="99"/>
      <c r="H583" s="99"/>
      <c r="I583" s="100"/>
      <c r="J583" s="101"/>
      <c r="L583" s="98" t="s">
        <v>24</v>
      </c>
      <c r="M583" s="99">
        <v>48744</v>
      </c>
      <c r="N583" s="95">
        <v>2708</v>
      </c>
      <c r="O583" s="99">
        <f t="shared" si="59"/>
        <v>731.16</v>
      </c>
      <c r="P583" s="99">
        <f t="shared" si="57"/>
        <v>3439.16</v>
      </c>
      <c r="Q583" s="99"/>
      <c r="R583" s="99"/>
      <c r="S583" s="100"/>
      <c r="T583" s="101"/>
    </row>
    <row r="584" spans="1:20" ht="15" thickBot="1" x14ac:dyDescent="0.35">
      <c r="B584" s="98" t="s">
        <v>25</v>
      </c>
      <c r="C584" s="99">
        <v>21250</v>
      </c>
      <c r="D584" s="95">
        <v>1250</v>
      </c>
      <c r="E584" s="99">
        <f t="shared" si="58"/>
        <v>318.75</v>
      </c>
      <c r="F584" s="99">
        <f t="shared" si="56"/>
        <v>1568.75</v>
      </c>
      <c r="G584" s="99"/>
      <c r="H584" s="99"/>
      <c r="I584" s="100"/>
      <c r="J584" s="101"/>
      <c r="L584" s="98" t="s">
        <v>25</v>
      </c>
      <c r="M584" s="99">
        <v>46036</v>
      </c>
      <c r="N584" s="99">
        <v>2708</v>
      </c>
      <c r="O584" s="99">
        <f t="shared" si="59"/>
        <v>690.54</v>
      </c>
      <c r="P584" s="99">
        <f t="shared" si="57"/>
        <v>3398.54</v>
      </c>
      <c r="Q584" s="99"/>
      <c r="R584" s="99"/>
      <c r="S584" s="100"/>
      <c r="T584" s="101"/>
    </row>
    <row r="585" spans="1:20" ht="15" thickBot="1" x14ac:dyDescent="0.35">
      <c r="B585" s="98" t="s">
        <v>26</v>
      </c>
      <c r="C585" s="99">
        <v>20000</v>
      </c>
      <c r="D585" s="95">
        <v>1250</v>
      </c>
      <c r="E585" s="99">
        <f t="shared" si="58"/>
        <v>300</v>
      </c>
      <c r="F585" s="99">
        <f t="shared" si="56"/>
        <v>1550</v>
      </c>
      <c r="G585" s="99"/>
      <c r="H585" s="99"/>
      <c r="I585" s="100"/>
      <c r="J585" s="101"/>
      <c r="L585" s="98" t="s">
        <v>26</v>
      </c>
      <c r="M585" s="99">
        <v>43628</v>
      </c>
      <c r="N585" s="99">
        <v>2708</v>
      </c>
      <c r="O585" s="99">
        <f t="shared" si="59"/>
        <v>654.41999999999996</v>
      </c>
      <c r="P585" s="99">
        <f t="shared" si="57"/>
        <v>3362.42</v>
      </c>
      <c r="Q585" s="99"/>
      <c r="R585" s="99"/>
      <c r="S585" s="100"/>
      <c r="T585" s="101"/>
    </row>
    <row r="586" spans="1:20" ht="15" thickBot="1" x14ac:dyDescent="0.35">
      <c r="B586" s="98" t="s">
        <v>27</v>
      </c>
      <c r="C586" s="99">
        <v>18750</v>
      </c>
      <c r="D586" s="99">
        <v>1250</v>
      </c>
      <c r="E586" s="99">
        <f t="shared" si="58"/>
        <v>281.25</v>
      </c>
      <c r="F586" s="99">
        <f t="shared" si="56"/>
        <v>1531.25</v>
      </c>
      <c r="G586" s="99"/>
      <c r="H586" s="99"/>
      <c r="I586" s="100"/>
      <c r="J586" s="101"/>
      <c r="L586" s="98" t="s">
        <v>27</v>
      </c>
      <c r="M586" s="99">
        <v>40620</v>
      </c>
      <c r="N586" s="95">
        <v>2708</v>
      </c>
      <c r="O586" s="99">
        <f t="shared" si="59"/>
        <v>609.29999999999995</v>
      </c>
      <c r="P586" s="99">
        <f t="shared" si="57"/>
        <v>3317.3</v>
      </c>
      <c r="Q586" s="99"/>
      <c r="R586" s="99"/>
      <c r="S586" s="100"/>
      <c r="T586" s="101"/>
    </row>
    <row r="587" spans="1:20" x14ac:dyDescent="0.3">
      <c r="B587" s="98" t="s">
        <v>28</v>
      </c>
      <c r="C587" s="99">
        <v>17500</v>
      </c>
      <c r="D587" s="99">
        <v>1250</v>
      </c>
      <c r="E587" s="99">
        <f t="shared" si="58"/>
        <v>262.5</v>
      </c>
      <c r="F587" s="99">
        <f t="shared" si="56"/>
        <v>1512.5</v>
      </c>
      <c r="G587" s="99"/>
      <c r="H587" s="99"/>
      <c r="I587" s="100"/>
      <c r="J587" s="101"/>
      <c r="L587" s="98" t="s">
        <v>28</v>
      </c>
      <c r="M587" s="99">
        <v>37912</v>
      </c>
      <c r="N587" s="95">
        <v>2708</v>
      </c>
      <c r="O587" s="99">
        <f t="shared" si="59"/>
        <v>568.67999999999995</v>
      </c>
      <c r="P587" s="99">
        <f t="shared" si="57"/>
        <v>3276.68</v>
      </c>
      <c r="Q587" s="99"/>
      <c r="R587" s="99"/>
      <c r="S587" s="100"/>
      <c r="T587" s="101"/>
    </row>
    <row r="588" spans="1:20" ht="15" thickBot="1" x14ac:dyDescent="0.35">
      <c r="B588" s="98" t="s">
        <v>29</v>
      </c>
      <c r="C588" s="99">
        <v>16250</v>
      </c>
      <c r="D588" s="99">
        <v>1250</v>
      </c>
      <c r="E588" s="99">
        <f t="shared" si="58"/>
        <v>243.75</v>
      </c>
      <c r="F588" s="99">
        <f t="shared" si="56"/>
        <v>1493.75</v>
      </c>
      <c r="G588" s="99"/>
      <c r="H588" s="99"/>
      <c r="I588" s="100"/>
      <c r="J588" s="101"/>
      <c r="L588" s="98" t="s">
        <v>29</v>
      </c>
      <c r="M588" s="99">
        <v>35204</v>
      </c>
      <c r="N588" s="99">
        <v>2708</v>
      </c>
      <c r="O588" s="99">
        <f t="shared" si="59"/>
        <v>528.05999999999995</v>
      </c>
      <c r="P588" s="99">
        <f t="shared" si="57"/>
        <v>3236.06</v>
      </c>
      <c r="Q588" s="99"/>
      <c r="R588" s="99"/>
      <c r="S588" s="100"/>
      <c r="T588" s="101"/>
    </row>
    <row r="589" spans="1:20" ht="15" thickBot="1" x14ac:dyDescent="0.35">
      <c r="B589" s="98" t="s">
        <v>30</v>
      </c>
      <c r="C589" s="99">
        <v>15000</v>
      </c>
      <c r="D589" s="95">
        <v>1250</v>
      </c>
      <c r="E589" s="99">
        <f t="shared" si="58"/>
        <v>225</v>
      </c>
      <c r="F589" s="99">
        <f t="shared" si="56"/>
        <v>1475</v>
      </c>
      <c r="G589" s="99"/>
      <c r="H589" s="99"/>
      <c r="I589" s="100"/>
      <c r="J589" s="101"/>
      <c r="L589" s="98" t="s">
        <v>30</v>
      </c>
      <c r="M589" s="99">
        <v>32496</v>
      </c>
      <c r="N589" s="99">
        <v>2708</v>
      </c>
      <c r="O589" s="99">
        <f t="shared" si="59"/>
        <v>487.44</v>
      </c>
      <c r="P589" s="99">
        <f t="shared" si="57"/>
        <v>3195.44</v>
      </c>
      <c r="Q589" s="99"/>
      <c r="R589" s="99"/>
      <c r="S589" s="100"/>
      <c r="T589" s="101"/>
    </row>
    <row r="590" spans="1:20" x14ac:dyDescent="0.3">
      <c r="B590" s="98" t="s">
        <v>31</v>
      </c>
      <c r="C590" s="99">
        <v>13750</v>
      </c>
      <c r="D590" s="99">
        <v>1250</v>
      </c>
      <c r="E590" s="99">
        <f t="shared" si="58"/>
        <v>206.25</v>
      </c>
      <c r="F590" s="99">
        <f t="shared" si="56"/>
        <v>1456.25</v>
      </c>
      <c r="G590" s="99"/>
      <c r="H590" s="99"/>
      <c r="I590" s="100"/>
      <c r="J590" s="101"/>
      <c r="L590" s="98" t="s">
        <v>31</v>
      </c>
      <c r="M590" s="99">
        <v>29788</v>
      </c>
      <c r="N590" s="95">
        <v>2708</v>
      </c>
      <c r="O590" s="99">
        <f t="shared" si="59"/>
        <v>446.82</v>
      </c>
      <c r="P590" s="99">
        <f t="shared" si="57"/>
        <v>3154.82</v>
      </c>
      <c r="Q590" s="99"/>
      <c r="R590" s="99"/>
      <c r="S590" s="100"/>
      <c r="T590" s="101"/>
    </row>
    <row r="591" spans="1:20" ht="15" thickBot="1" x14ac:dyDescent="0.35">
      <c r="B591" s="98" t="s">
        <v>32</v>
      </c>
      <c r="C591" s="99">
        <v>12500</v>
      </c>
      <c r="D591" s="99">
        <v>1250</v>
      </c>
      <c r="E591" s="99">
        <f t="shared" si="58"/>
        <v>187.5</v>
      </c>
      <c r="F591" s="99">
        <f t="shared" si="56"/>
        <v>1437.5</v>
      </c>
      <c r="G591" s="99"/>
      <c r="H591" s="99"/>
      <c r="I591" s="100"/>
      <c r="J591" s="101"/>
      <c r="L591" s="98" t="s">
        <v>32</v>
      </c>
      <c r="M591" s="99">
        <v>27080</v>
      </c>
      <c r="N591" s="99">
        <v>2708</v>
      </c>
      <c r="O591" s="99">
        <f t="shared" si="59"/>
        <v>406.2</v>
      </c>
      <c r="P591" s="99">
        <f t="shared" si="57"/>
        <v>3114.2</v>
      </c>
      <c r="Q591" s="99"/>
      <c r="R591" s="99"/>
      <c r="S591" s="100"/>
      <c r="T591" s="101"/>
    </row>
    <row r="592" spans="1:20" ht="15" thickBot="1" x14ac:dyDescent="0.35">
      <c r="B592" s="98" t="s">
        <v>33</v>
      </c>
      <c r="C592" s="99">
        <v>11250</v>
      </c>
      <c r="D592" s="95">
        <v>1250</v>
      </c>
      <c r="E592" s="99">
        <f t="shared" si="58"/>
        <v>168.75</v>
      </c>
      <c r="F592" s="99">
        <f t="shared" si="56"/>
        <v>1418.75</v>
      </c>
      <c r="G592" s="99"/>
      <c r="H592" s="99"/>
      <c r="I592" s="100"/>
      <c r="J592" s="101"/>
      <c r="L592" s="98" t="s">
        <v>33</v>
      </c>
      <c r="M592" s="99">
        <v>24372</v>
      </c>
      <c r="N592" s="99">
        <v>2708</v>
      </c>
      <c r="O592" s="99">
        <f t="shared" si="59"/>
        <v>365.58</v>
      </c>
      <c r="P592" s="99">
        <f t="shared" si="57"/>
        <v>3073.58</v>
      </c>
      <c r="Q592" s="99"/>
      <c r="R592" s="99"/>
      <c r="S592" s="100"/>
      <c r="T592" s="101"/>
    </row>
    <row r="593" spans="1:20" x14ac:dyDescent="0.3">
      <c r="B593" s="98" t="s">
        <v>34</v>
      </c>
      <c r="C593" s="99">
        <v>10000</v>
      </c>
      <c r="D593" s="99">
        <v>1250</v>
      </c>
      <c r="E593" s="99">
        <f t="shared" si="58"/>
        <v>150</v>
      </c>
      <c r="F593" s="99">
        <f t="shared" si="56"/>
        <v>1400</v>
      </c>
      <c r="G593" s="99"/>
      <c r="H593" s="99"/>
      <c r="I593" s="100"/>
      <c r="J593" s="101"/>
      <c r="L593" s="98" t="s">
        <v>34</v>
      </c>
      <c r="M593" s="99">
        <v>21664</v>
      </c>
      <c r="N593" s="95">
        <v>2708</v>
      </c>
      <c r="O593" s="99">
        <f t="shared" si="59"/>
        <v>324.95999999999998</v>
      </c>
      <c r="P593" s="99">
        <f t="shared" si="57"/>
        <v>3032.96</v>
      </c>
      <c r="Q593" s="99"/>
      <c r="R593" s="99"/>
      <c r="S593" s="100"/>
      <c r="T593" s="101"/>
    </row>
    <row r="594" spans="1:20" x14ac:dyDescent="0.3">
      <c r="B594" s="98" t="s">
        <v>35</v>
      </c>
      <c r="C594" s="99">
        <v>8750</v>
      </c>
      <c r="D594" s="99">
        <v>1250</v>
      </c>
      <c r="E594" s="99">
        <f t="shared" si="58"/>
        <v>131.25</v>
      </c>
      <c r="F594" s="99">
        <f t="shared" si="56"/>
        <v>1381.25</v>
      </c>
      <c r="G594" s="99"/>
      <c r="H594" s="99"/>
      <c r="I594" s="100"/>
      <c r="J594" s="101"/>
      <c r="L594" s="98" t="s">
        <v>35</v>
      </c>
      <c r="M594" s="99">
        <v>18956</v>
      </c>
      <c r="N594" s="99">
        <v>2708</v>
      </c>
      <c r="O594" s="99">
        <f t="shared" si="59"/>
        <v>284.33999999999997</v>
      </c>
      <c r="P594" s="99">
        <f t="shared" si="57"/>
        <v>2992.34</v>
      </c>
      <c r="Q594" s="99"/>
      <c r="R594" s="99"/>
      <c r="S594" s="100"/>
      <c r="T594" s="101"/>
    </row>
    <row r="595" spans="1:20" ht="15" thickBot="1" x14ac:dyDescent="0.35">
      <c r="B595" s="98" t="s">
        <v>36</v>
      </c>
      <c r="C595" s="99">
        <v>7500</v>
      </c>
      <c r="D595" s="99">
        <v>1250</v>
      </c>
      <c r="E595" s="99">
        <f t="shared" si="58"/>
        <v>112.5</v>
      </c>
      <c r="F595" s="99">
        <f t="shared" si="56"/>
        <v>1362.5</v>
      </c>
      <c r="G595" s="99"/>
      <c r="H595" s="99"/>
      <c r="I595" s="100"/>
      <c r="J595" s="101"/>
      <c r="L595" s="98" t="s">
        <v>36</v>
      </c>
      <c r="M595" s="99">
        <v>16248</v>
      </c>
      <c r="N595" s="99">
        <v>2708</v>
      </c>
      <c r="O595" s="99">
        <f t="shared" si="59"/>
        <v>243.72</v>
      </c>
      <c r="P595" s="99">
        <f t="shared" si="57"/>
        <v>2951.72</v>
      </c>
      <c r="Q595" s="99"/>
      <c r="R595" s="99"/>
      <c r="S595" s="100"/>
      <c r="T595" s="101"/>
    </row>
    <row r="596" spans="1:20" ht="15" thickBot="1" x14ac:dyDescent="0.35">
      <c r="B596" s="98" t="s">
        <v>37</v>
      </c>
      <c r="C596" s="99">
        <v>6250</v>
      </c>
      <c r="D596" s="95">
        <v>1250</v>
      </c>
      <c r="E596" s="99">
        <f t="shared" si="58"/>
        <v>93.75</v>
      </c>
      <c r="F596" s="99">
        <f t="shared" si="56"/>
        <v>1343.75</v>
      </c>
      <c r="G596" s="99"/>
      <c r="H596" s="99"/>
      <c r="I596" s="100"/>
      <c r="J596" s="101"/>
      <c r="L596" s="98" t="s">
        <v>37</v>
      </c>
      <c r="M596" s="99">
        <v>13540</v>
      </c>
      <c r="N596" s="95">
        <v>2708</v>
      </c>
      <c r="O596" s="99">
        <f t="shared" si="59"/>
        <v>203.1</v>
      </c>
      <c r="P596" s="99">
        <f t="shared" si="57"/>
        <v>2911.1</v>
      </c>
      <c r="Q596" s="99"/>
      <c r="R596" s="99"/>
      <c r="S596" s="100"/>
      <c r="T596" s="101"/>
    </row>
    <row r="597" spans="1:20" x14ac:dyDescent="0.3">
      <c r="B597" s="98" t="s">
        <v>38</v>
      </c>
      <c r="C597" s="99">
        <v>5000</v>
      </c>
      <c r="D597" s="99">
        <v>1250</v>
      </c>
      <c r="E597" s="99">
        <f t="shared" si="58"/>
        <v>75</v>
      </c>
      <c r="F597" s="99">
        <f t="shared" si="56"/>
        <v>1325</v>
      </c>
      <c r="G597" s="99"/>
      <c r="H597" s="99"/>
      <c r="I597" s="100"/>
      <c r="J597" s="101"/>
      <c r="L597" s="98" t="s">
        <v>38</v>
      </c>
      <c r="M597" s="99">
        <v>10832</v>
      </c>
      <c r="N597" s="95">
        <v>2708</v>
      </c>
      <c r="O597" s="99">
        <f t="shared" si="59"/>
        <v>162.47999999999999</v>
      </c>
      <c r="P597" s="99">
        <f t="shared" si="57"/>
        <v>2870.48</v>
      </c>
      <c r="Q597" s="99"/>
      <c r="R597" s="99"/>
      <c r="S597" s="100"/>
      <c r="T597" s="101"/>
    </row>
    <row r="598" spans="1:20" ht="15" thickBot="1" x14ac:dyDescent="0.35">
      <c r="B598" s="98" t="s">
        <v>39</v>
      </c>
      <c r="C598" s="99">
        <v>3750</v>
      </c>
      <c r="D598" s="99">
        <v>1250</v>
      </c>
      <c r="E598" s="99">
        <f t="shared" si="58"/>
        <v>56.25</v>
      </c>
      <c r="F598" s="99">
        <f t="shared" si="56"/>
        <v>1306.25</v>
      </c>
      <c r="G598" s="99"/>
      <c r="H598" s="99"/>
      <c r="I598" s="100"/>
      <c r="J598" s="101"/>
      <c r="L598" s="98" t="s">
        <v>39</v>
      </c>
      <c r="M598" s="99">
        <v>8124</v>
      </c>
      <c r="N598" s="99">
        <v>2708</v>
      </c>
      <c r="O598" s="99">
        <f t="shared" si="59"/>
        <v>121.86</v>
      </c>
      <c r="P598" s="99">
        <f t="shared" si="57"/>
        <v>2829.86</v>
      </c>
      <c r="Q598" s="99"/>
      <c r="R598" s="99"/>
      <c r="S598" s="100"/>
      <c r="T598" s="101"/>
    </row>
    <row r="599" spans="1:20" ht="15" thickBot="1" x14ac:dyDescent="0.35">
      <c r="B599" s="98" t="s">
        <v>40</v>
      </c>
      <c r="C599" s="99">
        <v>1250</v>
      </c>
      <c r="D599" s="95">
        <v>1250</v>
      </c>
      <c r="E599" s="99">
        <f t="shared" si="58"/>
        <v>18.75</v>
      </c>
      <c r="F599" s="99">
        <f t="shared" si="56"/>
        <v>1268.75</v>
      </c>
      <c r="G599" s="99"/>
      <c r="H599" s="99"/>
      <c r="I599" s="100"/>
      <c r="J599" s="101"/>
      <c r="L599" s="98" t="s">
        <v>40</v>
      </c>
      <c r="M599" s="99">
        <v>5416</v>
      </c>
      <c r="N599" s="99">
        <v>2708</v>
      </c>
      <c r="O599" s="99">
        <f t="shared" si="59"/>
        <v>81.239999999999995</v>
      </c>
      <c r="P599" s="99">
        <f t="shared" si="57"/>
        <v>2789.24</v>
      </c>
      <c r="Q599" s="99"/>
      <c r="R599" s="99"/>
      <c r="S599" s="100"/>
      <c r="T599" s="101"/>
    </row>
    <row r="600" spans="1:20" ht="15" thickBot="1" x14ac:dyDescent="0.35">
      <c r="B600" s="103" t="s">
        <v>41</v>
      </c>
      <c r="C600" s="102">
        <v>1250</v>
      </c>
      <c r="D600" s="99">
        <v>1250</v>
      </c>
      <c r="E600" s="102">
        <f t="shared" si="58"/>
        <v>18.75</v>
      </c>
      <c r="F600" s="102">
        <f t="shared" si="56"/>
        <v>1268.75</v>
      </c>
      <c r="G600" s="102"/>
      <c r="H600" s="102"/>
      <c r="I600" s="104"/>
      <c r="J600" s="105" t="s">
        <v>42</v>
      </c>
      <c r="L600" s="103" t="s">
        <v>41</v>
      </c>
      <c r="M600" s="102">
        <v>2708</v>
      </c>
      <c r="N600" s="95">
        <v>2708</v>
      </c>
      <c r="O600" s="102">
        <f t="shared" si="59"/>
        <v>40.619999999999997</v>
      </c>
      <c r="P600" s="102">
        <f t="shared" si="57"/>
        <v>2748.62</v>
      </c>
      <c r="Q600" s="102"/>
      <c r="R600" s="102"/>
      <c r="S600" s="104"/>
      <c r="T600" s="105" t="s">
        <v>42</v>
      </c>
    </row>
    <row r="601" spans="1:20" x14ac:dyDescent="0.3">
      <c r="E601" s="38"/>
      <c r="F601" s="38">
        <f>SUM(F577:F600)</f>
        <v>35606.25</v>
      </c>
      <c r="G601" s="38"/>
      <c r="N601" s="38"/>
      <c r="P601" s="38">
        <f>SUM(P577:P600)</f>
        <v>77182.953333333338</v>
      </c>
    </row>
    <row r="603" spans="1:20" x14ac:dyDescent="0.3">
      <c r="A603" s="1"/>
      <c r="B603" s="77" t="s">
        <v>0</v>
      </c>
      <c r="C603" s="77"/>
      <c r="D603" s="112"/>
      <c r="E603" s="112"/>
      <c r="F603" s="79"/>
      <c r="G603" s="80"/>
      <c r="I603" s="81" t="s">
        <v>1</v>
      </c>
      <c r="J603" s="82">
        <v>50000</v>
      </c>
      <c r="L603" s="77" t="s">
        <v>0</v>
      </c>
      <c r="M603" s="77"/>
      <c r="N603" s="112"/>
      <c r="O603" s="112"/>
      <c r="P603" s="79"/>
      <c r="Q603" s="80"/>
      <c r="S603" s="81" t="s">
        <v>1</v>
      </c>
      <c r="T603" s="82">
        <v>5000</v>
      </c>
    </row>
    <row r="604" spans="1:20" x14ac:dyDescent="0.3">
      <c r="A604" s="1"/>
      <c r="B604" s="77" t="s">
        <v>2</v>
      </c>
      <c r="C604" s="83"/>
      <c r="D604" s="79"/>
      <c r="E604" s="83"/>
      <c r="F604" s="81"/>
      <c r="G604" s="81"/>
      <c r="H604" s="84"/>
      <c r="I604" s="81" t="s">
        <v>3</v>
      </c>
      <c r="J604" s="85"/>
      <c r="L604" s="77" t="s">
        <v>2</v>
      </c>
      <c r="M604" s="83"/>
      <c r="N604" s="79"/>
      <c r="O604" s="83"/>
      <c r="P604" s="81"/>
      <c r="Q604" s="81"/>
      <c r="S604" s="81" t="s">
        <v>3</v>
      </c>
      <c r="T604" s="85" t="s">
        <v>209</v>
      </c>
    </row>
    <row r="605" spans="1:20" x14ac:dyDescent="0.3">
      <c r="A605" s="1"/>
      <c r="B605" s="77" t="s">
        <v>4</v>
      </c>
      <c r="C605" s="78"/>
      <c r="D605" s="79"/>
      <c r="E605" s="78"/>
      <c r="F605" s="81"/>
      <c r="G605" s="81"/>
      <c r="H605" s="81"/>
      <c r="I605" s="81" t="s">
        <v>5</v>
      </c>
      <c r="J605" s="86">
        <v>1.4999999999999999E-2</v>
      </c>
      <c r="L605" s="77" t="s">
        <v>4</v>
      </c>
      <c r="M605" s="78"/>
      <c r="N605" s="79"/>
      <c r="O605" s="78"/>
      <c r="P605" s="81"/>
      <c r="Q605" s="81"/>
      <c r="S605" s="81" t="s">
        <v>5</v>
      </c>
      <c r="T605" s="86">
        <v>1.4999999999999999E-2</v>
      </c>
    </row>
    <row r="606" spans="1:20" ht="15" thickBot="1" x14ac:dyDescent="0.35">
      <c r="A606" s="1"/>
      <c r="B606" s="77" t="s">
        <v>6</v>
      </c>
      <c r="C606" s="87"/>
      <c r="D606" s="87"/>
      <c r="E606" s="88"/>
      <c r="F606" s="88"/>
      <c r="G606" s="88"/>
      <c r="H606" s="88"/>
      <c r="I606" s="88" t="s">
        <v>7</v>
      </c>
      <c r="J606" s="78">
        <v>15</v>
      </c>
      <c r="L606" s="77" t="s">
        <v>6</v>
      </c>
      <c r="M606" s="87"/>
      <c r="N606" s="87"/>
      <c r="O606" s="88"/>
      <c r="P606" s="88"/>
      <c r="Q606" s="88"/>
      <c r="S606" s="88" t="s">
        <v>7</v>
      </c>
      <c r="T606" s="78">
        <v>12</v>
      </c>
    </row>
    <row r="607" spans="1:20" ht="51.6" thickBot="1" x14ac:dyDescent="0.35">
      <c r="A607" s="1"/>
      <c r="B607" s="89" t="s">
        <v>8</v>
      </c>
      <c r="C607" s="89" t="s">
        <v>9</v>
      </c>
      <c r="D607" s="89" t="s">
        <v>10</v>
      </c>
      <c r="E607" s="90" t="s">
        <v>11</v>
      </c>
      <c r="F607" s="91" t="s">
        <v>12</v>
      </c>
      <c r="G607" s="92" t="s">
        <v>13</v>
      </c>
      <c r="H607" s="92" t="s">
        <v>14</v>
      </c>
      <c r="I607" s="92" t="s">
        <v>15</v>
      </c>
      <c r="J607" s="93" t="s">
        <v>16</v>
      </c>
      <c r="L607" s="89" t="s">
        <v>8</v>
      </c>
      <c r="M607" s="89" t="s">
        <v>9</v>
      </c>
      <c r="N607" s="89" t="s">
        <v>10</v>
      </c>
      <c r="O607" s="90" t="s">
        <v>11</v>
      </c>
      <c r="P607" s="91" t="s">
        <v>12</v>
      </c>
      <c r="Q607" s="92" t="s">
        <v>13</v>
      </c>
      <c r="R607" s="92" t="s">
        <v>14</v>
      </c>
      <c r="S607" s="92" t="s">
        <v>15</v>
      </c>
      <c r="T607" s="93" t="s">
        <v>16</v>
      </c>
    </row>
    <row r="608" spans="1:20" x14ac:dyDescent="0.3">
      <c r="A608" s="1"/>
      <c r="B608" s="94" t="s">
        <v>17</v>
      </c>
      <c r="C608" s="95">
        <f>J603</f>
        <v>50000</v>
      </c>
      <c r="D608" s="95">
        <f>J603/J606</f>
        <v>3333.3333333333335</v>
      </c>
      <c r="E608" s="95">
        <f>(C608*0.015)</f>
        <v>750</v>
      </c>
      <c r="F608" s="95">
        <f t="shared" ref="F608:F622" si="60">SUM(D608:E608)</f>
        <v>4083.3333333333335</v>
      </c>
      <c r="G608" s="95"/>
      <c r="H608" s="126"/>
      <c r="I608" s="96"/>
      <c r="J608" s="97"/>
      <c r="L608" s="94" t="s">
        <v>17</v>
      </c>
      <c r="M608" s="95">
        <f>T603</f>
        <v>5000</v>
      </c>
      <c r="N608" s="95">
        <f>T603/T606</f>
        <v>416.66666666666669</v>
      </c>
      <c r="O608" s="95">
        <f t="shared" ref="O608:O619" si="61">(M608*0.015)</f>
        <v>75</v>
      </c>
      <c r="P608" s="95">
        <f t="shared" ref="P608:P619" si="62">SUM(N608:O608)</f>
        <v>491.66666666666669</v>
      </c>
      <c r="Q608" s="95"/>
      <c r="R608" s="95"/>
      <c r="S608" s="96"/>
      <c r="T608" s="97"/>
    </row>
    <row r="609" spans="1:20" x14ac:dyDescent="0.3">
      <c r="A609" s="1"/>
      <c r="B609" s="98" t="s">
        <v>18</v>
      </c>
      <c r="C609" s="99">
        <v>46662</v>
      </c>
      <c r="D609" s="99">
        <v>3333</v>
      </c>
      <c r="E609" s="99">
        <f t="shared" ref="E609:E622" si="63">(C609*0.015)</f>
        <v>699.93</v>
      </c>
      <c r="F609" s="99">
        <f t="shared" si="60"/>
        <v>4032.93</v>
      </c>
      <c r="G609" s="99"/>
      <c r="H609" s="127"/>
      <c r="I609" s="100"/>
      <c r="J609" s="101"/>
      <c r="L609" s="98" t="s">
        <v>18</v>
      </c>
      <c r="M609" s="99">
        <v>4617</v>
      </c>
      <c r="N609" s="99">
        <v>417</v>
      </c>
      <c r="O609" s="99">
        <f t="shared" si="61"/>
        <v>69.254999999999995</v>
      </c>
      <c r="P609" s="99">
        <f t="shared" si="62"/>
        <v>486.255</v>
      </c>
      <c r="Q609" s="99"/>
      <c r="R609" s="99"/>
      <c r="S609" s="100"/>
      <c r="T609" s="101"/>
    </row>
    <row r="610" spans="1:20" ht="15" thickBot="1" x14ac:dyDescent="0.35">
      <c r="B610" s="98" t="s">
        <v>19</v>
      </c>
      <c r="C610" s="99">
        <v>43329</v>
      </c>
      <c r="D610" s="99">
        <v>3333</v>
      </c>
      <c r="E610" s="99">
        <f t="shared" si="63"/>
        <v>649.93499999999995</v>
      </c>
      <c r="F610" s="99">
        <f t="shared" si="60"/>
        <v>3982.9349999999999</v>
      </c>
      <c r="G610" s="99"/>
      <c r="H610" s="127"/>
      <c r="I610" s="100"/>
      <c r="J610" s="101"/>
      <c r="L610" s="98" t="s">
        <v>19</v>
      </c>
      <c r="M610" s="99">
        <v>4200</v>
      </c>
      <c r="N610" s="99">
        <v>417</v>
      </c>
      <c r="O610" s="99">
        <f t="shared" si="61"/>
        <v>63</v>
      </c>
      <c r="P610" s="99">
        <f t="shared" si="62"/>
        <v>480</v>
      </c>
      <c r="Q610" s="99"/>
      <c r="R610" s="99"/>
      <c r="S610" s="100"/>
      <c r="T610" s="101"/>
    </row>
    <row r="611" spans="1:20" x14ac:dyDescent="0.3">
      <c r="B611" s="98" t="s">
        <v>20</v>
      </c>
      <c r="C611" s="99">
        <v>39996</v>
      </c>
      <c r="D611" s="95">
        <v>3333</v>
      </c>
      <c r="E611" s="99">
        <f t="shared" si="63"/>
        <v>599.93999999999994</v>
      </c>
      <c r="F611" s="99">
        <f t="shared" si="60"/>
        <v>3932.94</v>
      </c>
      <c r="G611" s="99"/>
      <c r="H611" s="127"/>
      <c r="I611" s="100"/>
      <c r="J611" s="101"/>
      <c r="L611" s="98" t="s">
        <v>20</v>
      </c>
      <c r="M611" s="99">
        <v>3783</v>
      </c>
      <c r="N611" s="99">
        <v>417</v>
      </c>
      <c r="O611" s="99">
        <f t="shared" si="61"/>
        <v>56.744999999999997</v>
      </c>
      <c r="P611" s="99">
        <f t="shared" si="62"/>
        <v>473.745</v>
      </c>
      <c r="Q611" s="99"/>
      <c r="R611" s="99"/>
      <c r="S611" s="100"/>
      <c r="T611" s="101"/>
    </row>
    <row r="612" spans="1:20" x14ac:dyDescent="0.3">
      <c r="B612" s="98" t="s">
        <v>21</v>
      </c>
      <c r="C612" s="99">
        <v>36663</v>
      </c>
      <c r="D612" s="99">
        <v>3333</v>
      </c>
      <c r="E612" s="99">
        <f t="shared" si="63"/>
        <v>549.94499999999994</v>
      </c>
      <c r="F612" s="99">
        <f t="shared" si="60"/>
        <v>3882.9449999999997</v>
      </c>
      <c r="G612" s="99"/>
      <c r="H612" s="99"/>
      <c r="I612" s="100"/>
      <c r="J612" s="101"/>
      <c r="L612" s="98" t="s">
        <v>21</v>
      </c>
      <c r="M612" s="99">
        <v>3366</v>
      </c>
      <c r="N612" s="99">
        <v>417</v>
      </c>
      <c r="O612" s="99">
        <f t="shared" si="61"/>
        <v>50.489999999999995</v>
      </c>
      <c r="P612" s="99">
        <f t="shared" si="62"/>
        <v>467.49</v>
      </c>
      <c r="Q612" s="99"/>
      <c r="R612" s="99"/>
      <c r="S612" s="100"/>
      <c r="T612" s="101"/>
    </row>
    <row r="613" spans="1:20" x14ac:dyDescent="0.3">
      <c r="B613" s="98" t="s">
        <v>23</v>
      </c>
      <c r="C613" s="99">
        <v>33330</v>
      </c>
      <c r="D613" s="99">
        <v>3333</v>
      </c>
      <c r="E613" s="99">
        <f t="shared" si="63"/>
        <v>499.95</v>
      </c>
      <c r="F613" s="99">
        <f t="shared" si="60"/>
        <v>3832.95</v>
      </c>
      <c r="G613" s="99"/>
      <c r="H613" s="99"/>
      <c r="I613" s="100"/>
      <c r="J613" s="101"/>
      <c r="L613" s="98" t="s">
        <v>23</v>
      </c>
      <c r="M613" s="99">
        <v>2949</v>
      </c>
      <c r="N613" s="99">
        <v>417</v>
      </c>
      <c r="O613" s="99">
        <f t="shared" si="61"/>
        <v>44.234999999999999</v>
      </c>
      <c r="P613" s="99">
        <f t="shared" si="62"/>
        <v>461.23500000000001</v>
      </c>
      <c r="Q613" s="99"/>
      <c r="R613" s="99"/>
      <c r="S613" s="100"/>
      <c r="T613" s="101"/>
    </row>
    <row r="614" spans="1:20" ht="15" thickBot="1" x14ac:dyDescent="0.35">
      <c r="B614" s="98" t="s">
        <v>24</v>
      </c>
      <c r="C614" s="99">
        <v>29997</v>
      </c>
      <c r="D614" s="99">
        <v>3333</v>
      </c>
      <c r="E614" s="99">
        <f t="shared" si="63"/>
        <v>449.95499999999998</v>
      </c>
      <c r="F614" s="99">
        <f t="shared" si="60"/>
        <v>3782.9549999999999</v>
      </c>
      <c r="G614" s="99"/>
      <c r="H614" s="99"/>
      <c r="I614" s="100"/>
      <c r="J614" s="101"/>
      <c r="L614" s="98" t="s">
        <v>24</v>
      </c>
      <c r="M614" s="99">
        <v>2532</v>
      </c>
      <c r="N614" s="99">
        <v>417</v>
      </c>
      <c r="O614" s="99">
        <f t="shared" si="61"/>
        <v>37.979999999999997</v>
      </c>
      <c r="P614" s="99">
        <f t="shared" si="62"/>
        <v>454.98</v>
      </c>
      <c r="Q614" s="99"/>
      <c r="R614" s="99"/>
      <c r="S614" s="100"/>
      <c r="T614" s="101"/>
    </row>
    <row r="615" spans="1:20" x14ac:dyDescent="0.3">
      <c r="B615" s="98" t="s">
        <v>25</v>
      </c>
      <c r="C615" s="99">
        <v>26664</v>
      </c>
      <c r="D615" s="95">
        <v>3333</v>
      </c>
      <c r="E615" s="99">
        <f t="shared" si="63"/>
        <v>399.96</v>
      </c>
      <c r="F615" s="99">
        <f t="shared" si="60"/>
        <v>3732.96</v>
      </c>
      <c r="G615" s="99"/>
      <c r="H615" s="99"/>
      <c r="I615" s="100"/>
      <c r="J615" s="101"/>
      <c r="L615" s="98" t="s">
        <v>25</v>
      </c>
      <c r="M615" s="99">
        <v>2115</v>
      </c>
      <c r="N615" s="99">
        <v>417</v>
      </c>
      <c r="O615" s="99">
        <f t="shared" si="61"/>
        <v>31.724999999999998</v>
      </c>
      <c r="P615" s="99">
        <f t="shared" si="62"/>
        <v>448.72500000000002</v>
      </c>
      <c r="Q615" s="99"/>
      <c r="R615" s="99"/>
      <c r="S615" s="100"/>
      <c r="T615" s="101"/>
    </row>
    <row r="616" spans="1:20" x14ac:dyDescent="0.3">
      <c r="B616" s="98" t="s">
        <v>26</v>
      </c>
      <c r="C616" s="99">
        <v>23331</v>
      </c>
      <c r="D616" s="99">
        <v>3333</v>
      </c>
      <c r="E616" s="99">
        <f t="shared" si="63"/>
        <v>349.96499999999997</v>
      </c>
      <c r="F616" s="99">
        <f t="shared" si="60"/>
        <v>3682.9650000000001</v>
      </c>
      <c r="G616" s="99"/>
      <c r="H616" s="99"/>
      <c r="I616" s="100"/>
      <c r="J616" s="101"/>
      <c r="L616" s="98" t="s">
        <v>26</v>
      </c>
      <c r="M616" s="99">
        <v>1698</v>
      </c>
      <c r="N616" s="99">
        <v>417</v>
      </c>
      <c r="O616" s="99">
        <f t="shared" si="61"/>
        <v>25.47</v>
      </c>
      <c r="P616" s="99">
        <f t="shared" si="62"/>
        <v>442.47</v>
      </c>
      <c r="Q616" s="99"/>
      <c r="R616" s="99"/>
      <c r="S616" s="100"/>
      <c r="T616" s="101"/>
    </row>
    <row r="617" spans="1:20" ht="15" thickBot="1" x14ac:dyDescent="0.35">
      <c r="B617" s="98" t="s">
        <v>27</v>
      </c>
      <c r="C617" s="99">
        <v>19998</v>
      </c>
      <c r="D617" s="99">
        <v>3333</v>
      </c>
      <c r="E617" s="99">
        <f t="shared" si="63"/>
        <v>299.96999999999997</v>
      </c>
      <c r="F617" s="99">
        <f t="shared" si="60"/>
        <v>3632.97</v>
      </c>
      <c r="G617" s="99"/>
      <c r="H617" s="99"/>
      <c r="I617" s="100"/>
      <c r="J617" s="101"/>
      <c r="L617" s="98" t="s">
        <v>27</v>
      </c>
      <c r="M617" s="99">
        <v>1281</v>
      </c>
      <c r="N617" s="99">
        <v>417</v>
      </c>
      <c r="O617" s="99">
        <f t="shared" si="61"/>
        <v>19.215</v>
      </c>
      <c r="P617" s="99">
        <f t="shared" si="62"/>
        <v>436.21499999999997</v>
      </c>
      <c r="Q617" s="99"/>
      <c r="R617" s="99"/>
      <c r="S617" s="100"/>
      <c r="T617" s="101"/>
    </row>
    <row r="618" spans="1:20" x14ac:dyDescent="0.3">
      <c r="B618" s="98" t="s">
        <v>28</v>
      </c>
      <c r="C618" s="99">
        <v>16665</v>
      </c>
      <c r="D618" s="95">
        <v>3333</v>
      </c>
      <c r="E618" s="99">
        <f t="shared" si="63"/>
        <v>249.97499999999999</v>
      </c>
      <c r="F618" s="99">
        <f t="shared" si="60"/>
        <v>3582.9749999999999</v>
      </c>
      <c r="G618" s="99"/>
      <c r="H618" s="99"/>
      <c r="I618" s="100"/>
      <c r="J618" s="101"/>
      <c r="L618" s="98" t="s">
        <v>28</v>
      </c>
      <c r="M618" s="99">
        <v>864</v>
      </c>
      <c r="N618" s="99">
        <v>417</v>
      </c>
      <c r="O618" s="99">
        <f t="shared" si="61"/>
        <v>12.959999999999999</v>
      </c>
      <c r="P618" s="99">
        <f t="shared" si="62"/>
        <v>429.96</v>
      </c>
      <c r="Q618" s="99"/>
      <c r="R618" s="99"/>
      <c r="S618" s="100"/>
      <c r="T618" s="101"/>
    </row>
    <row r="619" spans="1:20" x14ac:dyDescent="0.3">
      <c r="B619" s="98" t="s">
        <v>29</v>
      </c>
      <c r="C619" s="99">
        <v>13332</v>
      </c>
      <c r="D619" s="99">
        <v>3333</v>
      </c>
      <c r="E619" s="99">
        <f t="shared" si="63"/>
        <v>199.98</v>
      </c>
      <c r="F619" s="99">
        <f t="shared" si="60"/>
        <v>3532.98</v>
      </c>
      <c r="G619" s="99"/>
      <c r="H619" s="99"/>
      <c r="I619" s="100"/>
      <c r="J619" s="101"/>
      <c r="L619" s="98" t="s">
        <v>29</v>
      </c>
      <c r="M619" s="99">
        <v>417</v>
      </c>
      <c r="N619" s="99">
        <v>417</v>
      </c>
      <c r="O619" s="99">
        <f t="shared" si="61"/>
        <v>6.2549999999999999</v>
      </c>
      <c r="P619" s="99">
        <f t="shared" si="62"/>
        <v>423.255</v>
      </c>
      <c r="Q619" s="99"/>
      <c r="R619" s="99"/>
      <c r="S619" s="100"/>
      <c r="T619" s="101" t="s">
        <v>42</v>
      </c>
    </row>
    <row r="620" spans="1:20" x14ac:dyDescent="0.3">
      <c r="B620" s="98" t="s">
        <v>30</v>
      </c>
      <c r="C620" s="99">
        <v>9999</v>
      </c>
      <c r="D620" s="99">
        <v>3333</v>
      </c>
      <c r="E620" s="99">
        <f t="shared" si="63"/>
        <v>149.98499999999999</v>
      </c>
      <c r="F620" s="99">
        <f t="shared" si="60"/>
        <v>3482.9850000000001</v>
      </c>
      <c r="G620" s="99"/>
      <c r="H620" s="99"/>
      <c r="I620" s="100"/>
      <c r="J620" s="101"/>
      <c r="P620" s="38">
        <f>SUM(P608:P619)</f>
        <v>5495.9966666666669</v>
      </c>
    </row>
    <row r="621" spans="1:20" x14ac:dyDescent="0.3">
      <c r="B621" s="98" t="s">
        <v>31</v>
      </c>
      <c r="C621" s="99">
        <v>6666</v>
      </c>
      <c r="D621" s="99">
        <v>3333</v>
      </c>
      <c r="E621" s="99">
        <f t="shared" si="63"/>
        <v>99.99</v>
      </c>
      <c r="F621" s="99">
        <f t="shared" si="60"/>
        <v>3432.99</v>
      </c>
      <c r="G621" s="99"/>
      <c r="H621" s="99"/>
      <c r="I621" s="100"/>
      <c r="J621" s="101"/>
    </row>
    <row r="622" spans="1:20" x14ac:dyDescent="0.3">
      <c r="B622" s="98" t="s">
        <v>32</v>
      </c>
      <c r="C622" s="99">
        <v>12500</v>
      </c>
      <c r="D622" s="99">
        <v>3333</v>
      </c>
      <c r="E622" s="99">
        <f t="shared" si="63"/>
        <v>187.5</v>
      </c>
      <c r="F622" s="99">
        <f t="shared" si="60"/>
        <v>3520.5</v>
      </c>
      <c r="G622" s="99"/>
      <c r="H622" s="99"/>
      <c r="I622" s="100"/>
      <c r="J622" s="101"/>
    </row>
    <row r="623" spans="1:20" x14ac:dyDescent="0.3">
      <c r="F623" s="38">
        <f>SUM(F608:F622)</f>
        <v>56132.313333333332</v>
      </c>
    </row>
    <row r="653" spans="1:1" x14ac:dyDescent="0.3">
      <c r="A653" t="s">
        <v>223</v>
      </c>
    </row>
  </sheetData>
  <mergeCells count="80">
    <mergeCell ref="F485:I485"/>
    <mergeCell ref="C486:D486"/>
    <mergeCell ref="E486:I486"/>
    <mergeCell ref="M483:O483"/>
    <mergeCell ref="R483:S483"/>
    <mergeCell ref="P485:S485"/>
    <mergeCell ref="M486:N486"/>
    <mergeCell ref="O486:S486"/>
    <mergeCell ref="R451:S451"/>
    <mergeCell ref="P453:S453"/>
    <mergeCell ref="M454:N454"/>
    <mergeCell ref="O454:S454"/>
    <mergeCell ref="C483:E483"/>
    <mergeCell ref="H483:I483"/>
    <mergeCell ref="C451:E451"/>
    <mergeCell ref="H451:I451"/>
    <mergeCell ref="F453:I453"/>
    <mergeCell ref="C454:D454"/>
    <mergeCell ref="E454:I454"/>
    <mergeCell ref="M451:O451"/>
    <mergeCell ref="F422:I422"/>
    <mergeCell ref="C423:D423"/>
    <mergeCell ref="E423:I423"/>
    <mergeCell ref="M420:O420"/>
    <mergeCell ref="R420:S420"/>
    <mergeCell ref="P422:S422"/>
    <mergeCell ref="M423:N423"/>
    <mergeCell ref="O423:S423"/>
    <mergeCell ref="R389:S389"/>
    <mergeCell ref="P391:S391"/>
    <mergeCell ref="M392:N392"/>
    <mergeCell ref="O392:S392"/>
    <mergeCell ref="C420:E420"/>
    <mergeCell ref="H420:I420"/>
    <mergeCell ref="C389:E389"/>
    <mergeCell ref="H389:I389"/>
    <mergeCell ref="F391:I391"/>
    <mergeCell ref="C392:D392"/>
    <mergeCell ref="E392:I392"/>
    <mergeCell ref="M389:O389"/>
    <mergeCell ref="F359:I359"/>
    <mergeCell ref="C360:D360"/>
    <mergeCell ref="E360:I360"/>
    <mergeCell ref="M357:O357"/>
    <mergeCell ref="R357:S357"/>
    <mergeCell ref="P359:S359"/>
    <mergeCell ref="M360:N360"/>
    <mergeCell ref="O360:S360"/>
    <mergeCell ref="R324:S324"/>
    <mergeCell ref="P326:S326"/>
    <mergeCell ref="M327:N327"/>
    <mergeCell ref="O327:S327"/>
    <mergeCell ref="C357:E357"/>
    <mergeCell ref="H357:I357"/>
    <mergeCell ref="C324:E324"/>
    <mergeCell ref="H324:I324"/>
    <mergeCell ref="F326:I326"/>
    <mergeCell ref="C327:D327"/>
    <mergeCell ref="E327:I327"/>
    <mergeCell ref="M324:O324"/>
    <mergeCell ref="M293:O293"/>
    <mergeCell ref="R293:S293"/>
    <mergeCell ref="P295:S295"/>
    <mergeCell ref="M296:N296"/>
    <mergeCell ref="O296:S296"/>
    <mergeCell ref="C293:E293"/>
    <mergeCell ref="H293:I293"/>
    <mergeCell ref="F295:I295"/>
    <mergeCell ref="C296:D296"/>
    <mergeCell ref="E296:I296"/>
    <mergeCell ref="F259:I259"/>
    <mergeCell ref="C260:D260"/>
    <mergeCell ref="E260:I260"/>
    <mergeCell ref="M257:O257"/>
    <mergeCell ref="R257:S257"/>
    <mergeCell ref="P259:S259"/>
    <mergeCell ref="M260:N260"/>
    <mergeCell ref="O260:S260"/>
    <mergeCell ref="C257:E257"/>
    <mergeCell ref="H257:I257"/>
  </mergeCells>
  <pageMargins left="0.25" right="0.25" top="0.75" bottom="0.75" header="0.3" footer="0.3"/>
  <pageSetup paperSize="5" orientation="landscape" horizontalDpi="4294967293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68B6-1393-419E-96A5-2CA217A0B509}">
  <dimension ref="A1:T485"/>
  <sheetViews>
    <sheetView topLeftCell="A278" workbookViewId="0">
      <selection activeCell="A285" sqref="A285:T301"/>
    </sheetView>
  </sheetViews>
  <sheetFormatPr defaultRowHeight="14.4" x14ac:dyDescent="0.3"/>
  <cols>
    <col min="1" max="1" width="1.88671875" customWidth="1"/>
    <col min="2" max="2" width="12.109375" customWidth="1"/>
    <col min="10" max="10" width="9.6640625" customWidth="1"/>
    <col min="11" max="11" width="6.33203125" customWidth="1"/>
    <col min="12" max="12" width="10.88671875" customWidth="1"/>
  </cols>
  <sheetData>
    <row r="1" spans="2:20" x14ac:dyDescent="0.3">
      <c r="B1" s="77" t="s">
        <v>0</v>
      </c>
      <c r="C1" s="229" t="s">
        <v>123</v>
      </c>
      <c r="D1" s="230"/>
      <c r="E1" s="230"/>
      <c r="F1" s="79"/>
      <c r="G1" s="80"/>
      <c r="H1" s="231" t="s">
        <v>1</v>
      </c>
      <c r="I1" s="231"/>
      <c r="J1" s="82">
        <v>80000</v>
      </c>
      <c r="L1" s="77" t="s">
        <v>0</v>
      </c>
      <c r="M1" s="229" t="s">
        <v>123</v>
      </c>
      <c r="N1" s="230"/>
      <c r="O1" s="230"/>
      <c r="P1" s="79"/>
      <c r="Q1" s="80"/>
      <c r="R1" s="231" t="s">
        <v>1</v>
      </c>
      <c r="S1" s="231"/>
      <c r="T1" s="82">
        <v>80000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113" t="s">
        <v>172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113" t="s">
        <v>172</v>
      </c>
    </row>
    <row r="3" spans="2:20" x14ac:dyDescent="0.3">
      <c r="B3" s="77" t="s">
        <v>4</v>
      </c>
      <c r="C3" s="78"/>
      <c r="D3" s="79"/>
      <c r="E3" s="78"/>
      <c r="F3" s="231" t="s">
        <v>5</v>
      </c>
      <c r="G3" s="231"/>
      <c r="H3" s="231"/>
      <c r="I3" s="231"/>
      <c r="J3" s="86">
        <v>1.4999999999999999E-2</v>
      </c>
      <c r="L3" s="77" t="s">
        <v>4</v>
      </c>
      <c r="M3" s="78"/>
      <c r="N3" s="79"/>
      <c r="O3" s="78"/>
      <c r="P3" s="231" t="s">
        <v>5</v>
      </c>
      <c r="Q3" s="231"/>
      <c r="R3" s="231"/>
      <c r="S3" s="231"/>
      <c r="T3" s="86">
        <v>1.4999999999999999E-2</v>
      </c>
    </row>
    <row r="4" spans="2:20" ht="15" thickBot="1" x14ac:dyDescent="0.35">
      <c r="B4" s="77" t="s">
        <v>6</v>
      </c>
      <c r="C4" s="232"/>
      <c r="D4" s="232"/>
      <c r="E4" s="233" t="s">
        <v>7</v>
      </c>
      <c r="F4" s="233"/>
      <c r="G4" s="233"/>
      <c r="H4" s="233"/>
      <c r="I4" s="233"/>
      <c r="J4" s="78">
        <v>12</v>
      </c>
      <c r="L4" s="77" t="s">
        <v>6</v>
      </c>
      <c r="M4" s="232"/>
      <c r="N4" s="232"/>
      <c r="O4" s="233" t="s">
        <v>7</v>
      </c>
      <c r="P4" s="233"/>
      <c r="Q4" s="233"/>
      <c r="R4" s="233"/>
      <c r="S4" s="233"/>
      <c r="T4" s="78">
        <v>12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f>J1</f>
        <v>80000</v>
      </c>
      <c r="D6" s="95">
        <f>J1/J4</f>
        <v>6666.666666666667</v>
      </c>
      <c r="E6" s="95">
        <f t="shared" ref="E6:E17" si="0">(C6*0.015)</f>
        <v>1200</v>
      </c>
      <c r="F6" s="95">
        <f t="shared" ref="F6:F17" si="1">SUM(D6:E6)</f>
        <v>7866.666666666667</v>
      </c>
      <c r="G6" s="95">
        <v>7500</v>
      </c>
      <c r="H6" s="95"/>
      <c r="I6" s="96"/>
      <c r="J6" s="97"/>
      <c r="L6" s="94" t="s">
        <v>17</v>
      </c>
      <c r="M6" s="95">
        <f>T1</f>
        <v>80000</v>
      </c>
      <c r="N6" s="95">
        <f>T1/T4</f>
        <v>6666.666666666667</v>
      </c>
      <c r="O6" s="95">
        <f t="shared" ref="O6:O17" si="2">(M6*0.015)</f>
        <v>1200</v>
      </c>
      <c r="P6" s="95">
        <f t="shared" ref="P6:P17" si="3">SUM(N6:O6)</f>
        <v>7866.666666666667</v>
      </c>
      <c r="Q6" s="95"/>
      <c r="R6" s="95"/>
      <c r="S6" s="96"/>
      <c r="T6" s="97"/>
    </row>
    <row r="7" spans="2:20" x14ac:dyDescent="0.3">
      <c r="B7" s="98" t="s">
        <v>18</v>
      </c>
      <c r="C7" s="99">
        <v>73337</v>
      </c>
      <c r="D7" s="99">
        <v>6667</v>
      </c>
      <c r="E7" s="99">
        <f t="shared" si="0"/>
        <v>1100.0550000000001</v>
      </c>
      <c r="F7" s="99">
        <f t="shared" si="1"/>
        <v>7767.0550000000003</v>
      </c>
      <c r="G7" s="99"/>
      <c r="H7" s="99"/>
      <c r="I7" s="100"/>
      <c r="J7" s="101"/>
      <c r="L7" s="98" t="s">
        <v>18</v>
      </c>
      <c r="M7" s="99">
        <v>73337</v>
      </c>
      <c r="N7" s="99">
        <v>6667</v>
      </c>
      <c r="O7" s="99">
        <f t="shared" si="2"/>
        <v>1100.0550000000001</v>
      </c>
      <c r="P7" s="99">
        <f t="shared" si="3"/>
        <v>7767.0550000000003</v>
      </c>
      <c r="Q7" s="99"/>
      <c r="R7" s="99"/>
      <c r="S7" s="100"/>
      <c r="T7" s="101"/>
    </row>
    <row r="8" spans="2:20" ht="15" thickBot="1" x14ac:dyDescent="0.35">
      <c r="B8" s="98" t="s">
        <v>19</v>
      </c>
      <c r="C8" s="99">
        <v>66670</v>
      </c>
      <c r="D8" s="99">
        <v>6667</v>
      </c>
      <c r="E8" s="99">
        <f t="shared" si="0"/>
        <v>1000.05</v>
      </c>
      <c r="F8" s="99">
        <f t="shared" si="1"/>
        <v>7667.05</v>
      </c>
      <c r="G8" s="99"/>
      <c r="H8" s="99"/>
      <c r="I8" s="100"/>
      <c r="J8" s="101"/>
      <c r="L8" s="98" t="s">
        <v>19</v>
      </c>
      <c r="M8" s="99">
        <v>66670</v>
      </c>
      <c r="N8" s="99">
        <v>6667</v>
      </c>
      <c r="O8" s="99">
        <f t="shared" si="2"/>
        <v>1000.05</v>
      </c>
      <c r="P8" s="99">
        <f t="shared" si="3"/>
        <v>7667.05</v>
      </c>
      <c r="Q8" s="99"/>
      <c r="R8" s="99"/>
      <c r="S8" s="100"/>
      <c r="T8" s="101"/>
    </row>
    <row r="9" spans="2:20" x14ac:dyDescent="0.3">
      <c r="B9" s="98" t="s">
        <v>20</v>
      </c>
      <c r="C9" s="99">
        <v>60003</v>
      </c>
      <c r="D9" s="95">
        <v>6667</v>
      </c>
      <c r="E9" s="99">
        <f t="shared" si="0"/>
        <v>900.04499999999996</v>
      </c>
      <c r="F9" s="99">
        <f t="shared" si="1"/>
        <v>7567.0450000000001</v>
      </c>
      <c r="G9" s="99"/>
      <c r="H9" s="99"/>
      <c r="I9" s="100"/>
      <c r="J9" s="101"/>
      <c r="L9" s="98" t="s">
        <v>20</v>
      </c>
      <c r="M9" s="99">
        <v>60003</v>
      </c>
      <c r="N9" s="95">
        <v>6667</v>
      </c>
      <c r="O9" s="99">
        <f t="shared" si="2"/>
        <v>900.04499999999996</v>
      </c>
      <c r="P9" s="99">
        <f t="shared" si="3"/>
        <v>7567.0450000000001</v>
      </c>
      <c r="Q9" s="99"/>
      <c r="R9" s="99"/>
      <c r="S9" s="100"/>
      <c r="T9" s="101"/>
    </row>
    <row r="10" spans="2:20" x14ac:dyDescent="0.3">
      <c r="B10" s="98" t="s">
        <v>21</v>
      </c>
      <c r="C10" s="99">
        <v>53336</v>
      </c>
      <c r="D10" s="99">
        <v>6667</v>
      </c>
      <c r="E10" s="99">
        <f t="shared" si="0"/>
        <v>800.04</v>
      </c>
      <c r="F10" s="99">
        <f t="shared" si="1"/>
        <v>7467.04</v>
      </c>
      <c r="G10" s="99"/>
      <c r="H10" s="99"/>
      <c r="I10" s="100"/>
      <c r="J10" s="101"/>
      <c r="L10" s="98" t="s">
        <v>21</v>
      </c>
      <c r="M10" s="99">
        <v>53336</v>
      </c>
      <c r="N10" s="99">
        <v>6667</v>
      </c>
      <c r="O10" s="99">
        <f t="shared" si="2"/>
        <v>800.04</v>
      </c>
      <c r="P10" s="99">
        <f t="shared" si="3"/>
        <v>7467.04</v>
      </c>
      <c r="Q10" s="99"/>
      <c r="R10" s="99"/>
      <c r="S10" s="100"/>
      <c r="T10" s="101"/>
    </row>
    <row r="11" spans="2:20" ht="15" thickBot="1" x14ac:dyDescent="0.35">
      <c r="B11" s="98" t="s">
        <v>23</v>
      </c>
      <c r="C11" s="99">
        <v>46669</v>
      </c>
      <c r="D11" s="99">
        <v>6667</v>
      </c>
      <c r="E11" s="99">
        <f t="shared" si="0"/>
        <v>700.03499999999997</v>
      </c>
      <c r="F11" s="99">
        <f t="shared" si="1"/>
        <v>7367.0349999999999</v>
      </c>
      <c r="G11" s="99"/>
      <c r="H11" s="99"/>
      <c r="I11" s="100"/>
      <c r="J11" s="101"/>
      <c r="L11" s="98" t="s">
        <v>23</v>
      </c>
      <c r="M11" s="99">
        <v>46669</v>
      </c>
      <c r="N11" s="99">
        <v>6667</v>
      </c>
      <c r="O11" s="99">
        <f t="shared" si="2"/>
        <v>700.03499999999997</v>
      </c>
      <c r="P11" s="99">
        <f t="shared" si="3"/>
        <v>7367.0349999999999</v>
      </c>
      <c r="Q11" s="99"/>
      <c r="R11" s="99"/>
      <c r="S11" s="100"/>
      <c r="T11" s="101"/>
    </row>
    <row r="12" spans="2:20" x14ac:dyDescent="0.3">
      <c r="B12" s="98" t="s">
        <v>24</v>
      </c>
      <c r="C12" s="99">
        <v>40002</v>
      </c>
      <c r="D12" s="95">
        <v>6667</v>
      </c>
      <c r="E12" s="99">
        <f t="shared" si="0"/>
        <v>600.03</v>
      </c>
      <c r="F12" s="99">
        <f t="shared" si="1"/>
        <v>7267.03</v>
      </c>
      <c r="G12" s="99"/>
      <c r="H12" s="99"/>
      <c r="I12" s="100"/>
      <c r="J12" s="101"/>
      <c r="L12" s="98" t="s">
        <v>24</v>
      </c>
      <c r="M12" s="99">
        <v>40002</v>
      </c>
      <c r="N12" s="95">
        <v>6667</v>
      </c>
      <c r="O12" s="99">
        <f t="shared" si="2"/>
        <v>600.03</v>
      </c>
      <c r="P12" s="99">
        <f t="shared" si="3"/>
        <v>7267.03</v>
      </c>
      <c r="Q12" s="99"/>
      <c r="R12" s="99"/>
      <c r="S12" s="100"/>
      <c r="T12" s="101"/>
    </row>
    <row r="13" spans="2:20" x14ac:dyDescent="0.3">
      <c r="B13" s="98" t="s">
        <v>25</v>
      </c>
      <c r="C13" s="99">
        <v>33335</v>
      </c>
      <c r="D13" s="99">
        <v>6667</v>
      </c>
      <c r="E13" s="99">
        <f t="shared" si="0"/>
        <v>500.02499999999998</v>
      </c>
      <c r="F13" s="99">
        <f t="shared" si="1"/>
        <v>7167.0249999999996</v>
      </c>
      <c r="G13" s="99"/>
      <c r="H13" s="99"/>
      <c r="I13" s="100"/>
      <c r="J13" s="101"/>
      <c r="L13" s="98" t="s">
        <v>25</v>
      </c>
      <c r="M13" s="99">
        <v>33335</v>
      </c>
      <c r="N13" s="99">
        <v>6667</v>
      </c>
      <c r="O13" s="99">
        <f t="shared" si="2"/>
        <v>500.02499999999998</v>
      </c>
      <c r="P13" s="99">
        <f t="shared" si="3"/>
        <v>7167.0249999999996</v>
      </c>
      <c r="Q13" s="99"/>
      <c r="R13" s="99"/>
      <c r="S13" s="100"/>
      <c r="T13" s="101"/>
    </row>
    <row r="14" spans="2:20" x14ac:dyDescent="0.3">
      <c r="B14" s="98" t="s">
        <v>26</v>
      </c>
      <c r="C14" s="99">
        <v>26668</v>
      </c>
      <c r="D14" s="99">
        <v>6667</v>
      </c>
      <c r="E14" s="99">
        <f t="shared" si="0"/>
        <v>400.02</v>
      </c>
      <c r="F14" s="99">
        <f t="shared" si="1"/>
        <v>7067.02</v>
      </c>
      <c r="G14" s="99"/>
      <c r="H14" s="99"/>
      <c r="I14" s="100"/>
      <c r="J14" s="101"/>
      <c r="L14" s="98" t="s">
        <v>26</v>
      </c>
      <c r="M14" s="99">
        <v>26668</v>
      </c>
      <c r="N14" s="99">
        <v>6667</v>
      </c>
      <c r="O14" s="99">
        <f t="shared" si="2"/>
        <v>400.02</v>
      </c>
      <c r="P14" s="99">
        <f t="shared" si="3"/>
        <v>7067.02</v>
      </c>
      <c r="Q14" s="99"/>
      <c r="R14" s="99"/>
      <c r="S14" s="100"/>
      <c r="T14" s="101"/>
    </row>
    <row r="15" spans="2:20" x14ac:dyDescent="0.3">
      <c r="B15" s="98" t="s">
        <v>27</v>
      </c>
      <c r="C15" s="99">
        <v>20001</v>
      </c>
      <c r="D15" s="99">
        <v>6667</v>
      </c>
      <c r="E15" s="99">
        <f t="shared" si="0"/>
        <v>300.01499999999999</v>
      </c>
      <c r="F15" s="99">
        <f t="shared" si="1"/>
        <v>6967.0150000000003</v>
      </c>
      <c r="G15" s="99"/>
      <c r="H15" s="99"/>
      <c r="I15" s="100"/>
      <c r="J15" s="101"/>
      <c r="L15" s="98" t="s">
        <v>27</v>
      </c>
      <c r="M15" s="99">
        <v>20001</v>
      </c>
      <c r="N15" s="99">
        <v>6667</v>
      </c>
      <c r="O15" s="99">
        <f t="shared" si="2"/>
        <v>300.01499999999999</v>
      </c>
      <c r="P15" s="99">
        <f t="shared" si="3"/>
        <v>6967.0150000000003</v>
      </c>
      <c r="Q15" s="99"/>
      <c r="R15" s="99"/>
      <c r="S15" s="100"/>
      <c r="T15" s="101"/>
    </row>
    <row r="16" spans="2:20" x14ac:dyDescent="0.3">
      <c r="B16" s="98" t="s">
        <v>28</v>
      </c>
      <c r="C16" s="99">
        <v>13334</v>
      </c>
      <c r="D16" s="99">
        <v>6667</v>
      </c>
      <c r="E16" s="99">
        <f t="shared" si="0"/>
        <v>200.01</v>
      </c>
      <c r="F16" s="99">
        <f t="shared" si="1"/>
        <v>6867.01</v>
      </c>
      <c r="G16" s="99"/>
      <c r="H16" s="99"/>
      <c r="I16" s="100"/>
      <c r="J16" s="101"/>
      <c r="L16" s="98" t="s">
        <v>28</v>
      </c>
      <c r="M16" s="99">
        <v>13334</v>
      </c>
      <c r="N16" s="99">
        <v>6667</v>
      </c>
      <c r="O16" s="99">
        <f t="shared" si="2"/>
        <v>200.01</v>
      </c>
      <c r="P16" s="99">
        <f t="shared" si="3"/>
        <v>6867.01</v>
      </c>
      <c r="Q16" s="99"/>
      <c r="R16" s="99"/>
      <c r="S16" s="100"/>
      <c r="T16" s="101"/>
    </row>
    <row r="17" spans="2:20" x14ac:dyDescent="0.3">
      <c r="B17" s="98" t="s">
        <v>29</v>
      </c>
      <c r="C17" s="99">
        <v>6667</v>
      </c>
      <c r="D17" s="99">
        <v>6667</v>
      </c>
      <c r="E17" s="99">
        <f t="shared" si="0"/>
        <v>100.005</v>
      </c>
      <c r="F17" s="99">
        <f t="shared" si="1"/>
        <v>6767.0050000000001</v>
      </c>
      <c r="G17" s="99"/>
      <c r="H17" s="99"/>
      <c r="I17" s="100"/>
      <c r="J17" s="101" t="s">
        <v>42</v>
      </c>
      <c r="L17" s="98" t="s">
        <v>29</v>
      </c>
      <c r="M17" s="99">
        <v>6667</v>
      </c>
      <c r="N17" s="99">
        <v>6667</v>
      </c>
      <c r="O17" s="99">
        <f t="shared" si="2"/>
        <v>100.005</v>
      </c>
      <c r="P17" s="99">
        <f t="shared" si="3"/>
        <v>6767.0050000000001</v>
      </c>
      <c r="Q17" s="99"/>
      <c r="R17" s="99"/>
      <c r="S17" s="100"/>
      <c r="T17" s="101" t="s">
        <v>42</v>
      </c>
    </row>
    <row r="18" spans="2:20" x14ac:dyDescent="0.3">
      <c r="E18" s="38">
        <f>SUM(E6:E17)</f>
        <v>7800.33</v>
      </c>
      <c r="F18" s="38">
        <f>SUM(F6:F17)</f>
        <v>87803.996666666659</v>
      </c>
      <c r="G18" s="38">
        <f>SUM(G6:G17)</f>
        <v>7500</v>
      </c>
    </row>
    <row r="20" spans="2:20" x14ac:dyDescent="0.3">
      <c r="B20" s="77" t="s">
        <v>0</v>
      </c>
      <c r="C20" s="77" t="s">
        <v>116</v>
      </c>
      <c r="D20" s="77"/>
      <c r="E20" s="112"/>
      <c r="F20" s="79"/>
      <c r="G20" s="80"/>
      <c r="I20" s="81" t="s">
        <v>1</v>
      </c>
      <c r="J20" s="82">
        <v>10000</v>
      </c>
      <c r="L20" s="77" t="s">
        <v>0</v>
      </c>
      <c r="M20" s="77" t="s">
        <v>116</v>
      </c>
      <c r="N20" s="77"/>
      <c r="O20" s="112"/>
      <c r="P20" s="79"/>
      <c r="Q20" s="80"/>
      <c r="S20" s="81" t="s">
        <v>1</v>
      </c>
      <c r="T20" s="82">
        <v>10000</v>
      </c>
    </row>
    <row r="21" spans="2:20" x14ac:dyDescent="0.3">
      <c r="B21" s="77" t="s">
        <v>2</v>
      </c>
      <c r="C21" s="131"/>
      <c r="D21" s="132"/>
      <c r="E21" s="83"/>
      <c r="F21" s="81"/>
      <c r="G21" s="81"/>
      <c r="H21" s="84"/>
      <c r="I21" s="81" t="s">
        <v>3</v>
      </c>
      <c r="J21" s="113" t="s">
        <v>180</v>
      </c>
      <c r="L21" s="77" t="s">
        <v>2</v>
      </c>
      <c r="M21" s="131"/>
      <c r="N21" s="132"/>
      <c r="O21" s="83"/>
      <c r="P21" s="81"/>
      <c r="Q21" s="81"/>
      <c r="R21" s="84"/>
      <c r="S21" s="81" t="s">
        <v>3</v>
      </c>
      <c r="T21" s="113" t="s">
        <v>180</v>
      </c>
    </row>
    <row r="22" spans="2:20" x14ac:dyDescent="0.3">
      <c r="B22" s="77" t="s">
        <v>4</v>
      </c>
      <c r="C22" s="112"/>
      <c r="D22" s="132"/>
      <c r="E22" s="78"/>
      <c r="G22" s="81"/>
      <c r="H22" s="81"/>
      <c r="I22" s="81" t="s">
        <v>5</v>
      </c>
      <c r="J22" s="86">
        <v>1.4999999999999999E-2</v>
      </c>
      <c r="L22" s="77" t="s">
        <v>4</v>
      </c>
      <c r="M22" s="112"/>
      <c r="N22" s="132"/>
      <c r="O22" s="78"/>
      <c r="Q22" s="81"/>
      <c r="R22" s="81"/>
      <c r="S22" s="81" t="s">
        <v>5</v>
      </c>
      <c r="T22" s="86">
        <v>1.4999999999999999E-2</v>
      </c>
    </row>
    <row r="23" spans="2:20" ht="15" thickBot="1" x14ac:dyDescent="0.35">
      <c r="B23" s="77" t="s">
        <v>6</v>
      </c>
      <c r="C23" s="133"/>
      <c r="D23" s="133"/>
      <c r="F23" s="88"/>
      <c r="G23" s="88"/>
      <c r="H23" s="88"/>
      <c r="I23" s="88" t="s">
        <v>7</v>
      </c>
      <c r="J23" s="78">
        <v>12</v>
      </c>
      <c r="L23" s="77" t="s">
        <v>6</v>
      </c>
      <c r="M23" s="133"/>
      <c r="N23" s="133"/>
      <c r="P23" s="88"/>
      <c r="Q23" s="88"/>
      <c r="R23" s="88"/>
      <c r="S23" s="88" t="s">
        <v>7</v>
      </c>
      <c r="T23" s="78">
        <v>12</v>
      </c>
    </row>
    <row r="24" spans="2:20" ht="41.4" thickBot="1" x14ac:dyDescent="0.35">
      <c r="B24" s="89" t="s">
        <v>8</v>
      </c>
      <c r="C24" s="89" t="s">
        <v>9</v>
      </c>
      <c r="D24" s="89" t="s">
        <v>10</v>
      </c>
      <c r="E24" s="90" t="s">
        <v>11</v>
      </c>
      <c r="F24" s="91" t="s">
        <v>12</v>
      </c>
      <c r="G24" s="92" t="s">
        <v>13</v>
      </c>
      <c r="H24" s="92" t="s">
        <v>14</v>
      </c>
      <c r="I24" s="92" t="s">
        <v>15</v>
      </c>
      <c r="J24" s="93" t="s">
        <v>16</v>
      </c>
      <c r="L24" s="89" t="s">
        <v>8</v>
      </c>
      <c r="M24" s="89" t="s">
        <v>9</v>
      </c>
      <c r="N24" s="89" t="s">
        <v>10</v>
      </c>
      <c r="O24" s="90" t="s">
        <v>11</v>
      </c>
      <c r="P24" s="91" t="s">
        <v>12</v>
      </c>
      <c r="Q24" s="92" t="s">
        <v>13</v>
      </c>
      <c r="R24" s="92" t="s">
        <v>14</v>
      </c>
      <c r="S24" s="92" t="s">
        <v>15</v>
      </c>
      <c r="T24" s="93" t="s">
        <v>16</v>
      </c>
    </row>
    <row r="25" spans="2:20" x14ac:dyDescent="0.3">
      <c r="B25" s="94" t="s">
        <v>17</v>
      </c>
      <c r="C25" s="95">
        <f>J20</f>
        <v>10000</v>
      </c>
      <c r="D25" s="95">
        <f>J20/J23</f>
        <v>833.33333333333337</v>
      </c>
      <c r="E25" s="95">
        <f t="shared" ref="E25:E36" si="4">(C25*0.015)</f>
        <v>150</v>
      </c>
      <c r="F25" s="95">
        <f t="shared" ref="F25:F36" si="5">SUM(D25:E25)</f>
        <v>983.33333333333337</v>
      </c>
      <c r="G25" s="95"/>
      <c r="H25" s="95"/>
      <c r="I25" s="96"/>
      <c r="J25" s="97"/>
      <c r="L25" s="94" t="s">
        <v>17</v>
      </c>
      <c r="M25" s="95">
        <f>T20</f>
        <v>10000</v>
      </c>
      <c r="N25" s="95">
        <f>T20/T23</f>
        <v>833.33333333333337</v>
      </c>
      <c r="O25" s="95">
        <f t="shared" ref="O25:O36" si="6">(M25*0.015)</f>
        <v>150</v>
      </c>
      <c r="P25" s="95">
        <f t="shared" ref="P25:P36" si="7">SUM(N25:O25)</f>
        <v>983.33333333333337</v>
      </c>
      <c r="Q25" s="95"/>
      <c r="R25" s="95"/>
      <c r="S25" s="96"/>
      <c r="T25" s="97"/>
    </row>
    <row r="26" spans="2:20" x14ac:dyDescent="0.3">
      <c r="B26" s="98" t="s">
        <v>18</v>
      </c>
      <c r="C26" s="99">
        <v>9163</v>
      </c>
      <c r="D26" s="99">
        <v>833</v>
      </c>
      <c r="E26" s="99">
        <f t="shared" si="4"/>
        <v>137.44499999999999</v>
      </c>
      <c r="F26" s="99">
        <f t="shared" si="5"/>
        <v>970.44499999999994</v>
      </c>
      <c r="G26" s="99"/>
      <c r="H26" s="99"/>
      <c r="I26" s="100"/>
      <c r="J26" s="101"/>
      <c r="L26" s="98" t="s">
        <v>18</v>
      </c>
      <c r="M26" s="99">
        <v>9163</v>
      </c>
      <c r="N26" s="99">
        <v>833</v>
      </c>
      <c r="O26" s="99">
        <f t="shared" si="6"/>
        <v>137.44499999999999</v>
      </c>
      <c r="P26" s="99">
        <f t="shared" si="7"/>
        <v>970.44499999999994</v>
      </c>
      <c r="Q26" s="99"/>
      <c r="R26" s="99"/>
      <c r="S26" s="100"/>
      <c r="T26" s="101"/>
    </row>
    <row r="27" spans="2:20" x14ac:dyDescent="0.3">
      <c r="B27" s="98" t="s">
        <v>19</v>
      </c>
      <c r="C27" s="99">
        <v>8330</v>
      </c>
      <c r="D27" s="99">
        <v>833</v>
      </c>
      <c r="E27" s="99">
        <f t="shared" si="4"/>
        <v>124.94999999999999</v>
      </c>
      <c r="F27" s="99">
        <f t="shared" si="5"/>
        <v>957.95</v>
      </c>
      <c r="G27" s="99"/>
      <c r="H27" s="99"/>
      <c r="I27" s="100"/>
      <c r="J27" s="101"/>
      <c r="L27" s="98" t="s">
        <v>19</v>
      </c>
      <c r="M27" s="99">
        <v>8330</v>
      </c>
      <c r="N27" s="99">
        <v>833</v>
      </c>
      <c r="O27" s="99">
        <f t="shared" si="6"/>
        <v>124.94999999999999</v>
      </c>
      <c r="P27" s="99">
        <f t="shared" si="7"/>
        <v>957.95</v>
      </c>
      <c r="Q27" s="99"/>
      <c r="R27" s="99"/>
      <c r="S27" s="100"/>
      <c r="T27" s="101"/>
    </row>
    <row r="28" spans="2:20" x14ac:dyDescent="0.3">
      <c r="B28" s="98" t="s">
        <v>20</v>
      </c>
      <c r="C28" s="99">
        <v>7497</v>
      </c>
      <c r="D28" s="99">
        <v>833</v>
      </c>
      <c r="E28" s="99">
        <f t="shared" si="4"/>
        <v>112.455</v>
      </c>
      <c r="F28" s="99">
        <f t="shared" si="5"/>
        <v>945.45500000000004</v>
      </c>
      <c r="G28" s="99"/>
      <c r="H28" s="99"/>
      <c r="I28" s="100"/>
      <c r="J28" s="101"/>
      <c r="L28" s="98" t="s">
        <v>20</v>
      </c>
      <c r="M28" s="99">
        <v>7497</v>
      </c>
      <c r="N28" s="99">
        <v>833</v>
      </c>
      <c r="O28" s="99">
        <f t="shared" si="6"/>
        <v>112.455</v>
      </c>
      <c r="P28" s="99">
        <f t="shared" si="7"/>
        <v>945.45500000000004</v>
      </c>
      <c r="Q28" s="99"/>
      <c r="R28" s="99"/>
      <c r="S28" s="100"/>
      <c r="T28" s="101"/>
    </row>
    <row r="29" spans="2:20" x14ac:dyDescent="0.3">
      <c r="B29" s="98" t="s">
        <v>21</v>
      </c>
      <c r="C29" s="99">
        <v>6664</v>
      </c>
      <c r="D29" s="99">
        <v>833</v>
      </c>
      <c r="E29" s="99">
        <f t="shared" si="4"/>
        <v>99.96</v>
      </c>
      <c r="F29" s="99">
        <f t="shared" si="5"/>
        <v>932.96</v>
      </c>
      <c r="G29" s="99"/>
      <c r="H29" s="99"/>
      <c r="I29" s="100"/>
      <c r="J29" s="101"/>
      <c r="L29" s="98" t="s">
        <v>21</v>
      </c>
      <c r="M29" s="99">
        <v>6664</v>
      </c>
      <c r="N29" s="99">
        <v>833</v>
      </c>
      <c r="O29" s="99">
        <f t="shared" si="6"/>
        <v>99.96</v>
      </c>
      <c r="P29" s="99">
        <f t="shared" si="7"/>
        <v>932.96</v>
      </c>
      <c r="Q29" s="99"/>
      <c r="R29" s="99"/>
      <c r="S29" s="100"/>
      <c r="T29" s="101"/>
    </row>
    <row r="30" spans="2:20" x14ac:dyDescent="0.3">
      <c r="B30" s="98" t="s">
        <v>23</v>
      </c>
      <c r="C30" s="99">
        <v>5831</v>
      </c>
      <c r="D30" s="99">
        <v>833</v>
      </c>
      <c r="E30" s="99">
        <f t="shared" si="4"/>
        <v>87.465000000000003</v>
      </c>
      <c r="F30" s="99">
        <f t="shared" si="5"/>
        <v>920.46500000000003</v>
      </c>
      <c r="G30" s="99"/>
      <c r="H30" s="99"/>
      <c r="I30" s="100"/>
      <c r="J30" s="101"/>
      <c r="L30" s="98" t="s">
        <v>23</v>
      </c>
      <c r="M30" s="99">
        <v>5831</v>
      </c>
      <c r="N30" s="99">
        <v>833</v>
      </c>
      <c r="O30" s="99">
        <f t="shared" si="6"/>
        <v>87.465000000000003</v>
      </c>
      <c r="P30" s="99">
        <f t="shared" si="7"/>
        <v>920.46500000000003</v>
      </c>
      <c r="Q30" s="99"/>
      <c r="R30" s="99"/>
      <c r="S30" s="100"/>
      <c r="T30" s="101"/>
    </row>
    <row r="31" spans="2:20" x14ac:dyDescent="0.3">
      <c r="B31" s="98" t="s">
        <v>24</v>
      </c>
      <c r="C31" s="99">
        <v>4998</v>
      </c>
      <c r="D31" s="99">
        <v>833</v>
      </c>
      <c r="E31" s="99">
        <f t="shared" si="4"/>
        <v>74.97</v>
      </c>
      <c r="F31" s="99">
        <f t="shared" si="5"/>
        <v>907.97</v>
      </c>
      <c r="G31" s="99"/>
      <c r="H31" s="99"/>
      <c r="I31" s="100"/>
      <c r="J31" s="101"/>
      <c r="L31" s="98" t="s">
        <v>24</v>
      </c>
      <c r="M31" s="99">
        <v>4998</v>
      </c>
      <c r="N31" s="99">
        <v>833</v>
      </c>
      <c r="O31" s="99">
        <f t="shared" si="6"/>
        <v>74.97</v>
      </c>
      <c r="P31" s="99">
        <f t="shared" si="7"/>
        <v>907.97</v>
      </c>
      <c r="Q31" s="99"/>
      <c r="R31" s="99"/>
      <c r="S31" s="100"/>
      <c r="T31" s="101"/>
    </row>
    <row r="32" spans="2:20" x14ac:dyDescent="0.3">
      <c r="B32" s="98" t="s">
        <v>25</v>
      </c>
      <c r="C32" s="99">
        <v>4165</v>
      </c>
      <c r="D32" s="99">
        <v>833</v>
      </c>
      <c r="E32" s="99">
        <f t="shared" si="4"/>
        <v>62.474999999999994</v>
      </c>
      <c r="F32" s="99">
        <f t="shared" si="5"/>
        <v>895.47500000000002</v>
      </c>
      <c r="G32" s="99"/>
      <c r="H32" s="99"/>
      <c r="I32" s="100"/>
      <c r="J32" s="101"/>
      <c r="L32" s="98" t="s">
        <v>25</v>
      </c>
      <c r="M32" s="99">
        <v>4165</v>
      </c>
      <c r="N32" s="99">
        <v>833</v>
      </c>
      <c r="O32" s="99">
        <f t="shared" si="6"/>
        <v>62.474999999999994</v>
      </c>
      <c r="P32" s="99">
        <f t="shared" si="7"/>
        <v>895.47500000000002</v>
      </c>
      <c r="Q32" s="99"/>
      <c r="R32" s="99"/>
      <c r="S32" s="100"/>
      <c r="T32" s="101"/>
    </row>
    <row r="33" spans="2:20" x14ac:dyDescent="0.3">
      <c r="B33" s="98" t="s">
        <v>26</v>
      </c>
      <c r="C33" s="99">
        <v>3332</v>
      </c>
      <c r="D33" s="99">
        <v>833</v>
      </c>
      <c r="E33" s="99">
        <f t="shared" si="4"/>
        <v>49.98</v>
      </c>
      <c r="F33" s="99">
        <f t="shared" si="5"/>
        <v>882.98</v>
      </c>
      <c r="G33" s="99"/>
      <c r="H33" s="99"/>
      <c r="I33" s="100"/>
      <c r="J33" s="101"/>
      <c r="L33" s="98" t="s">
        <v>26</v>
      </c>
      <c r="M33" s="99">
        <v>3332</v>
      </c>
      <c r="N33" s="99">
        <v>833</v>
      </c>
      <c r="O33" s="99">
        <f t="shared" si="6"/>
        <v>49.98</v>
      </c>
      <c r="P33" s="99">
        <f t="shared" si="7"/>
        <v>882.98</v>
      </c>
      <c r="Q33" s="99"/>
      <c r="R33" s="99"/>
      <c r="S33" s="100"/>
      <c r="T33" s="101"/>
    </row>
    <row r="34" spans="2:20" x14ac:dyDescent="0.3">
      <c r="B34" s="98" t="s">
        <v>27</v>
      </c>
      <c r="C34" s="99">
        <v>2499</v>
      </c>
      <c r="D34" s="99">
        <v>833</v>
      </c>
      <c r="E34" s="99">
        <f t="shared" si="4"/>
        <v>37.484999999999999</v>
      </c>
      <c r="F34" s="99">
        <f t="shared" si="5"/>
        <v>870.48500000000001</v>
      </c>
      <c r="G34" s="99"/>
      <c r="H34" s="99"/>
      <c r="I34" s="100"/>
      <c r="J34" s="101"/>
      <c r="L34" s="98" t="s">
        <v>27</v>
      </c>
      <c r="M34" s="99">
        <v>2499</v>
      </c>
      <c r="N34" s="99">
        <v>833</v>
      </c>
      <c r="O34" s="99">
        <f t="shared" si="6"/>
        <v>37.484999999999999</v>
      </c>
      <c r="P34" s="99">
        <f t="shared" si="7"/>
        <v>870.48500000000001</v>
      </c>
      <c r="Q34" s="99"/>
      <c r="R34" s="99"/>
      <c r="S34" s="100"/>
      <c r="T34" s="101"/>
    </row>
    <row r="35" spans="2:20" x14ac:dyDescent="0.3">
      <c r="B35" s="98" t="s">
        <v>28</v>
      </c>
      <c r="C35" s="99">
        <v>1666</v>
      </c>
      <c r="D35" s="99">
        <v>833</v>
      </c>
      <c r="E35" s="99">
        <f t="shared" si="4"/>
        <v>24.99</v>
      </c>
      <c r="F35" s="99">
        <f t="shared" si="5"/>
        <v>857.99</v>
      </c>
      <c r="G35" s="99"/>
      <c r="H35" s="99"/>
      <c r="I35" s="100"/>
      <c r="J35" s="101"/>
      <c r="L35" s="98" t="s">
        <v>28</v>
      </c>
      <c r="M35" s="99">
        <v>1666</v>
      </c>
      <c r="N35" s="99">
        <v>833</v>
      </c>
      <c r="O35" s="99">
        <f t="shared" si="6"/>
        <v>24.99</v>
      </c>
      <c r="P35" s="99">
        <f t="shared" si="7"/>
        <v>857.99</v>
      </c>
      <c r="Q35" s="99"/>
      <c r="R35" s="99"/>
      <c r="S35" s="100"/>
      <c r="T35" s="101"/>
    </row>
    <row r="36" spans="2:20" x14ac:dyDescent="0.3">
      <c r="B36" s="98" t="s">
        <v>29</v>
      </c>
      <c r="C36" s="99">
        <v>833</v>
      </c>
      <c r="D36" s="99">
        <v>833</v>
      </c>
      <c r="E36" s="99">
        <f t="shared" si="4"/>
        <v>12.494999999999999</v>
      </c>
      <c r="F36" s="99">
        <f t="shared" si="5"/>
        <v>845.495</v>
      </c>
      <c r="G36" s="99"/>
      <c r="H36" s="99"/>
      <c r="I36" s="100"/>
      <c r="J36" s="101" t="s">
        <v>42</v>
      </c>
      <c r="L36" s="98" t="s">
        <v>29</v>
      </c>
      <c r="M36" s="99">
        <v>833</v>
      </c>
      <c r="N36" s="99">
        <v>833</v>
      </c>
      <c r="O36" s="99">
        <f t="shared" si="6"/>
        <v>12.494999999999999</v>
      </c>
      <c r="P36" s="99">
        <f t="shared" si="7"/>
        <v>845.495</v>
      </c>
      <c r="Q36" s="99"/>
      <c r="R36" s="99"/>
      <c r="S36" s="100"/>
      <c r="T36" s="101" t="s">
        <v>42</v>
      </c>
    </row>
    <row r="39" spans="2:20" x14ac:dyDescent="0.3">
      <c r="B39" s="77" t="s">
        <v>0</v>
      </c>
      <c r="C39" s="77" t="s">
        <v>116</v>
      </c>
      <c r="D39" s="77"/>
      <c r="E39" s="112"/>
      <c r="F39" s="79"/>
      <c r="G39" s="80"/>
      <c r="I39" s="81" t="s">
        <v>1</v>
      </c>
      <c r="J39" s="82">
        <v>10000</v>
      </c>
      <c r="L39" s="77" t="s">
        <v>0</v>
      </c>
      <c r="M39" s="77" t="s">
        <v>116</v>
      </c>
      <c r="N39" s="77"/>
      <c r="O39" s="112"/>
      <c r="P39" s="79"/>
      <c r="Q39" s="80"/>
      <c r="S39" s="81" t="s">
        <v>1</v>
      </c>
      <c r="T39" s="82">
        <v>10000</v>
      </c>
    </row>
    <row r="40" spans="2:20" x14ac:dyDescent="0.3">
      <c r="B40" s="77" t="s">
        <v>2</v>
      </c>
      <c r="C40" s="131"/>
      <c r="D40" s="132"/>
      <c r="E40" s="83"/>
      <c r="F40" s="81"/>
      <c r="G40" s="81"/>
      <c r="H40" s="84"/>
      <c r="I40" s="81" t="s">
        <v>3</v>
      </c>
      <c r="J40" s="113" t="s">
        <v>200</v>
      </c>
      <c r="L40" s="77" t="s">
        <v>2</v>
      </c>
      <c r="M40" s="131"/>
      <c r="N40" s="132"/>
      <c r="O40" s="83"/>
      <c r="P40" s="81"/>
      <c r="Q40" s="81"/>
      <c r="R40" s="84"/>
      <c r="S40" s="81" t="s">
        <v>3</v>
      </c>
      <c r="T40" s="113" t="s">
        <v>200</v>
      </c>
    </row>
    <row r="41" spans="2:20" x14ac:dyDescent="0.3">
      <c r="B41" s="77" t="s">
        <v>4</v>
      </c>
      <c r="C41" s="112"/>
      <c r="D41" s="132"/>
      <c r="E41" s="78"/>
      <c r="G41" s="81"/>
      <c r="H41" s="81"/>
      <c r="I41" s="81" t="s">
        <v>5</v>
      </c>
      <c r="J41" s="86">
        <v>1.4999999999999999E-2</v>
      </c>
      <c r="L41" s="77" t="s">
        <v>4</v>
      </c>
      <c r="M41" s="112"/>
      <c r="N41" s="132"/>
      <c r="O41" s="78"/>
      <c r="Q41" s="81"/>
      <c r="R41" s="81"/>
      <c r="S41" s="81" t="s">
        <v>5</v>
      </c>
      <c r="T41" s="86">
        <v>1.4999999999999999E-2</v>
      </c>
    </row>
    <row r="42" spans="2:20" ht="15" thickBot="1" x14ac:dyDescent="0.35">
      <c r="B42" s="77" t="s">
        <v>6</v>
      </c>
      <c r="C42" s="133"/>
      <c r="D42" s="133"/>
      <c r="F42" s="88"/>
      <c r="G42" s="88"/>
      <c r="H42" s="88"/>
      <c r="I42" s="88" t="s">
        <v>7</v>
      </c>
      <c r="J42" s="78">
        <v>12</v>
      </c>
      <c r="L42" s="77" t="s">
        <v>6</v>
      </c>
      <c r="M42" s="133"/>
      <c r="N42" s="133"/>
      <c r="P42" s="88"/>
      <c r="Q42" s="88"/>
      <c r="R42" s="88"/>
      <c r="S42" s="88" t="s">
        <v>7</v>
      </c>
      <c r="T42" s="78">
        <v>12</v>
      </c>
    </row>
    <row r="43" spans="2:20" ht="41.4" thickBot="1" x14ac:dyDescent="0.35">
      <c r="B43" s="89" t="s">
        <v>8</v>
      </c>
      <c r="C43" s="89" t="s">
        <v>9</v>
      </c>
      <c r="D43" s="89" t="s">
        <v>10</v>
      </c>
      <c r="E43" s="90" t="s">
        <v>11</v>
      </c>
      <c r="F43" s="91" t="s">
        <v>12</v>
      </c>
      <c r="G43" s="92" t="s">
        <v>13</v>
      </c>
      <c r="H43" s="92" t="s">
        <v>14</v>
      </c>
      <c r="I43" s="92" t="s">
        <v>15</v>
      </c>
      <c r="J43" s="93" t="s">
        <v>16</v>
      </c>
      <c r="L43" s="89" t="s">
        <v>8</v>
      </c>
      <c r="M43" s="89" t="s">
        <v>9</v>
      </c>
      <c r="N43" s="89" t="s">
        <v>10</v>
      </c>
      <c r="O43" s="90" t="s">
        <v>11</v>
      </c>
      <c r="P43" s="91" t="s">
        <v>12</v>
      </c>
      <c r="Q43" s="92" t="s">
        <v>13</v>
      </c>
      <c r="R43" s="92" t="s">
        <v>14</v>
      </c>
      <c r="S43" s="92" t="s">
        <v>15</v>
      </c>
      <c r="T43" s="93" t="s">
        <v>16</v>
      </c>
    </row>
    <row r="44" spans="2:20" x14ac:dyDescent="0.3">
      <c r="B44" s="94" t="s">
        <v>17</v>
      </c>
      <c r="C44" s="95">
        <f>J39</f>
        <v>10000</v>
      </c>
      <c r="D44" s="95">
        <f>J39/J42</f>
        <v>833.33333333333337</v>
      </c>
      <c r="E44" s="95">
        <f t="shared" ref="E44:E55" si="8">(C44*0.015)</f>
        <v>150</v>
      </c>
      <c r="F44" s="95">
        <f t="shared" ref="F44:F55" si="9">SUM(D44:E44)</f>
        <v>983.33333333333337</v>
      </c>
      <c r="G44" s="95"/>
      <c r="H44" s="95"/>
      <c r="I44" s="96"/>
      <c r="J44" s="97"/>
      <c r="L44" s="94" t="s">
        <v>17</v>
      </c>
      <c r="M44" s="95">
        <f>T39</f>
        <v>10000</v>
      </c>
      <c r="N44" s="95">
        <f>T39/T42</f>
        <v>833.33333333333337</v>
      </c>
      <c r="O44" s="95">
        <f t="shared" ref="O44:O55" si="10">(M44*0.015)</f>
        <v>150</v>
      </c>
      <c r="P44" s="95">
        <f t="shared" ref="P44:P55" si="11">SUM(N44:O44)</f>
        <v>983.33333333333337</v>
      </c>
      <c r="Q44" s="95"/>
      <c r="R44" s="95"/>
      <c r="S44" s="96"/>
      <c r="T44" s="97"/>
    </row>
    <row r="45" spans="2:20" x14ac:dyDescent="0.3">
      <c r="B45" s="98" t="s">
        <v>18</v>
      </c>
      <c r="C45" s="99">
        <v>9163</v>
      </c>
      <c r="D45" s="99">
        <v>833</v>
      </c>
      <c r="E45" s="99">
        <f t="shared" si="8"/>
        <v>137.44499999999999</v>
      </c>
      <c r="F45" s="99">
        <f t="shared" si="9"/>
        <v>970.44499999999994</v>
      </c>
      <c r="G45" s="99"/>
      <c r="H45" s="99"/>
      <c r="I45" s="100"/>
      <c r="J45" s="101"/>
      <c r="L45" s="98" t="s">
        <v>18</v>
      </c>
      <c r="M45" s="99">
        <v>9163</v>
      </c>
      <c r="N45" s="99">
        <v>833</v>
      </c>
      <c r="O45" s="99">
        <f t="shared" si="10"/>
        <v>137.44499999999999</v>
      </c>
      <c r="P45" s="99">
        <f t="shared" si="11"/>
        <v>970.44499999999994</v>
      </c>
      <c r="Q45" s="99"/>
      <c r="R45" s="99"/>
      <c r="S45" s="100"/>
      <c r="T45" s="101"/>
    </row>
    <row r="46" spans="2:20" x14ac:dyDescent="0.3">
      <c r="B46" s="98" t="s">
        <v>19</v>
      </c>
      <c r="C46" s="99">
        <v>8330</v>
      </c>
      <c r="D46" s="99">
        <v>833</v>
      </c>
      <c r="E46" s="99">
        <f t="shared" si="8"/>
        <v>124.94999999999999</v>
      </c>
      <c r="F46" s="99">
        <f t="shared" si="9"/>
        <v>957.95</v>
      </c>
      <c r="G46" s="99"/>
      <c r="H46" s="99"/>
      <c r="I46" s="100"/>
      <c r="J46" s="101"/>
      <c r="L46" s="98" t="s">
        <v>19</v>
      </c>
      <c r="M46" s="99">
        <v>8330</v>
      </c>
      <c r="N46" s="99">
        <v>833</v>
      </c>
      <c r="O46" s="99">
        <f t="shared" si="10"/>
        <v>124.94999999999999</v>
      </c>
      <c r="P46" s="99">
        <f t="shared" si="11"/>
        <v>957.95</v>
      </c>
      <c r="Q46" s="99"/>
      <c r="R46" s="99"/>
      <c r="S46" s="100"/>
      <c r="T46" s="101"/>
    </row>
    <row r="47" spans="2:20" x14ac:dyDescent="0.3">
      <c r="B47" s="98" t="s">
        <v>20</v>
      </c>
      <c r="C47" s="99">
        <v>7497</v>
      </c>
      <c r="D47" s="99">
        <v>833</v>
      </c>
      <c r="E47" s="99">
        <f t="shared" si="8"/>
        <v>112.455</v>
      </c>
      <c r="F47" s="99">
        <f t="shared" si="9"/>
        <v>945.45500000000004</v>
      </c>
      <c r="G47" s="99"/>
      <c r="H47" s="99"/>
      <c r="I47" s="100"/>
      <c r="J47" s="101"/>
      <c r="L47" s="98" t="s">
        <v>20</v>
      </c>
      <c r="M47" s="99">
        <v>7497</v>
      </c>
      <c r="N47" s="99">
        <v>833</v>
      </c>
      <c r="O47" s="99">
        <f t="shared" si="10"/>
        <v>112.455</v>
      </c>
      <c r="P47" s="99">
        <f t="shared" si="11"/>
        <v>945.45500000000004</v>
      </c>
      <c r="Q47" s="99"/>
      <c r="R47" s="99"/>
      <c r="S47" s="100"/>
      <c r="T47" s="101"/>
    </row>
    <row r="48" spans="2:20" x14ac:dyDescent="0.3">
      <c r="B48" s="98" t="s">
        <v>21</v>
      </c>
      <c r="C48" s="99">
        <v>6664</v>
      </c>
      <c r="D48" s="99">
        <v>833</v>
      </c>
      <c r="E48" s="99">
        <f t="shared" si="8"/>
        <v>99.96</v>
      </c>
      <c r="F48" s="99">
        <f t="shared" si="9"/>
        <v>932.96</v>
      </c>
      <c r="G48" s="99"/>
      <c r="H48" s="99"/>
      <c r="I48" s="100"/>
      <c r="J48" s="101"/>
      <c r="L48" s="98" t="s">
        <v>21</v>
      </c>
      <c r="M48" s="99">
        <v>6664</v>
      </c>
      <c r="N48" s="99">
        <v>833</v>
      </c>
      <c r="O48" s="99">
        <f t="shared" si="10"/>
        <v>99.96</v>
      </c>
      <c r="P48" s="99">
        <f t="shared" si="11"/>
        <v>932.96</v>
      </c>
      <c r="Q48" s="99"/>
      <c r="R48" s="99"/>
      <c r="S48" s="100"/>
      <c r="T48" s="101"/>
    </row>
    <row r="49" spans="2:20" x14ac:dyDescent="0.3">
      <c r="B49" s="98" t="s">
        <v>23</v>
      </c>
      <c r="C49" s="99">
        <v>5831</v>
      </c>
      <c r="D49" s="99">
        <v>833</v>
      </c>
      <c r="E49" s="99">
        <f t="shared" si="8"/>
        <v>87.465000000000003</v>
      </c>
      <c r="F49" s="99">
        <f t="shared" si="9"/>
        <v>920.46500000000003</v>
      </c>
      <c r="G49" s="99"/>
      <c r="H49" s="99"/>
      <c r="I49" s="100"/>
      <c r="J49" s="101"/>
      <c r="L49" s="98" t="s">
        <v>23</v>
      </c>
      <c r="M49" s="99">
        <v>5831</v>
      </c>
      <c r="N49" s="99">
        <v>833</v>
      </c>
      <c r="O49" s="99">
        <f t="shared" si="10"/>
        <v>87.465000000000003</v>
      </c>
      <c r="P49" s="99">
        <f t="shared" si="11"/>
        <v>920.46500000000003</v>
      </c>
      <c r="Q49" s="99"/>
      <c r="R49" s="99"/>
      <c r="S49" s="100"/>
      <c r="T49" s="101"/>
    </row>
    <row r="50" spans="2:20" x14ac:dyDescent="0.3">
      <c r="B50" s="98" t="s">
        <v>24</v>
      </c>
      <c r="C50" s="99">
        <v>4998</v>
      </c>
      <c r="D50" s="99">
        <v>833</v>
      </c>
      <c r="E50" s="99">
        <f t="shared" si="8"/>
        <v>74.97</v>
      </c>
      <c r="F50" s="99">
        <f t="shared" si="9"/>
        <v>907.97</v>
      </c>
      <c r="G50" s="99"/>
      <c r="H50" s="99"/>
      <c r="I50" s="100"/>
      <c r="J50" s="101"/>
      <c r="L50" s="98" t="s">
        <v>24</v>
      </c>
      <c r="M50" s="99">
        <v>4998</v>
      </c>
      <c r="N50" s="99">
        <v>833</v>
      </c>
      <c r="O50" s="99">
        <f t="shared" si="10"/>
        <v>74.97</v>
      </c>
      <c r="P50" s="99">
        <f t="shared" si="11"/>
        <v>907.97</v>
      </c>
      <c r="Q50" s="99"/>
      <c r="R50" s="99"/>
      <c r="S50" s="100"/>
      <c r="T50" s="101"/>
    </row>
    <row r="51" spans="2:20" x14ac:dyDescent="0.3">
      <c r="B51" s="98" t="s">
        <v>25</v>
      </c>
      <c r="C51" s="99">
        <v>4165</v>
      </c>
      <c r="D51" s="99">
        <v>833</v>
      </c>
      <c r="E51" s="99">
        <f t="shared" si="8"/>
        <v>62.474999999999994</v>
      </c>
      <c r="F51" s="99">
        <f t="shared" si="9"/>
        <v>895.47500000000002</v>
      </c>
      <c r="G51" s="99"/>
      <c r="H51" s="99"/>
      <c r="I51" s="100"/>
      <c r="J51" s="101"/>
      <c r="L51" s="98" t="s">
        <v>25</v>
      </c>
      <c r="M51" s="99">
        <v>4165</v>
      </c>
      <c r="N51" s="99">
        <v>833</v>
      </c>
      <c r="O51" s="99">
        <f t="shared" si="10"/>
        <v>62.474999999999994</v>
      </c>
      <c r="P51" s="99">
        <f t="shared" si="11"/>
        <v>895.47500000000002</v>
      </c>
      <c r="Q51" s="99"/>
      <c r="R51" s="99"/>
      <c r="S51" s="100"/>
      <c r="T51" s="101"/>
    </row>
    <row r="52" spans="2:20" x14ac:dyDescent="0.3">
      <c r="B52" s="98" t="s">
        <v>26</v>
      </c>
      <c r="C52" s="99">
        <v>3332</v>
      </c>
      <c r="D52" s="99">
        <v>833</v>
      </c>
      <c r="E52" s="99">
        <f t="shared" si="8"/>
        <v>49.98</v>
      </c>
      <c r="F52" s="99">
        <f t="shared" si="9"/>
        <v>882.98</v>
      </c>
      <c r="G52" s="99"/>
      <c r="H52" s="99"/>
      <c r="I52" s="100"/>
      <c r="J52" s="101"/>
      <c r="L52" s="98" t="s">
        <v>26</v>
      </c>
      <c r="M52" s="99">
        <v>3332</v>
      </c>
      <c r="N52" s="99">
        <v>833</v>
      </c>
      <c r="O52" s="99">
        <f t="shared" si="10"/>
        <v>49.98</v>
      </c>
      <c r="P52" s="99">
        <f t="shared" si="11"/>
        <v>882.98</v>
      </c>
      <c r="Q52" s="99"/>
      <c r="R52" s="99"/>
      <c r="S52" s="100"/>
      <c r="T52" s="101"/>
    </row>
    <row r="53" spans="2:20" x14ac:dyDescent="0.3">
      <c r="B53" s="98" t="s">
        <v>27</v>
      </c>
      <c r="C53" s="99">
        <v>2499</v>
      </c>
      <c r="D53" s="99">
        <v>833</v>
      </c>
      <c r="E53" s="99">
        <f t="shared" si="8"/>
        <v>37.484999999999999</v>
      </c>
      <c r="F53" s="99">
        <f t="shared" si="9"/>
        <v>870.48500000000001</v>
      </c>
      <c r="G53" s="99"/>
      <c r="H53" s="99"/>
      <c r="I53" s="100"/>
      <c r="J53" s="101"/>
      <c r="L53" s="98" t="s">
        <v>27</v>
      </c>
      <c r="M53" s="99">
        <v>2499</v>
      </c>
      <c r="N53" s="99">
        <v>833</v>
      </c>
      <c r="O53" s="99">
        <f t="shared" si="10"/>
        <v>37.484999999999999</v>
      </c>
      <c r="P53" s="99">
        <f t="shared" si="11"/>
        <v>870.48500000000001</v>
      </c>
      <c r="Q53" s="99"/>
      <c r="R53" s="99"/>
      <c r="S53" s="100"/>
      <c r="T53" s="101"/>
    </row>
    <row r="54" spans="2:20" x14ac:dyDescent="0.3">
      <c r="B54" s="98" t="s">
        <v>28</v>
      </c>
      <c r="C54" s="99">
        <v>1666</v>
      </c>
      <c r="D54" s="99">
        <v>833</v>
      </c>
      <c r="E54" s="99">
        <f t="shared" si="8"/>
        <v>24.99</v>
      </c>
      <c r="F54" s="99">
        <f t="shared" si="9"/>
        <v>857.99</v>
      </c>
      <c r="G54" s="99"/>
      <c r="H54" s="99"/>
      <c r="I54" s="100"/>
      <c r="J54" s="101"/>
      <c r="L54" s="98" t="s">
        <v>28</v>
      </c>
      <c r="M54" s="99">
        <v>1666</v>
      </c>
      <c r="N54" s="99">
        <v>833</v>
      </c>
      <c r="O54" s="99">
        <f t="shared" si="10"/>
        <v>24.99</v>
      </c>
      <c r="P54" s="99">
        <f t="shared" si="11"/>
        <v>857.99</v>
      </c>
      <c r="Q54" s="99"/>
      <c r="R54" s="99"/>
      <c r="S54" s="100"/>
      <c r="T54" s="101"/>
    </row>
    <row r="55" spans="2:20" x14ac:dyDescent="0.3">
      <c r="B55" s="98" t="s">
        <v>29</v>
      </c>
      <c r="C55" s="99">
        <v>833</v>
      </c>
      <c r="D55" s="99">
        <v>833</v>
      </c>
      <c r="E55" s="99">
        <f t="shared" si="8"/>
        <v>12.494999999999999</v>
      </c>
      <c r="F55" s="99">
        <f t="shared" si="9"/>
        <v>845.495</v>
      </c>
      <c r="G55" s="99"/>
      <c r="H55" s="99"/>
      <c r="I55" s="100"/>
      <c r="J55" s="101" t="s">
        <v>42</v>
      </c>
      <c r="L55" s="98" t="s">
        <v>29</v>
      </c>
      <c r="M55" s="99">
        <v>833</v>
      </c>
      <c r="N55" s="99">
        <v>833</v>
      </c>
      <c r="O55" s="99">
        <f t="shared" si="10"/>
        <v>12.494999999999999</v>
      </c>
      <c r="P55" s="99">
        <f t="shared" si="11"/>
        <v>845.495</v>
      </c>
      <c r="Q55" s="99"/>
      <c r="R55" s="99"/>
      <c r="S55" s="100"/>
      <c r="T55" s="101" t="s">
        <v>42</v>
      </c>
    </row>
    <row r="58" spans="2:20" x14ac:dyDescent="0.3">
      <c r="B58" s="77" t="s">
        <v>0</v>
      </c>
      <c r="C58" s="229" t="s">
        <v>168</v>
      </c>
      <c r="D58" s="229"/>
      <c r="E58" s="229"/>
      <c r="F58" s="79"/>
      <c r="G58" s="80"/>
      <c r="H58" s="231" t="s">
        <v>1</v>
      </c>
      <c r="I58" s="231"/>
      <c r="J58" s="82">
        <v>70000</v>
      </c>
      <c r="L58" s="77" t="s">
        <v>0</v>
      </c>
      <c r="M58" s="77" t="s">
        <v>168</v>
      </c>
      <c r="N58" s="77"/>
      <c r="O58" s="77"/>
      <c r="P58" s="79"/>
      <c r="Q58" s="80"/>
      <c r="S58" s="81" t="s">
        <v>206</v>
      </c>
      <c r="T58" s="82">
        <v>70000</v>
      </c>
    </row>
    <row r="59" spans="2:20" x14ac:dyDescent="0.3">
      <c r="B59" s="77" t="s">
        <v>2</v>
      </c>
      <c r="C59" s="83"/>
      <c r="D59" s="79"/>
      <c r="E59" s="83"/>
      <c r="F59" s="81"/>
      <c r="G59" s="81"/>
      <c r="H59" s="84"/>
      <c r="I59" s="81" t="s">
        <v>3</v>
      </c>
      <c r="J59" s="85" t="s">
        <v>205</v>
      </c>
      <c r="L59" s="77" t="s">
        <v>2</v>
      </c>
      <c r="M59" s="83"/>
      <c r="N59" s="79"/>
      <c r="O59" s="83"/>
      <c r="P59" s="81"/>
      <c r="Q59" s="81"/>
      <c r="R59" s="84"/>
      <c r="S59" s="81" t="s">
        <v>3</v>
      </c>
      <c r="T59" s="85" t="s">
        <v>205</v>
      </c>
    </row>
    <row r="60" spans="2:20" x14ac:dyDescent="0.3">
      <c r="B60" s="77" t="s">
        <v>4</v>
      </c>
      <c r="C60" s="78"/>
      <c r="D60" s="79"/>
      <c r="E60" s="78"/>
      <c r="F60" s="231" t="s">
        <v>5</v>
      </c>
      <c r="G60" s="231"/>
      <c r="H60" s="231"/>
      <c r="I60" s="231"/>
      <c r="J60" s="86">
        <v>1.4999999999999999E-2</v>
      </c>
      <c r="L60" s="77" t="s">
        <v>4</v>
      </c>
      <c r="M60" s="78"/>
      <c r="N60" s="79"/>
      <c r="O60" s="78"/>
      <c r="Q60" s="81"/>
      <c r="R60" s="81"/>
      <c r="S60" s="81" t="s">
        <v>5</v>
      </c>
      <c r="T60" s="86">
        <v>1.4999999999999999E-2</v>
      </c>
    </row>
    <row r="61" spans="2:20" ht="15" thickBot="1" x14ac:dyDescent="0.35">
      <c r="B61" s="77" t="s">
        <v>6</v>
      </c>
      <c r="C61" s="232"/>
      <c r="D61" s="232"/>
      <c r="E61" s="233" t="s">
        <v>7</v>
      </c>
      <c r="F61" s="233"/>
      <c r="G61" s="233"/>
      <c r="H61" s="233"/>
      <c r="I61" s="233"/>
      <c r="J61" s="78">
        <v>12</v>
      </c>
      <c r="L61" s="77" t="s">
        <v>6</v>
      </c>
      <c r="M61" s="87"/>
      <c r="P61" s="88"/>
      <c r="Q61" s="88"/>
      <c r="R61" s="88"/>
      <c r="S61" s="88" t="s">
        <v>7</v>
      </c>
      <c r="T61" s="78">
        <v>12</v>
      </c>
    </row>
    <row r="62" spans="2:20" ht="41.4" thickBot="1" x14ac:dyDescent="0.35">
      <c r="B62" s="89" t="s">
        <v>8</v>
      </c>
      <c r="C62" s="89" t="s">
        <v>9</v>
      </c>
      <c r="D62" s="89" t="s">
        <v>10</v>
      </c>
      <c r="E62" s="90" t="s">
        <v>11</v>
      </c>
      <c r="F62" s="91" t="s">
        <v>12</v>
      </c>
      <c r="G62" s="92" t="s">
        <v>13</v>
      </c>
      <c r="H62" s="92" t="s">
        <v>14</v>
      </c>
      <c r="I62" s="92" t="s">
        <v>15</v>
      </c>
      <c r="J62" s="93" t="s">
        <v>16</v>
      </c>
      <c r="L62" s="89" t="s">
        <v>8</v>
      </c>
      <c r="M62" s="89" t="s">
        <v>9</v>
      </c>
      <c r="N62" s="89" t="s">
        <v>10</v>
      </c>
      <c r="O62" s="90" t="s">
        <v>11</v>
      </c>
      <c r="P62" s="91" t="s">
        <v>12</v>
      </c>
      <c r="Q62" s="92" t="s">
        <v>13</v>
      </c>
      <c r="R62" s="92" t="s">
        <v>14</v>
      </c>
      <c r="S62" s="92" t="s">
        <v>15</v>
      </c>
      <c r="T62" s="93" t="s">
        <v>16</v>
      </c>
    </row>
    <row r="63" spans="2:20" x14ac:dyDescent="0.3">
      <c r="B63" s="94" t="s">
        <v>17</v>
      </c>
      <c r="C63" s="152">
        <f>J58</f>
        <v>70000</v>
      </c>
      <c r="D63" s="95">
        <f>J58/J61</f>
        <v>5833.333333333333</v>
      </c>
      <c r="E63" s="95">
        <f t="shared" ref="E63:E74" si="12">(C63*0.015)</f>
        <v>1050</v>
      </c>
      <c r="F63" s="95">
        <f t="shared" ref="F63:F74" si="13">SUM(D63:E63)</f>
        <v>6883.333333333333</v>
      </c>
      <c r="G63" s="95"/>
      <c r="H63" s="95"/>
      <c r="I63" s="96"/>
      <c r="J63" s="97"/>
      <c r="L63" s="94" t="s">
        <v>17</v>
      </c>
      <c r="M63" s="152">
        <f>T58</f>
        <v>70000</v>
      </c>
      <c r="N63" s="95">
        <f>T58/T61</f>
        <v>5833.333333333333</v>
      </c>
      <c r="O63" s="95">
        <f t="shared" ref="O63:O74" si="14">(M63*0.015)</f>
        <v>1050</v>
      </c>
      <c r="P63" s="95">
        <f t="shared" ref="P63:P74" si="15">SUM(N63:O63)</f>
        <v>6883.333333333333</v>
      </c>
      <c r="Q63" s="95"/>
      <c r="R63" s="95"/>
      <c r="S63" s="96"/>
      <c r="T63" s="97"/>
    </row>
    <row r="64" spans="2:20" ht="15" thickBot="1" x14ac:dyDescent="0.35">
      <c r="B64" s="98" t="s">
        <v>18</v>
      </c>
      <c r="C64" s="153">
        <v>64163</v>
      </c>
      <c r="D64" s="99">
        <v>5833</v>
      </c>
      <c r="E64" s="99">
        <f t="shared" si="12"/>
        <v>962.44499999999994</v>
      </c>
      <c r="F64" s="99">
        <f t="shared" si="13"/>
        <v>6795.4449999999997</v>
      </c>
      <c r="G64" s="99"/>
      <c r="H64" s="99"/>
      <c r="I64" s="100"/>
      <c r="J64" s="101"/>
      <c r="L64" s="98" t="s">
        <v>18</v>
      </c>
      <c r="M64" s="153">
        <v>64163</v>
      </c>
      <c r="N64" s="99">
        <v>5833</v>
      </c>
      <c r="O64" s="99">
        <f t="shared" si="14"/>
        <v>962.44499999999994</v>
      </c>
      <c r="P64" s="99">
        <f t="shared" si="15"/>
        <v>6795.4449999999997</v>
      </c>
      <c r="Q64" s="99"/>
      <c r="R64" s="99"/>
      <c r="S64" s="100"/>
      <c r="T64" s="101"/>
    </row>
    <row r="65" spans="2:20" x14ac:dyDescent="0.3">
      <c r="B65" s="98" t="s">
        <v>19</v>
      </c>
      <c r="C65" s="153">
        <v>58330</v>
      </c>
      <c r="D65" s="95">
        <v>5833</v>
      </c>
      <c r="E65" s="99">
        <f t="shared" si="12"/>
        <v>874.94999999999993</v>
      </c>
      <c r="F65" s="99">
        <f t="shared" si="13"/>
        <v>6707.95</v>
      </c>
      <c r="G65" s="99"/>
      <c r="H65" s="99"/>
      <c r="I65" s="100"/>
      <c r="J65" s="101"/>
      <c r="L65" s="98" t="s">
        <v>19</v>
      </c>
      <c r="M65" s="153">
        <v>58330</v>
      </c>
      <c r="N65" s="95">
        <v>5833</v>
      </c>
      <c r="O65" s="99">
        <f t="shared" si="14"/>
        <v>874.94999999999993</v>
      </c>
      <c r="P65" s="99">
        <f t="shared" si="15"/>
        <v>6707.95</v>
      </c>
      <c r="Q65" s="99"/>
      <c r="R65" s="99"/>
      <c r="S65" s="100"/>
      <c r="T65" s="101"/>
    </row>
    <row r="66" spans="2:20" ht="15" thickBot="1" x14ac:dyDescent="0.35">
      <c r="B66" s="98" t="s">
        <v>20</v>
      </c>
      <c r="C66" s="153">
        <v>52497</v>
      </c>
      <c r="D66" s="99">
        <v>5833</v>
      </c>
      <c r="E66" s="99">
        <f t="shared" si="12"/>
        <v>787.45499999999993</v>
      </c>
      <c r="F66" s="99">
        <f t="shared" si="13"/>
        <v>6620.4549999999999</v>
      </c>
      <c r="G66" s="99"/>
      <c r="H66" s="99"/>
      <c r="I66" s="100"/>
      <c r="J66" s="101"/>
      <c r="L66" s="98" t="s">
        <v>20</v>
      </c>
      <c r="M66" s="153">
        <v>52497</v>
      </c>
      <c r="N66" s="99">
        <v>5833</v>
      </c>
      <c r="O66" s="99">
        <f t="shared" si="14"/>
        <v>787.45499999999993</v>
      </c>
      <c r="P66" s="99">
        <f t="shared" si="15"/>
        <v>6620.4549999999999</v>
      </c>
      <c r="Q66" s="99"/>
      <c r="R66" s="99"/>
      <c r="S66" s="100"/>
      <c r="T66" s="101"/>
    </row>
    <row r="67" spans="2:20" x14ac:dyDescent="0.3">
      <c r="B67" s="98" t="s">
        <v>21</v>
      </c>
      <c r="C67" s="154">
        <v>46664</v>
      </c>
      <c r="D67" s="95">
        <v>5833</v>
      </c>
      <c r="E67" s="99">
        <f t="shared" si="12"/>
        <v>699.95999999999992</v>
      </c>
      <c r="F67" s="99">
        <f t="shared" si="13"/>
        <v>6532.96</v>
      </c>
      <c r="G67" s="99"/>
      <c r="H67" s="99"/>
      <c r="I67" s="100"/>
      <c r="J67" s="101"/>
      <c r="L67" s="98" t="s">
        <v>21</v>
      </c>
      <c r="M67" s="154">
        <v>46664</v>
      </c>
      <c r="N67" s="95">
        <v>5833</v>
      </c>
      <c r="O67" s="99">
        <f t="shared" si="14"/>
        <v>699.95999999999992</v>
      </c>
      <c r="P67" s="99">
        <f t="shared" si="15"/>
        <v>6532.96</v>
      </c>
      <c r="Q67" s="99"/>
      <c r="R67" s="99"/>
      <c r="S67" s="100"/>
      <c r="T67" s="101"/>
    </row>
    <row r="68" spans="2:20" ht="15" thickBot="1" x14ac:dyDescent="0.35">
      <c r="B68" s="98" t="s">
        <v>23</v>
      </c>
      <c r="C68" s="153">
        <v>40831</v>
      </c>
      <c r="D68" s="99">
        <v>5833</v>
      </c>
      <c r="E68" s="99">
        <f t="shared" si="12"/>
        <v>612.46500000000003</v>
      </c>
      <c r="F68" s="99">
        <f t="shared" si="13"/>
        <v>6445.4650000000001</v>
      </c>
      <c r="G68" s="99"/>
      <c r="H68" s="99"/>
      <c r="I68" s="100"/>
      <c r="J68" s="101"/>
      <c r="L68" s="98" t="s">
        <v>23</v>
      </c>
      <c r="M68" s="153">
        <v>40831</v>
      </c>
      <c r="N68" s="99">
        <v>5833</v>
      </c>
      <c r="O68" s="99">
        <f t="shared" si="14"/>
        <v>612.46500000000003</v>
      </c>
      <c r="P68" s="99">
        <f t="shared" si="15"/>
        <v>6445.4650000000001</v>
      </c>
      <c r="Q68" s="99"/>
      <c r="R68" s="99"/>
      <c r="S68" s="100"/>
      <c r="T68" s="101"/>
    </row>
    <row r="69" spans="2:20" x14ac:dyDescent="0.3">
      <c r="B69" s="98" t="s">
        <v>24</v>
      </c>
      <c r="C69" s="153">
        <v>34998</v>
      </c>
      <c r="D69" s="95">
        <v>5833</v>
      </c>
      <c r="E69" s="99">
        <f t="shared" si="12"/>
        <v>524.97</v>
      </c>
      <c r="F69" s="99">
        <f t="shared" si="13"/>
        <v>6357.97</v>
      </c>
      <c r="G69" s="99"/>
      <c r="H69" s="99"/>
      <c r="I69" s="100"/>
      <c r="J69" s="101"/>
      <c r="L69" s="98" t="s">
        <v>24</v>
      </c>
      <c r="M69" s="153">
        <v>34998</v>
      </c>
      <c r="N69" s="95">
        <v>5833</v>
      </c>
      <c r="O69" s="99">
        <f t="shared" si="14"/>
        <v>524.97</v>
      </c>
      <c r="P69" s="99">
        <f t="shared" si="15"/>
        <v>6357.97</v>
      </c>
      <c r="Q69" s="99"/>
      <c r="R69" s="99"/>
      <c r="S69" s="100"/>
      <c r="T69" s="101"/>
    </row>
    <row r="70" spans="2:20" ht="15" thickBot="1" x14ac:dyDescent="0.35">
      <c r="B70" s="98" t="s">
        <v>25</v>
      </c>
      <c r="C70" s="153">
        <v>29165</v>
      </c>
      <c r="D70" s="99">
        <v>5833</v>
      </c>
      <c r="E70" s="99">
        <f t="shared" si="12"/>
        <v>437.47499999999997</v>
      </c>
      <c r="F70" s="99">
        <f t="shared" si="13"/>
        <v>6270.4750000000004</v>
      </c>
      <c r="G70" s="99"/>
      <c r="H70" s="99"/>
      <c r="I70" s="100"/>
      <c r="J70" s="101"/>
      <c r="L70" s="98" t="s">
        <v>25</v>
      </c>
      <c r="M70" s="153">
        <v>29165</v>
      </c>
      <c r="N70" s="99">
        <v>5833</v>
      </c>
      <c r="O70" s="99">
        <f t="shared" si="14"/>
        <v>437.47499999999997</v>
      </c>
      <c r="P70" s="99">
        <f t="shared" si="15"/>
        <v>6270.4750000000004</v>
      </c>
      <c r="Q70" s="99"/>
      <c r="R70" s="99"/>
      <c r="S70" s="100"/>
      <c r="T70" s="101"/>
    </row>
    <row r="71" spans="2:20" ht="15" thickBot="1" x14ac:dyDescent="0.35">
      <c r="B71" s="98" t="s">
        <v>26</v>
      </c>
      <c r="C71" s="153">
        <v>23332</v>
      </c>
      <c r="D71" s="95">
        <v>5833</v>
      </c>
      <c r="E71" s="99">
        <f t="shared" si="12"/>
        <v>349.97999999999996</v>
      </c>
      <c r="F71" s="99">
        <f t="shared" si="13"/>
        <v>6182.98</v>
      </c>
      <c r="G71" s="99"/>
      <c r="H71" s="99"/>
      <c r="I71" s="100"/>
      <c r="J71" s="101"/>
      <c r="L71" s="98" t="s">
        <v>26</v>
      </c>
      <c r="M71" s="153">
        <v>23332</v>
      </c>
      <c r="N71" s="95">
        <v>5833</v>
      </c>
      <c r="O71" s="99">
        <f t="shared" si="14"/>
        <v>349.97999999999996</v>
      </c>
      <c r="P71" s="99">
        <f t="shared" si="15"/>
        <v>6182.98</v>
      </c>
      <c r="Q71" s="99"/>
      <c r="R71" s="99"/>
      <c r="S71" s="100"/>
      <c r="T71" s="101"/>
    </row>
    <row r="72" spans="2:20" x14ac:dyDescent="0.3">
      <c r="B72" s="98" t="s">
        <v>27</v>
      </c>
      <c r="C72" s="153">
        <v>17499</v>
      </c>
      <c r="D72" s="95">
        <v>5833</v>
      </c>
      <c r="E72" s="99">
        <f t="shared" si="12"/>
        <v>262.48500000000001</v>
      </c>
      <c r="F72" s="99">
        <f t="shared" si="13"/>
        <v>6095.4849999999997</v>
      </c>
      <c r="G72" s="99"/>
      <c r="H72" s="99"/>
      <c r="I72" s="100"/>
      <c r="J72" s="101"/>
      <c r="L72" s="98" t="s">
        <v>27</v>
      </c>
      <c r="M72" s="153">
        <v>17499</v>
      </c>
      <c r="N72" s="95">
        <v>5833</v>
      </c>
      <c r="O72" s="99">
        <f t="shared" si="14"/>
        <v>262.48500000000001</v>
      </c>
      <c r="P72" s="99">
        <f t="shared" si="15"/>
        <v>6095.4849999999997</v>
      </c>
      <c r="Q72" s="99"/>
      <c r="R72" s="99"/>
      <c r="S72" s="100"/>
      <c r="T72" s="101"/>
    </row>
    <row r="73" spans="2:20" ht="15" thickBot="1" x14ac:dyDescent="0.35">
      <c r="B73" s="98" t="s">
        <v>28</v>
      </c>
      <c r="C73" s="153">
        <v>11666</v>
      </c>
      <c r="D73" s="99">
        <v>5833</v>
      </c>
      <c r="E73" s="99">
        <f t="shared" si="12"/>
        <v>174.98999999999998</v>
      </c>
      <c r="F73" s="99">
        <f t="shared" si="13"/>
        <v>6007.99</v>
      </c>
      <c r="G73" s="99"/>
      <c r="H73" s="99"/>
      <c r="I73" s="100"/>
      <c r="J73" s="101"/>
      <c r="L73" s="98" t="s">
        <v>28</v>
      </c>
      <c r="M73" s="153">
        <v>11666</v>
      </c>
      <c r="N73" s="99">
        <v>5833</v>
      </c>
      <c r="O73" s="99">
        <f t="shared" si="14"/>
        <v>174.98999999999998</v>
      </c>
      <c r="P73" s="99">
        <f t="shared" si="15"/>
        <v>6007.99</v>
      </c>
      <c r="Q73" s="99"/>
      <c r="R73" s="99"/>
      <c r="S73" s="100"/>
      <c r="T73" s="101"/>
    </row>
    <row r="74" spans="2:20" x14ac:dyDescent="0.3">
      <c r="B74" s="98" t="s">
        <v>29</v>
      </c>
      <c r="C74" s="153">
        <v>5833</v>
      </c>
      <c r="D74" s="95">
        <v>5833</v>
      </c>
      <c r="E74" s="99">
        <f t="shared" si="12"/>
        <v>87.49499999999999</v>
      </c>
      <c r="F74" s="99">
        <f t="shared" si="13"/>
        <v>5920.4949999999999</v>
      </c>
      <c r="G74" s="99"/>
      <c r="H74" s="99"/>
      <c r="I74" s="100"/>
      <c r="J74" s="101" t="s">
        <v>42</v>
      </c>
      <c r="L74" s="98" t="s">
        <v>29</v>
      </c>
      <c r="M74" s="153">
        <v>5833</v>
      </c>
      <c r="N74" s="95">
        <v>5833</v>
      </c>
      <c r="O74" s="99">
        <f t="shared" si="14"/>
        <v>87.49499999999999</v>
      </c>
      <c r="P74" s="99">
        <f t="shared" si="15"/>
        <v>5920.4949999999999</v>
      </c>
      <c r="Q74" s="99"/>
      <c r="R74" s="99"/>
      <c r="S74" s="100"/>
      <c r="T74" s="101" t="s">
        <v>42</v>
      </c>
    </row>
    <row r="76" spans="2:20" x14ac:dyDescent="0.3">
      <c r="B76" s="77" t="s">
        <v>0</v>
      </c>
      <c r="C76" s="77" t="s">
        <v>237</v>
      </c>
      <c r="D76" s="77"/>
      <c r="E76" s="112"/>
      <c r="F76" s="79"/>
      <c r="G76" s="80"/>
      <c r="I76" s="81" t="s">
        <v>1</v>
      </c>
      <c r="J76" s="82">
        <v>10000</v>
      </c>
      <c r="L76" s="77" t="s">
        <v>0</v>
      </c>
      <c r="M76" s="77" t="s">
        <v>237</v>
      </c>
      <c r="N76" s="77"/>
      <c r="O76" s="112"/>
      <c r="P76" s="79"/>
      <c r="Q76" s="80"/>
      <c r="S76" s="81" t="s">
        <v>1</v>
      </c>
      <c r="T76" s="82">
        <v>10000</v>
      </c>
    </row>
    <row r="77" spans="2:20" x14ac:dyDescent="0.3">
      <c r="B77" s="77" t="s">
        <v>2</v>
      </c>
      <c r="C77" s="131"/>
      <c r="D77" s="132"/>
      <c r="E77" s="83"/>
      <c r="F77" s="81"/>
      <c r="G77" s="81"/>
      <c r="H77" s="84"/>
      <c r="I77" s="81" t="s">
        <v>3</v>
      </c>
      <c r="J77" s="113" t="s">
        <v>236</v>
      </c>
      <c r="L77" s="77" t="s">
        <v>2</v>
      </c>
      <c r="M77" s="131"/>
      <c r="N77" s="132"/>
      <c r="O77" s="83"/>
      <c r="P77" s="81"/>
      <c r="Q77" s="81"/>
      <c r="R77" s="84"/>
      <c r="S77" s="81" t="s">
        <v>3</v>
      </c>
      <c r="T77" s="113" t="s">
        <v>236</v>
      </c>
    </row>
    <row r="78" spans="2:20" x14ac:dyDescent="0.3">
      <c r="B78" s="77" t="s">
        <v>4</v>
      </c>
      <c r="C78" s="112"/>
      <c r="D78" s="132"/>
      <c r="E78" s="78"/>
      <c r="G78" s="81"/>
      <c r="H78" s="81"/>
      <c r="I78" s="81" t="s">
        <v>5</v>
      </c>
      <c r="J78" s="86">
        <v>1.4999999999999999E-2</v>
      </c>
      <c r="L78" s="77" t="s">
        <v>4</v>
      </c>
      <c r="M78" s="112"/>
      <c r="N78" s="132"/>
      <c r="O78" s="78"/>
      <c r="Q78" s="81"/>
      <c r="R78" s="81"/>
      <c r="S78" s="81" t="s">
        <v>5</v>
      </c>
      <c r="T78" s="86">
        <v>1.4999999999999999E-2</v>
      </c>
    </row>
    <row r="79" spans="2:20" ht="15" thickBot="1" x14ac:dyDescent="0.35">
      <c r="B79" s="77" t="s">
        <v>6</v>
      </c>
      <c r="C79" s="133"/>
      <c r="D79" s="133"/>
      <c r="F79" s="88"/>
      <c r="G79" s="88"/>
      <c r="H79" s="88"/>
      <c r="I79" s="88" t="s">
        <v>7</v>
      </c>
      <c r="J79" s="78">
        <v>12</v>
      </c>
      <c r="L79" s="77" t="s">
        <v>6</v>
      </c>
      <c r="M79" s="133"/>
      <c r="N79" s="133"/>
      <c r="P79" s="88"/>
      <c r="Q79" s="88"/>
      <c r="R79" s="88"/>
      <c r="S79" s="88" t="s">
        <v>7</v>
      </c>
      <c r="T79" s="78">
        <v>12</v>
      </c>
    </row>
    <row r="80" spans="2:20" ht="41.4" thickBot="1" x14ac:dyDescent="0.35">
      <c r="B80" s="89" t="s">
        <v>8</v>
      </c>
      <c r="C80" s="89" t="s">
        <v>9</v>
      </c>
      <c r="D80" s="89" t="s">
        <v>10</v>
      </c>
      <c r="E80" s="90" t="s">
        <v>11</v>
      </c>
      <c r="F80" s="91" t="s">
        <v>12</v>
      </c>
      <c r="G80" s="92" t="s">
        <v>13</v>
      </c>
      <c r="H80" s="92" t="s">
        <v>14</v>
      </c>
      <c r="I80" s="92" t="s">
        <v>15</v>
      </c>
      <c r="J80" s="93" t="s">
        <v>16</v>
      </c>
      <c r="L80" s="89" t="s">
        <v>8</v>
      </c>
      <c r="M80" s="89" t="s">
        <v>9</v>
      </c>
      <c r="N80" s="89" t="s">
        <v>10</v>
      </c>
      <c r="O80" s="90" t="s">
        <v>11</v>
      </c>
      <c r="P80" s="91" t="s">
        <v>12</v>
      </c>
      <c r="Q80" s="92" t="s">
        <v>13</v>
      </c>
      <c r="R80" s="92" t="s">
        <v>14</v>
      </c>
      <c r="S80" s="92" t="s">
        <v>15</v>
      </c>
      <c r="T80" s="93" t="s">
        <v>16</v>
      </c>
    </row>
    <row r="81" spans="2:20" x14ac:dyDescent="0.3">
      <c r="B81" s="162" t="s">
        <v>17</v>
      </c>
      <c r="C81" s="95">
        <f>J76</f>
        <v>10000</v>
      </c>
      <c r="D81" s="95">
        <f>J76/J79</f>
        <v>833.33333333333337</v>
      </c>
      <c r="E81" s="95">
        <f t="shared" ref="E81:E92" si="16">(C81*0.015)</f>
        <v>150</v>
      </c>
      <c r="F81" s="95">
        <f t="shared" ref="F81:F92" si="17">SUM(D81:E81)</f>
        <v>983.33333333333337</v>
      </c>
      <c r="G81" s="95"/>
      <c r="H81" s="95"/>
      <c r="I81" s="96"/>
      <c r="J81" s="97"/>
      <c r="L81" s="162" t="s">
        <v>17</v>
      </c>
      <c r="M81" s="95">
        <f>T76</f>
        <v>10000</v>
      </c>
      <c r="N81" s="95">
        <f>T76/T79</f>
        <v>833.33333333333337</v>
      </c>
      <c r="O81" s="95">
        <f t="shared" ref="O81:O92" si="18">(M81*0.015)</f>
        <v>150</v>
      </c>
      <c r="P81" s="95">
        <f t="shared" ref="P81:P92" si="19">SUM(N81:O81)</f>
        <v>983.33333333333337</v>
      </c>
      <c r="Q81" s="95"/>
      <c r="R81" s="95"/>
      <c r="S81" s="96"/>
      <c r="T81" s="97"/>
    </row>
    <row r="82" spans="2:20" x14ac:dyDescent="0.3">
      <c r="B82" s="163" t="s">
        <v>18</v>
      </c>
      <c r="C82" s="99">
        <v>9163</v>
      </c>
      <c r="D82" s="99">
        <v>833</v>
      </c>
      <c r="E82" s="99">
        <f t="shared" si="16"/>
        <v>137.44499999999999</v>
      </c>
      <c r="F82" s="99">
        <f t="shared" si="17"/>
        <v>970.44499999999994</v>
      </c>
      <c r="G82" s="99"/>
      <c r="H82" s="99"/>
      <c r="I82" s="100"/>
      <c r="J82" s="101"/>
      <c r="L82" s="163" t="s">
        <v>18</v>
      </c>
      <c r="M82" s="99">
        <v>9163</v>
      </c>
      <c r="N82" s="99">
        <v>833</v>
      </c>
      <c r="O82" s="99">
        <f t="shared" si="18"/>
        <v>137.44499999999999</v>
      </c>
      <c r="P82" s="99">
        <f t="shared" si="19"/>
        <v>970.44499999999994</v>
      </c>
      <c r="Q82" s="99"/>
      <c r="R82" s="99"/>
      <c r="S82" s="100"/>
      <c r="T82" s="101"/>
    </row>
    <row r="83" spans="2:20" x14ac:dyDescent="0.3">
      <c r="B83" s="163" t="s">
        <v>19</v>
      </c>
      <c r="C83" s="99">
        <v>8330</v>
      </c>
      <c r="D83" s="99">
        <v>833</v>
      </c>
      <c r="E83" s="99">
        <f t="shared" si="16"/>
        <v>124.94999999999999</v>
      </c>
      <c r="F83" s="99">
        <f t="shared" si="17"/>
        <v>957.95</v>
      </c>
      <c r="G83" s="99"/>
      <c r="H83" s="99"/>
      <c r="I83" s="100"/>
      <c r="J83" s="101"/>
      <c r="L83" s="163" t="s">
        <v>19</v>
      </c>
      <c r="M83" s="99">
        <v>8330</v>
      </c>
      <c r="N83" s="99">
        <v>833</v>
      </c>
      <c r="O83" s="99">
        <f t="shared" si="18"/>
        <v>124.94999999999999</v>
      </c>
      <c r="P83" s="99">
        <f t="shared" si="19"/>
        <v>957.95</v>
      </c>
      <c r="Q83" s="99"/>
      <c r="R83" s="99"/>
      <c r="S83" s="100"/>
      <c r="T83" s="101"/>
    </row>
    <row r="84" spans="2:20" x14ac:dyDescent="0.3">
      <c r="B84" s="163" t="s">
        <v>20</v>
      </c>
      <c r="C84" s="99">
        <v>7497</v>
      </c>
      <c r="D84" s="99">
        <v>833</v>
      </c>
      <c r="E84" s="99">
        <f t="shared" si="16"/>
        <v>112.455</v>
      </c>
      <c r="F84" s="99">
        <f t="shared" si="17"/>
        <v>945.45500000000004</v>
      </c>
      <c r="G84" s="99"/>
      <c r="H84" s="99"/>
      <c r="I84" s="100"/>
      <c r="J84" s="101"/>
      <c r="L84" s="163" t="s">
        <v>20</v>
      </c>
      <c r="M84" s="99">
        <v>7497</v>
      </c>
      <c r="N84" s="99">
        <v>833</v>
      </c>
      <c r="O84" s="99">
        <f t="shared" si="18"/>
        <v>112.455</v>
      </c>
      <c r="P84" s="99">
        <f t="shared" si="19"/>
        <v>945.45500000000004</v>
      </c>
      <c r="Q84" s="99"/>
      <c r="R84" s="99"/>
      <c r="S84" s="100"/>
      <c r="T84" s="101"/>
    </row>
    <row r="85" spans="2:20" x14ac:dyDescent="0.3">
      <c r="B85" s="163" t="s">
        <v>21</v>
      </c>
      <c r="C85" s="99">
        <v>6664</v>
      </c>
      <c r="D85" s="99">
        <v>833</v>
      </c>
      <c r="E85" s="99">
        <f t="shared" si="16"/>
        <v>99.96</v>
      </c>
      <c r="F85" s="99">
        <f t="shared" si="17"/>
        <v>932.96</v>
      </c>
      <c r="G85" s="99"/>
      <c r="H85" s="99"/>
      <c r="I85" s="100"/>
      <c r="J85" s="101"/>
      <c r="L85" s="163" t="s">
        <v>21</v>
      </c>
      <c r="M85" s="99">
        <v>6664</v>
      </c>
      <c r="N85" s="99">
        <v>833</v>
      </c>
      <c r="O85" s="99">
        <f t="shared" si="18"/>
        <v>99.96</v>
      </c>
      <c r="P85" s="99">
        <f t="shared" si="19"/>
        <v>932.96</v>
      </c>
      <c r="Q85" s="99"/>
      <c r="R85" s="99"/>
      <c r="S85" s="100"/>
      <c r="T85" s="101"/>
    </row>
    <row r="86" spans="2:20" x14ac:dyDescent="0.3">
      <c r="B86" s="163" t="s">
        <v>23</v>
      </c>
      <c r="C86" s="99">
        <v>5831</v>
      </c>
      <c r="D86" s="99">
        <v>833</v>
      </c>
      <c r="E86" s="99">
        <f t="shared" si="16"/>
        <v>87.465000000000003</v>
      </c>
      <c r="F86" s="99">
        <f t="shared" si="17"/>
        <v>920.46500000000003</v>
      </c>
      <c r="G86" s="99"/>
      <c r="H86" s="99"/>
      <c r="I86" s="100"/>
      <c r="J86" s="101"/>
      <c r="L86" s="163" t="s">
        <v>23</v>
      </c>
      <c r="M86" s="99">
        <v>5831</v>
      </c>
      <c r="N86" s="99">
        <v>833</v>
      </c>
      <c r="O86" s="99">
        <f t="shared" si="18"/>
        <v>87.465000000000003</v>
      </c>
      <c r="P86" s="99">
        <f t="shared" si="19"/>
        <v>920.46500000000003</v>
      </c>
      <c r="Q86" s="99"/>
      <c r="R86" s="99"/>
      <c r="S86" s="100"/>
      <c r="T86" s="101"/>
    </row>
    <row r="87" spans="2:20" x14ac:dyDescent="0.3">
      <c r="B87" s="163" t="s">
        <v>24</v>
      </c>
      <c r="C87" s="99">
        <v>4998</v>
      </c>
      <c r="D87" s="99">
        <v>833</v>
      </c>
      <c r="E87" s="99">
        <f t="shared" si="16"/>
        <v>74.97</v>
      </c>
      <c r="F87" s="99">
        <f t="shared" si="17"/>
        <v>907.97</v>
      </c>
      <c r="G87" s="99"/>
      <c r="H87" s="99"/>
      <c r="I87" s="100"/>
      <c r="J87" s="101"/>
      <c r="L87" s="163" t="s">
        <v>24</v>
      </c>
      <c r="M87" s="99">
        <v>4998</v>
      </c>
      <c r="N87" s="99">
        <v>833</v>
      </c>
      <c r="O87" s="99">
        <f t="shared" si="18"/>
        <v>74.97</v>
      </c>
      <c r="P87" s="99">
        <f t="shared" si="19"/>
        <v>907.97</v>
      </c>
      <c r="Q87" s="99"/>
      <c r="R87" s="99"/>
      <c r="S87" s="100"/>
      <c r="T87" s="101"/>
    </row>
    <row r="88" spans="2:20" x14ac:dyDescent="0.3">
      <c r="B88" s="163" t="s">
        <v>25</v>
      </c>
      <c r="C88" s="99">
        <v>4165</v>
      </c>
      <c r="D88" s="99">
        <v>833</v>
      </c>
      <c r="E88" s="99">
        <f t="shared" si="16"/>
        <v>62.474999999999994</v>
      </c>
      <c r="F88" s="99">
        <f t="shared" si="17"/>
        <v>895.47500000000002</v>
      </c>
      <c r="G88" s="99"/>
      <c r="H88" s="99"/>
      <c r="I88" s="100"/>
      <c r="J88" s="101"/>
      <c r="L88" s="163" t="s">
        <v>25</v>
      </c>
      <c r="M88" s="99">
        <v>4165</v>
      </c>
      <c r="N88" s="99">
        <v>833</v>
      </c>
      <c r="O88" s="99">
        <f t="shared" si="18"/>
        <v>62.474999999999994</v>
      </c>
      <c r="P88" s="99">
        <f t="shared" si="19"/>
        <v>895.47500000000002</v>
      </c>
      <c r="Q88" s="99"/>
      <c r="R88" s="99"/>
      <c r="S88" s="100"/>
      <c r="T88" s="101"/>
    </row>
    <row r="89" spans="2:20" x14ac:dyDescent="0.3">
      <c r="B89" s="163" t="s">
        <v>26</v>
      </c>
      <c r="C89" s="99">
        <v>3332</v>
      </c>
      <c r="D89" s="99">
        <v>833</v>
      </c>
      <c r="E89" s="99">
        <f t="shared" si="16"/>
        <v>49.98</v>
      </c>
      <c r="F89" s="99">
        <f t="shared" si="17"/>
        <v>882.98</v>
      </c>
      <c r="G89" s="99"/>
      <c r="H89" s="99"/>
      <c r="I89" s="100"/>
      <c r="J89" s="101"/>
      <c r="L89" s="163" t="s">
        <v>26</v>
      </c>
      <c r="M89" s="99">
        <v>3332</v>
      </c>
      <c r="N89" s="99">
        <v>833</v>
      </c>
      <c r="O89" s="99">
        <f t="shared" si="18"/>
        <v>49.98</v>
      </c>
      <c r="P89" s="99">
        <f t="shared" si="19"/>
        <v>882.98</v>
      </c>
      <c r="Q89" s="99"/>
      <c r="R89" s="99"/>
      <c r="S89" s="100"/>
      <c r="T89" s="101"/>
    </row>
    <row r="90" spans="2:20" x14ac:dyDescent="0.3">
      <c r="B90" s="163" t="s">
        <v>27</v>
      </c>
      <c r="C90" s="99">
        <v>2499</v>
      </c>
      <c r="D90" s="99">
        <v>833</v>
      </c>
      <c r="E90" s="99">
        <f t="shared" si="16"/>
        <v>37.484999999999999</v>
      </c>
      <c r="F90" s="99">
        <f t="shared" si="17"/>
        <v>870.48500000000001</v>
      </c>
      <c r="G90" s="99"/>
      <c r="H90" s="99"/>
      <c r="I90" s="100"/>
      <c r="J90" s="101"/>
      <c r="L90" s="163" t="s">
        <v>27</v>
      </c>
      <c r="M90" s="99">
        <v>2499</v>
      </c>
      <c r="N90" s="99">
        <v>833</v>
      </c>
      <c r="O90" s="99">
        <f t="shared" si="18"/>
        <v>37.484999999999999</v>
      </c>
      <c r="P90" s="99">
        <f t="shared" si="19"/>
        <v>870.48500000000001</v>
      </c>
      <c r="Q90" s="99"/>
      <c r="R90" s="99"/>
      <c r="S90" s="100"/>
      <c r="T90" s="101"/>
    </row>
    <row r="91" spans="2:20" x14ac:dyDescent="0.3">
      <c r="B91" s="163" t="s">
        <v>28</v>
      </c>
      <c r="C91" s="99">
        <v>1666</v>
      </c>
      <c r="D91" s="99">
        <v>833</v>
      </c>
      <c r="E91" s="99">
        <f t="shared" si="16"/>
        <v>24.99</v>
      </c>
      <c r="F91" s="99">
        <f t="shared" si="17"/>
        <v>857.99</v>
      </c>
      <c r="G91" s="99"/>
      <c r="H91" s="99"/>
      <c r="I91" s="100"/>
      <c r="J91" s="101"/>
      <c r="L91" s="163" t="s">
        <v>28</v>
      </c>
      <c r="M91" s="99">
        <v>1666</v>
      </c>
      <c r="N91" s="99">
        <v>833</v>
      </c>
      <c r="O91" s="99">
        <f t="shared" si="18"/>
        <v>24.99</v>
      </c>
      <c r="P91" s="99">
        <f t="shared" si="19"/>
        <v>857.99</v>
      </c>
      <c r="Q91" s="99"/>
      <c r="R91" s="99"/>
      <c r="S91" s="100"/>
      <c r="T91" s="101"/>
    </row>
    <row r="92" spans="2:20" x14ac:dyDescent="0.3">
      <c r="B92" s="163" t="s">
        <v>29</v>
      </c>
      <c r="C92" s="99">
        <v>833</v>
      </c>
      <c r="D92" s="99">
        <v>833</v>
      </c>
      <c r="E92" s="99">
        <f t="shared" si="16"/>
        <v>12.494999999999999</v>
      </c>
      <c r="F92" s="99">
        <f t="shared" si="17"/>
        <v>845.495</v>
      </c>
      <c r="G92" s="99"/>
      <c r="H92" s="99"/>
      <c r="I92" s="100"/>
      <c r="J92" s="101" t="s">
        <v>42</v>
      </c>
      <c r="L92" s="163" t="s">
        <v>29</v>
      </c>
      <c r="M92" s="99">
        <v>833</v>
      </c>
      <c r="N92" s="99">
        <v>833</v>
      </c>
      <c r="O92" s="99">
        <f t="shared" si="18"/>
        <v>12.494999999999999</v>
      </c>
      <c r="P92" s="99">
        <f t="shared" si="19"/>
        <v>845.495</v>
      </c>
      <c r="Q92" s="99"/>
      <c r="R92" s="99"/>
      <c r="S92" s="100"/>
      <c r="T92" s="101" t="s">
        <v>42</v>
      </c>
    </row>
    <row r="95" spans="2:20" x14ac:dyDescent="0.3">
      <c r="B95" s="77" t="s">
        <v>0</v>
      </c>
      <c r="C95" s="77" t="s">
        <v>139</v>
      </c>
      <c r="D95" s="77"/>
      <c r="E95" s="112"/>
      <c r="F95" s="79"/>
      <c r="G95" s="80"/>
      <c r="I95" s="81" t="s">
        <v>1</v>
      </c>
      <c r="J95" s="82">
        <v>5000</v>
      </c>
      <c r="L95" s="77" t="s">
        <v>0</v>
      </c>
      <c r="M95" s="77" t="s">
        <v>139</v>
      </c>
      <c r="N95" s="77"/>
      <c r="O95" s="112"/>
      <c r="P95" s="79"/>
      <c r="Q95" s="80"/>
      <c r="S95" s="81" t="s">
        <v>1</v>
      </c>
      <c r="T95" s="82">
        <v>5000</v>
      </c>
    </row>
    <row r="96" spans="2:20" x14ac:dyDescent="0.3">
      <c r="B96" s="77" t="s">
        <v>2</v>
      </c>
      <c r="C96" s="131"/>
      <c r="D96" s="132"/>
      <c r="E96" s="83"/>
      <c r="F96" s="81"/>
      <c r="G96" s="81"/>
      <c r="H96" s="84"/>
      <c r="I96" s="81" t="s">
        <v>3</v>
      </c>
      <c r="J96" s="113" t="s">
        <v>163</v>
      </c>
      <c r="L96" s="77" t="s">
        <v>2</v>
      </c>
      <c r="M96" s="131"/>
      <c r="N96" s="79"/>
      <c r="O96" s="83"/>
      <c r="P96" s="81"/>
      <c r="Q96" s="81"/>
      <c r="R96" s="84"/>
      <c r="S96" s="81" t="s">
        <v>3</v>
      </c>
      <c r="T96" s="113" t="s">
        <v>163</v>
      </c>
    </row>
    <row r="97" spans="2:20" x14ac:dyDescent="0.3">
      <c r="B97" s="77" t="s">
        <v>4</v>
      </c>
      <c r="C97" s="112"/>
      <c r="D97" s="132"/>
      <c r="E97" s="78"/>
      <c r="G97" s="81"/>
      <c r="H97" s="81"/>
      <c r="I97" s="81" t="s">
        <v>5</v>
      </c>
      <c r="J97" s="86">
        <v>1.4999999999999999E-2</v>
      </c>
      <c r="L97" s="77" t="s">
        <v>4</v>
      </c>
      <c r="M97" s="112"/>
      <c r="N97" s="79"/>
      <c r="O97" s="78"/>
      <c r="Q97" s="81"/>
      <c r="R97" s="81"/>
      <c r="S97" s="81" t="s">
        <v>5</v>
      </c>
      <c r="T97" s="86">
        <v>1.4999999999999999E-2</v>
      </c>
    </row>
    <row r="98" spans="2:20" ht="15" thickBot="1" x14ac:dyDescent="0.35">
      <c r="B98" s="77" t="s">
        <v>6</v>
      </c>
      <c r="C98" s="133"/>
      <c r="D98" s="133"/>
      <c r="F98" s="88"/>
      <c r="G98" s="88"/>
      <c r="H98" s="88"/>
      <c r="I98" s="88" t="s">
        <v>7</v>
      </c>
      <c r="J98" s="78">
        <v>12</v>
      </c>
      <c r="L98" s="77" t="s">
        <v>6</v>
      </c>
      <c r="M98" s="133"/>
      <c r="N98" s="87"/>
      <c r="P98" s="88"/>
      <c r="Q98" s="88"/>
      <c r="R98" s="88"/>
      <c r="S98" s="88" t="s">
        <v>7</v>
      </c>
      <c r="T98" s="78">
        <v>12</v>
      </c>
    </row>
    <row r="99" spans="2:20" ht="41.4" thickBot="1" x14ac:dyDescent="0.35">
      <c r="B99" s="89" t="s">
        <v>8</v>
      </c>
      <c r="C99" s="89" t="s">
        <v>9</v>
      </c>
      <c r="D99" s="89" t="s">
        <v>10</v>
      </c>
      <c r="E99" s="90" t="s">
        <v>11</v>
      </c>
      <c r="F99" s="91" t="s">
        <v>12</v>
      </c>
      <c r="G99" s="92" t="s">
        <v>13</v>
      </c>
      <c r="H99" s="92" t="s">
        <v>14</v>
      </c>
      <c r="I99" s="92" t="s">
        <v>15</v>
      </c>
      <c r="J99" s="93" t="s">
        <v>16</v>
      </c>
      <c r="L99" s="89" t="s">
        <v>8</v>
      </c>
      <c r="M99" s="89" t="s">
        <v>9</v>
      </c>
      <c r="N99" s="89" t="s">
        <v>10</v>
      </c>
      <c r="O99" s="90" t="s">
        <v>11</v>
      </c>
      <c r="P99" s="91" t="s">
        <v>12</v>
      </c>
      <c r="Q99" s="92" t="s">
        <v>13</v>
      </c>
      <c r="R99" s="92" t="s">
        <v>14</v>
      </c>
      <c r="S99" s="92" t="s">
        <v>15</v>
      </c>
      <c r="T99" s="93" t="s">
        <v>16</v>
      </c>
    </row>
    <row r="100" spans="2:20" x14ac:dyDescent="0.3">
      <c r="B100" s="94" t="s">
        <v>17</v>
      </c>
      <c r="C100" s="95">
        <f>J95</f>
        <v>5000</v>
      </c>
      <c r="D100" s="95">
        <f>J95/J98</f>
        <v>416.66666666666669</v>
      </c>
      <c r="E100" s="95">
        <f t="shared" ref="E100:E111" si="20">(C100*0.015)</f>
        <v>75</v>
      </c>
      <c r="F100" s="95">
        <f t="shared" ref="F100:F111" si="21">SUM(D100:E100)</f>
        <v>491.66666666666669</v>
      </c>
      <c r="G100" s="95"/>
      <c r="H100" s="95"/>
      <c r="I100" s="96"/>
      <c r="J100" s="97"/>
      <c r="L100" s="94" t="s">
        <v>17</v>
      </c>
      <c r="M100" s="95">
        <f>T95</f>
        <v>5000</v>
      </c>
      <c r="N100" s="95">
        <f>T95/T98</f>
        <v>416.66666666666669</v>
      </c>
      <c r="O100" s="95">
        <f t="shared" ref="O100:O111" si="22">(M100*0.015)</f>
        <v>75</v>
      </c>
      <c r="P100" s="95">
        <f t="shared" ref="P100:P111" si="23">SUM(N100:O100)</f>
        <v>491.66666666666669</v>
      </c>
      <c r="Q100" s="95"/>
      <c r="R100" s="95"/>
      <c r="S100" s="96"/>
      <c r="T100" s="97"/>
    </row>
    <row r="101" spans="2:20" x14ac:dyDescent="0.3">
      <c r="B101" s="98" t="s">
        <v>18</v>
      </c>
      <c r="C101" s="99">
        <v>4587</v>
      </c>
      <c r="D101" s="99">
        <v>417</v>
      </c>
      <c r="E101" s="99">
        <f t="shared" si="20"/>
        <v>68.804999999999993</v>
      </c>
      <c r="F101" s="99">
        <f t="shared" si="21"/>
        <v>485.80500000000001</v>
      </c>
      <c r="G101" s="99"/>
      <c r="H101" s="99"/>
      <c r="I101" s="100"/>
      <c r="J101" s="101"/>
      <c r="L101" s="98" t="s">
        <v>18</v>
      </c>
      <c r="M101" s="99">
        <v>4587</v>
      </c>
      <c r="N101" s="99">
        <v>417</v>
      </c>
      <c r="O101" s="99">
        <f t="shared" si="22"/>
        <v>68.804999999999993</v>
      </c>
      <c r="P101" s="99">
        <f t="shared" si="23"/>
        <v>485.80500000000001</v>
      </c>
      <c r="Q101" s="99"/>
      <c r="R101" s="99"/>
      <c r="S101" s="100"/>
      <c r="T101" s="101"/>
    </row>
    <row r="102" spans="2:20" x14ac:dyDescent="0.3">
      <c r="B102" s="98" t="s">
        <v>19</v>
      </c>
      <c r="C102" s="99">
        <v>4170</v>
      </c>
      <c r="D102" s="99">
        <v>417</v>
      </c>
      <c r="E102" s="99">
        <f t="shared" si="20"/>
        <v>62.55</v>
      </c>
      <c r="F102" s="99">
        <f t="shared" si="21"/>
        <v>479.55</v>
      </c>
      <c r="G102" s="99"/>
      <c r="H102" s="99"/>
      <c r="I102" s="100"/>
      <c r="J102" s="101"/>
      <c r="L102" s="98" t="s">
        <v>19</v>
      </c>
      <c r="M102" s="99">
        <v>4170</v>
      </c>
      <c r="N102" s="99">
        <v>417</v>
      </c>
      <c r="O102" s="99">
        <f t="shared" si="22"/>
        <v>62.55</v>
      </c>
      <c r="P102" s="99">
        <f t="shared" si="23"/>
        <v>479.55</v>
      </c>
      <c r="Q102" s="99"/>
      <c r="R102" s="99"/>
      <c r="S102" s="100"/>
      <c r="T102" s="101"/>
    </row>
    <row r="103" spans="2:20" x14ac:dyDescent="0.3">
      <c r="B103" s="98" t="s">
        <v>20</v>
      </c>
      <c r="C103" s="99">
        <v>3753</v>
      </c>
      <c r="D103" s="99">
        <v>417</v>
      </c>
      <c r="E103" s="99">
        <f t="shared" si="20"/>
        <v>56.294999999999995</v>
      </c>
      <c r="F103" s="99">
        <f t="shared" si="21"/>
        <v>473.29500000000002</v>
      </c>
      <c r="G103" s="99"/>
      <c r="H103" s="99"/>
      <c r="I103" s="100"/>
      <c r="J103" s="101"/>
      <c r="L103" s="98" t="s">
        <v>20</v>
      </c>
      <c r="M103" s="99">
        <v>3753</v>
      </c>
      <c r="N103" s="99">
        <v>417</v>
      </c>
      <c r="O103" s="99">
        <f t="shared" si="22"/>
        <v>56.294999999999995</v>
      </c>
      <c r="P103" s="99">
        <f t="shared" si="23"/>
        <v>473.29500000000002</v>
      </c>
      <c r="Q103" s="99"/>
      <c r="R103" s="99"/>
      <c r="S103" s="100"/>
      <c r="T103" s="101"/>
    </row>
    <row r="104" spans="2:20" x14ac:dyDescent="0.3">
      <c r="B104" s="98" t="s">
        <v>21</v>
      </c>
      <c r="C104" s="99">
        <v>3336</v>
      </c>
      <c r="D104" s="99">
        <v>417</v>
      </c>
      <c r="E104" s="99">
        <f t="shared" si="20"/>
        <v>50.04</v>
      </c>
      <c r="F104" s="99">
        <f t="shared" si="21"/>
        <v>467.04</v>
      </c>
      <c r="G104" s="99"/>
      <c r="H104" s="99"/>
      <c r="I104" s="100"/>
      <c r="J104" s="101"/>
      <c r="L104" s="98" t="s">
        <v>21</v>
      </c>
      <c r="M104" s="99">
        <v>3336</v>
      </c>
      <c r="N104" s="99">
        <v>417</v>
      </c>
      <c r="O104" s="99">
        <f t="shared" si="22"/>
        <v>50.04</v>
      </c>
      <c r="P104" s="99">
        <f t="shared" si="23"/>
        <v>467.04</v>
      </c>
      <c r="Q104" s="99"/>
      <c r="R104" s="99"/>
      <c r="S104" s="100"/>
      <c r="T104" s="101"/>
    </row>
    <row r="105" spans="2:20" x14ac:dyDescent="0.3">
      <c r="B105" s="98" t="s">
        <v>23</v>
      </c>
      <c r="C105" s="99">
        <v>2919</v>
      </c>
      <c r="D105" s="99">
        <v>417</v>
      </c>
      <c r="E105" s="99">
        <f t="shared" si="20"/>
        <v>43.784999999999997</v>
      </c>
      <c r="F105" s="99">
        <f t="shared" si="21"/>
        <v>460.78499999999997</v>
      </c>
      <c r="G105" s="99"/>
      <c r="H105" s="99"/>
      <c r="I105" s="100"/>
      <c r="J105" s="101"/>
      <c r="L105" s="98" t="s">
        <v>23</v>
      </c>
      <c r="M105" s="99">
        <v>2919</v>
      </c>
      <c r="N105" s="99">
        <v>417</v>
      </c>
      <c r="O105" s="99">
        <f t="shared" si="22"/>
        <v>43.784999999999997</v>
      </c>
      <c r="P105" s="99">
        <f t="shared" si="23"/>
        <v>460.78499999999997</v>
      </c>
      <c r="Q105" s="99"/>
      <c r="R105" s="99"/>
      <c r="S105" s="100"/>
      <c r="T105" s="101"/>
    </row>
    <row r="106" spans="2:20" x14ac:dyDescent="0.3">
      <c r="B106" s="98" t="s">
        <v>24</v>
      </c>
      <c r="C106" s="99">
        <v>2502</v>
      </c>
      <c r="D106" s="99">
        <v>417</v>
      </c>
      <c r="E106" s="99">
        <f t="shared" si="20"/>
        <v>37.53</v>
      </c>
      <c r="F106" s="99">
        <f t="shared" si="21"/>
        <v>454.53</v>
      </c>
      <c r="G106" s="99"/>
      <c r="H106" s="99"/>
      <c r="I106" s="100"/>
      <c r="J106" s="101"/>
      <c r="L106" s="98" t="s">
        <v>24</v>
      </c>
      <c r="M106" s="99">
        <v>2502</v>
      </c>
      <c r="N106" s="99">
        <v>417</v>
      </c>
      <c r="O106" s="99">
        <f t="shared" si="22"/>
        <v>37.53</v>
      </c>
      <c r="P106" s="99">
        <f t="shared" si="23"/>
        <v>454.53</v>
      </c>
      <c r="Q106" s="99"/>
      <c r="R106" s="99"/>
      <c r="S106" s="100"/>
      <c r="T106" s="101"/>
    </row>
    <row r="107" spans="2:20" x14ac:dyDescent="0.3">
      <c r="B107" s="98" t="s">
        <v>25</v>
      </c>
      <c r="C107" s="99">
        <v>2085</v>
      </c>
      <c r="D107" s="99">
        <v>417</v>
      </c>
      <c r="E107" s="99">
        <f t="shared" si="20"/>
        <v>31.274999999999999</v>
      </c>
      <c r="F107" s="99">
        <f t="shared" si="21"/>
        <v>448.27499999999998</v>
      </c>
      <c r="G107" s="99"/>
      <c r="H107" s="99"/>
      <c r="I107" s="100"/>
      <c r="J107" s="101"/>
      <c r="L107" s="98" t="s">
        <v>25</v>
      </c>
      <c r="M107" s="99">
        <v>2085</v>
      </c>
      <c r="N107" s="99">
        <v>417</v>
      </c>
      <c r="O107" s="99">
        <f t="shared" si="22"/>
        <v>31.274999999999999</v>
      </c>
      <c r="P107" s="99">
        <f t="shared" si="23"/>
        <v>448.27499999999998</v>
      </c>
      <c r="Q107" s="99"/>
      <c r="R107" s="99"/>
      <c r="S107" s="100"/>
      <c r="T107" s="101"/>
    </row>
    <row r="108" spans="2:20" x14ac:dyDescent="0.3">
      <c r="B108" s="98" t="s">
        <v>26</v>
      </c>
      <c r="C108" s="99">
        <v>1668</v>
      </c>
      <c r="D108" s="99">
        <v>417</v>
      </c>
      <c r="E108" s="99">
        <f t="shared" si="20"/>
        <v>25.02</v>
      </c>
      <c r="F108" s="99">
        <f t="shared" si="21"/>
        <v>442.02</v>
      </c>
      <c r="G108" s="99"/>
      <c r="H108" s="99"/>
      <c r="I108" s="100"/>
      <c r="J108" s="101"/>
      <c r="L108" s="98" t="s">
        <v>26</v>
      </c>
      <c r="M108" s="99">
        <v>1668</v>
      </c>
      <c r="N108" s="99">
        <v>417</v>
      </c>
      <c r="O108" s="99">
        <f t="shared" si="22"/>
        <v>25.02</v>
      </c>
      <c r="P108" s="99">
        <f t="shared" si="23"/>
        <v>442.02</v>
      </c>
      <c r="Q108" s="99"/>
      <c r="R108" s="99"/>
      <c r="S108" s="100"/>
      <c r="T108" s="101"/>
    </row>
    <row r="109" spans="2:20" x14ac:dyDescent="0.3">
      <c r="B109" s="98" t="s">
        <v>27</v>
      </c>
      <c r="C109" s="99">
        <v>1251</v>
      </c>
      <c r="D109" s="99">
        <v>417</v>
      </c>
      <c r="E109" s="99">
        <f t="shared" si="20"/>
        <v>18.765000000000001</v>
      </c>
      <c r="F109" s="99">
        <f t="shared" si="21"/>
        <v>435.76499999999999</v>
      </c>
      <c r="G109" s="99"/>
      <c r="H109" s="99"/>
      <c r="I109" s="100"/>
      <c r="J109" s="101"/>
      <c r="L109" s="98" t="s">
        <v>27</v>
      </c>
      <c r="M109" s="99">
        <v>1251</v>
      </c>
      <c r="N109" s="99">
        <v>417</v>
      </c>
      <c r="O109" s="99">
        <f t="shared" si="22"/>
        <v>18.765000000000001</v>
      </c>
      <c r="P109" s="99">
        <f t="shared" si="23"/>
        <v>435.76499999999999</v>
      </c>
      <c r="Q109" s="99"/>
      <c r="R109" s="99"/>
      <c r="S109" s="100"/>
      <c r="T109" s="101"/>
    </row>
    <row r="110" spans="2:20" x14ac:dyDescent="0.3">
      <c r="B110" s="98" t="s">
        <v>28</v>
      </c>
      <c r="C110" s="99">
        <v>834</v>
      </c>
      <c r="D110" s="99">
        <v>417</v>
      </c>
      <c r="E110" s="99">
        <f t="shared" si="20"/>
        <v>12.51</v>
      </c>
      <c r="F110" s="99">
        <f t="shared" si="21"/>
        <v>429.51</v>
      </c>
      <c r="G110" s="99"/>
      <c r="H110" s="99"/>
      <c r="I110" s="100"/>
      <c r="J110" s="101"/>
      <c r="L110" s="98" t="s">
        <v>28</v>
      </c>
      <c r="M110" s="99">
        <v>834</v>
      </c>
      <c r="N110" s="99">
        <v>417</v>
      </c>
      <c r="O110" s="99">
        <f t="shared" si="22"/>
        <v>12.51</v>
      </c>
      <c r="P110" s="99">
        <f t="shared" si="23"/>
        <v>429.51</v>
      </c>
      <c r="Q110" s="99"/>
      <c r="R110" s="99"/>
      <c r="S110" s="100"/>
      <c r="T110" s="101"/>
    </row>
    <row r="111" spans="2:20" x14ac:dyDescent="0.3">
      <c r="B111" s="98" t="s">
        <v>29</v>
      </c>
      <c r="C111" s="99">
        <v>417</v>
      </c>
      <c r="D111" s="99">
        <v>417</v>
      </c>
      <c r="E111" s="99">
        <f t="shared" si="20"/>
        <v>6.2549999999999999</v>
      </c>
      <c r="F111" s="99">
        <f t="shared" si="21"/>
        <v>423.255</v>
      </c>
      <c r="G111" s="99"/>
      <c r="H111" s="99"/>
      <c r="I111" s="100"/>
      <c r="J111" s="101" t="s">
        <v>42</v>
      </c>
      <c r="L111" s="98" t="s">
        <v>29</v>
      </c>
      <c r="M111" s="99">
        <v>417</v>
      </c>
      <c r="N111" s="99">
        <v>417</v>
      </c>
      <c r="O111" s="99">
        <f t="shared" si="22"/>
        <v>6.2549999999999999</v>
      </c>
      <c r="P111" s="99">
        <f t="shared" si="23"/>
        <v>423.255</v>
      </c>
      <c r="Q111" s="99"/>
      <c r="R111" s="99"/>
      <c r="S111" s="100"/>
      <c r="T111" s="101" t="s">
        <v>42</v>
      </c>
    </row>
    <row r="114" spans="2:20" x14ac:dyDescent="0.3">
      <c r="B114" s="77" t="s">
        <v>0</v>
      </c>
      <c r="C114" s="77" t="s">
        <v>164</v>
      </c>
      <c r="D114" s="77"/>
      <c r="E114" s="112"/>
      <c r="F114" s="79"/>
      <c r="G114" s="80"/>
      <c r="I114" s="81" t="s">
        <v>1</v>
      </c>
      <c r="J114" s="82">
        <v>7000</v>
      </c>
      <c r="L114" s="77" t="s">
        <v>0</v>
      </c>
      <c r="M114" s="77" t="s">
        <v>164</v>
      </c>
      <c r="N114" s="77"/>
      <c r="O114" s="112"/>
      <c r="P114" s="79"/>
      <c r="Q114" s="80"/>
      <c r="S114" s="81" t="s">
        <v>1</v>
      </c>
      <c r="T114" s="82">
        <v>7000</v>
      </c>
    </row>
    <row r="115" spans="2:20" x14ac:dyDescent="0.3">
      <c r="B115" s="77" t="s">
        <v>2</v>
      </c>
      <c r="C115" s="131"/>
      <c r="D115" s="132"/>
      <c r="E115" s="83"/>
      <c r="F115" s="81"/>
      <c r="G115" s="81"/>
      <c r="H115" s="84"/>
      <c r="I115" s="81" t="s">
        <v>3</v>
      </c>
      <c r="J115" s="113" t="s">
        <v>161</v>
      </c>
      <c r="L115" s="77" t="s">
        <v>2</v>
      </c>
      <c r="M115" s="131"/>
      <c r="N115" s="79"/>
      <c r="O115" s="83"/>
      <c r="P115" s="81"/>
      <c r="Q115" s="81"/>
      <c r="R115" s="84"/>
      <c r="S115" s="81" t="s">
        <v>3</v>
      </c>
      <c r="T115" s="113" t="s">
        <v>161</v>
      </c>
    </row>
    <row r="116" spans="2:20" x14ac:dyDescent="0.3">
      <c r="B116" s="77" t="s">
        <v>4</v>
      </c>
      <c r="C116" s="112"/>
      <c r="D116" s="132"/>
      <c r="E116" s="78"/>
      <c r="G116" s="81"/>
      <c r="H116" s="81"/>
      <c r="I116" s="81" t="s">
        <v>5</v>
      </c>
      <c r="J116" s="86">
        <v>1.4999999999999999E-2</v>
      </c>
      <c r="L116" s="77" t="s">
        <v>4</v>
      </c>
      <c r="M116" s="112"/>
      <c r="N116" s="79"/>
      <c r="O116" s="78"/>
      <c r="Q116" s="81"/>
      <c r="R116" s="81"/>
      <c r="S116" s="81" t="s">
        <v>5</v>
      </c>
      <c r="T116" s="86">
        <v>1.4999999999999999E-2</v>
      </c>
    </row>
    <row r="117" spans="2:20" ht="15" thickBot="1" x14ac:dyDescent="0.35">
      <c r="B117" s="77" t="s">
        <v>6</v>
      </c>
      <c r="C117" s="133"/>
      <c r="D117" s="133"/>
      <c r="F117" s="88"/>
      <c r="G117" s="88"/>
      <c r="H117" s="88"/>
      <c r="I117" s="88" t="s">
        <v>7</v>
      </c>
      <c r="J117" s="78">
        <v>12</v>
      </c>
      <c r="L117" s="77" t="s">
        <v>6</v>
      </c>
      <c r="M117" s="133"/>
      <c r="N117" s="87"/>
      <c r="P117" s="88"/>
      <c r="Q117" s="88"/>
      <c r="R117" s="88"/>
      <c r="S117" s="88" t="s">
        <v>7</v>
      </c>
      <c r="T117" s="78">
        <v>12</v>
      </c>
    </row>
    <row r="118" spans="2:20" ht="41.4" thickBot="1" x14ac:dyDescent="0.35">
      <c r="B118" s="89" t="s">
        <v>8</v>
      </c>
      <c r="C118" s="89" t="s">
        <v>9</v>
      </c>
      <c r="D118" s="89" t="s">
        <v>10</v>
      </c>
      <c r="E118" s="90" t="s">
        <v>11</v>
      </c>
      <c r="F118" s="91" t="s">
        <v>12</v>
      </c>
      <c r="G118" s="92" t="s">
        <v>13</v>
      </c>
      <c r="H118" s="92" t="s">
        <v>14</v>
      </c>
      <c r="I118" s="92" t="s">
        <v>15</v>
      </c>
      <c r="J118" s="93" t="s">
        <v>16</v>
      </c>
      <c r="L118" s="89" t="s">
        <v>8</v>
      </c>
      <c r="M118" s="89" t="s">
        <v>9</v>
      </c>
      <c r="N118" s="89" t="s">
        <v>10</v>
      </c>
      <c r="O118" s="90" t="s">
        <v>11</v>
      </c>
      <c r="P118" s="91" t="s">
        <v>12</v>
      </c>
      <c r="Q118" s="92" t="s">
        <v>13</v>
      </c>
      <c r="R118" s="92" t="s">
        <v>14</v>
      </c>
      <c r="S118" s="92" t="s">
        <v>15</v>
      </c>
      <c r="T118" s="93" t="s">
        <v>16</v>
      </c>
    </row>
    <row r="119" spans="2:20" x14ac:dyDescent="0.3">
      <c r="B119" s="94" t="s">
        <v>17</v>
      </c>
      <c r="C119" s="95">
        <f>J114</f>
        <v>7000</v>
      </c>
      <c r="D119" s="95">
        <f>J114/J117</f>
        <v>583.33333333333337</v>
      </c>
      <c r="E119" s="95">
        <f t="shared" ref="E119:E130" si="24">(C119*0.015)</f>
        <v>105</v>
      </c>
      <c r="F119" s="95">
        <f t="shared" ref="F119:F130" si="25">SUM(D119:E119)</f>
        <v>688.33333333333337</v>
      </c>
      <c r="G119" s="95"/>
      <c r="H119" s="95"/>
      <c r="I119" s="96"/>
      <c r="J119" s="97"/>
      <c r="L119" s="94" t="s">
        <v>17</v>
      </c>
      <c r="M119" s="95">
        <f>T114</f>
        <v>7000</v>
      </c>
      <c r="N119" s="95">
        <f>T114/T117</f>
        <v>583.33333333333337</v>
      </c>
      <c r="O119" s="95">
        <f>(M119*0.015)</f>
        <v>105</v>
      </c>
      <c r="P119" s="95">
        <f t="shared" ref="P119:P130" si="26">SUM(N119:O119)</f>
        <v>688.33333333333337</v>
      </c>
      <c r="Q119" s="95"/>
      <c r="R119" s="95"/>
      <c r="S119" s="96"/>
      <c r="T119" s="97"/>
    </row>
    <row r="120" spans="2:20" x14ac:dyDescent="0.3">
      <c r="B120" s="98" t="s">
        <v>18</v>
      </c>
      <c r="C120" s="99">
        <v>6413</v>
      </c>
      <c r="D120" s="99">
        <v>583</v>
      </c>
      <c r="E120" s="99">
        <f t="shared" si="24"/>
        <v>96.194999999999993</v>
      </c>
      <c r="F120" s="99">
        <f t="shared" si="25"/>
        <v>679.19499999999994</v>
      </c>
      <c r="G120" s="99"/>
      <c r="H120" s="99"/>
      <c r="I120" s="100"/>
      <c r="J120" s="101"/>
      <c r="L120" s="98" t="s">
        <v>18</v>
      </c>
      <c r="M120" s="99">
        <v>4587</v>
      </c>
      <c r="N120" s="99">
        <v>583</v>
      </c>
      <c r="O120" s="99">
        <v>96</v>
      </c>
      <c r="P120" s="99">
        <f t="shared" si="26"/>
        <v>679</v>
      </c>
      <c r="Q120" s="99"/>
      <c r="R120" s="99"/>
      <c r="S120" s="100"/>
      <c r="T120" s="101"/>
    </row>
    <row r="121" spans="2:20" x14ac:dyDescent="0.3">
      <c r="B121" s="98" t="s">
        <v>19</v>
      </c>
      <c r="C121" s="99">
        <v>5830</v>
      </c>
      <c r="D121" s="99">
        <v>583</v>
      </c>
      <c r="E121" s="99">
        <f t="shared" si="24"/>
        <v>87.45</v>
      </c>
      <c r="F121" s="99">
        <f t="shared" si="25"/>
        <v>670.45</v>
      </c>
      <c r="G121" s="99"/>
      <c r="H121" s="99"/>
      <c r="I121" s="100"/>
      <c r="J121" s="101"/>
      <c r="L121" s="98" t="s">
        <v>19</v>
      </c>
      <c r="M121" s="99">
        <v>4170</v>
      </c>
      <c r="N121" s="99">
        <v>583</v>
      </c>
      <c r="O121" s="99">
        <v>87</v>
      </c>
      <c r="P121" s="99">
        <f t="shared" si="26"/>
        <v>670</v>
      </c>
      <c r="Q121" s="99"/>
      <c r="R121" s="99"/>
      <c r="S121" s="100"/>
      <c r="T121" s="101"/>
    </row>
    <row r="122" spans="2:20" x14ac:dyDescent="0.3">
      <c r="B122" s="98" t="s">
        <v>20</v>
      </c>
      <c r="C122" s="99">
        <v>5247</v>
      </c>
      <c r="D122" s="99">
        <v>583</v>
      </c>
      <c r="E122" s="99">
        <f t="shared" si="24"/>
        <v>78.704999999999998</v>
      </c>
      <c r="F122" s="99">
        <f t="shared" si="25"/>
        <v>661.70500000000004</v>
      </c>
      <c r="G122" s="99"/>
      <c r="H122" s="99"/>
      <c r="I122" s="100"/>
      <c r="J122" s="101"/>
      <c r="L122" s="98" t="s">
        <v>20</v>
      </c>
      <c r="M122" s="99">
        <v>3753</v>
      </c>
      <c r="N122" s="99">
        <v>583</v>
      </c>
      <c r="O122" s="99">
        <v>79</v>
      </c>
      <c r="P122" s="99">
        <f t="shared" si="26"/>
        <v>662</v>
      </c>
      <c r="Q122" s="99"/>
      <c r="R122" s="99"/>
      <c r="S122" s="100"/>
      <c r="T122" s="101"/>
    </row>
    <row r="123" spans="2:20" x14ac:dyDescent="0.3">
      <c r="B123" s="98" t="s">
        <v>21</v>
      </c>
      <c r="C123" s="99">
        <v>4664</v>
      </c>
      <c r="D123" s="99">
        <v>583</v>
      </c>
      <c r="E123" s="99">
        <f t="shared" si="24"/>
        <v>69.959999999999994</v>
      </c>
      <c r="F123" s="99">
        <f t="shared" si="25"/>
        <v>652.96</v>
      </c>
      <c r="G123" s="99"/>
      <c r="H123" s="99"/>
      <c r="I123" s="100"/>
      <c r="J123" s="101"/>
      <c r="L123" s="98" t="s">
        <v>21</v>
      </c>
      <c r="M123" s="99">
        <v>3336</v>
      </c>
      <c r="N123" s="99">
        <v>583</v>
      </c>
      <c r="O123" s="99">
        <v>70</v>
      </c>
      <c r="P123" s="99">
        <f t="shared" si="26"/>
        <v>653</v>
      </c>
      <c r="Q123" s="99"/>
      <c r="R123" s="99"/>
      <c r="S123" s="100"/>
      <c r="T123" s="101"/>
    </row>
    <row r="124" spans="2:20" x14ac:dyDescent="0.3">
      <c r="B124" s="98" t="s">
        <v>23</v>
      </c>
      <c r="C124" s="99">
        <v>4081</v>
      </c>
      <c r="D124" s="99">
        <v>583</v>
      </c>
      <c r="E124" s="99">
        <f t="shared" si="24"/>
        <v>61.214999999999996</v>
      </c>
      <c r="F124" s="99">
        <f t="shared" si="25"/>
        <v>644.21500000000003</v>
      </c>
      <c r="G124" s="99"/>
      <c r="H124" s="99"/>
      <c r="I124" s="100"/>
      <c r="J124" s="101"/>
      <c r="L124" s="98" t="s">
        <v>23</v>
      </c>
      <c r="M124" s="99">
        <v>2919</v>
      </c>
      <c r="N124" s="99">
        <v>583</v>
      </c>
      <c r="O124" s="99">
        <v>61</v>
      </c>
      <c r="P124" s="99">
        <f t="shared" si="26"/>
        <v>644</v>
      </c>
      <c r="Q124" s="99"/>
      <c r="R124" s="99"/>
      <c r="S124" s="100"/>
      <c r="T124" s="101"/>
    </row>
    <row r="125" spans="2:20" x14ac:dyDescent="0.3">
      <c r="B125" s="98" t="s">
        <v>24</v>
      </c>
      <c r="C125" s="99">
        <v>3498</v>
      </c>
      <c r="D125" s="99">
        <v>583</v>
      </c>
      <c r="E125" s="99">
        <f t="shared" si="24"/>
        <v>52.47</v>
      </c>
      <c r="F125" s="99">
        <f t="shared" si="25"/>
        <v>635.47</v>
      </c>
      <c r="G125" s="99"/>
      <c r="H125" s="99"/>
      <c r="I125" s="100"/>
      <c r="J125" s="101"/>
      <c r="L125" s="98" t="s">
        <v>24</v>
      </c>
      <c r="M125" s="99">
        <v>2502</v>
      </c>
      <c r="N125" s="99">
        <v>583</v>
      </c>
      <c r="O125" s="99">
        <v>52</v>
      </c>
      <c r="P125" s="99">
        <f t="shared" si="26"/>
        <v>635</v>
      </c>
      <c r="Q125" s="99"/>
      <c r="R125" s="99"/>
      <c r="S125" s="100"/>
      <c r="T125" s="101"/>
    </row>
    <row r="126" spans="2:20" x14ac:dyDescent="0.3">
      <c r="B126" s="98" t="s">
        <v>25</v>
      </c>
      <c r="C126" s="99">
        <v>2915</v>
      </c>
      <c r="D126" s="99">
        <v>583</v>
      </c>
      <c r="E126" s="99">
        <f t="shared" si="24"/>
        <v>43.725000000000001</v>
      </c>
      <c r="F126" s="99">
        <f t="shared" si="25"/>
        <v>626.72500000000002</v>
      </c>
      <c r="G126" s="99"/>
      <c r="H126" s="99"/>
      <c r="I126" s="100"/>
      <c r="J126" s="101"/>
      <c r="L126" s="98" t="s">
        <v>25</v>
      </c>
      <c r="M126" s="99">
        <v>2085</v>
      </c>
      <c r="N126" s="99">
        <v>583</v>
      </c>
      <c r="O126" s="99">
        <v>44</v>
      </c>
      <c r="P126" s="99">
        <f t="shared" si="26"/>
        <v>627</v>
      </c>
      <c r="Q126" s="99"/>
      <c r="R126" s="99"/>
      <c r="S126" s="100"/>
      <c r="T126" s="101"/>
    </row>
    <row r="127" spans="2:20" x14ac:dyDescent="0.3">
      <c r="B127" s="98" t="s">
        <v>26</v>
      </c>
      <c r="C127" s="99">
        <v>2332</v>
      </c>
      <c r="D127" s="99">
        <v>583</v>
      </c>
      <c r="E127" s="99">
        <f t="shared" si="24"/>
        <v>34.979999999999997</v>
      </c>
      <c r="F127" s="99">
        <f t="shared" si="25"/>
        <v>617.98</v>
      </c>
      <c r="G127" s="99"/>
      <c r="H127" s="99"/>
      <c r="I127" s="100"/>
      <c r="J127" s="101"/>
      <c r="L127" s="98" t="s">
        <v>26</v>
      </c>
      <c r="M127" s="99">
        <v>1668</v>
      </c>
      <c r="N127" s="99">
        <v>583</v>
      </c>
      <c r="O127" s="99">
        <v>35</v>
      </c>
      <c r="P127" s="99">
        <f t="shared" si="26"/>
        <v>618</v>
      </c>
      <c r="Q127" s="99"/>
      <c r="R127" s="99"/>
      <c r="S127" s="100"/>
      <c r="T127" s="101"/>
    </row>
    <row r="128" spans="2:20" x14ac:dyDescent="0.3">
      <c r="B128" s="98" t="s">
        <v>27</v>
      </c>
      <c r="C128" s="99">
        <v>1749</v>
      </c>
      <c r="D128" s="99">
        <v>583</v>
      </c>
      <c r="E128" s="99">
        <f t="shared" si="24"/>
        <v>26.234999999999999</v>
      </c>
      <c r="F128" s="99">
        <f t="shared" si="25"/>
        <v>609.23500000000001</v>
      </c>
      <c r="G128" s="99"/>
      <c r="H128" s="99"/>
      <c r="I128" s="100"/>
      <c r="J128" s="101"/>
      <c r="L128" s="98" t="s">
        <v>27</v>
      </c>
      <c r="M128" s="99">
        <v>1251</v>
      </c>
      <c r="N128" s="99">
        <v>583</v>
      </c>
      <c r="O128" s="99">
        <v>26</v>
      </c>
      <c r="P128" s="99">
        <f t="shared" si="26"/>
        <v>609</v>
      </c>
      <c r="Q128" s="99"/>
      <c r="R128" s="99"/>
      <c r="S128" s="100"/>
      <c r="T128" s="101"/>
    </row>
    <row r="129" spans="2:20" x14ac:dyDescent="0.3">
      <c r="B129" s="98" t="s">
        <v>28</v>
      </c>
      <c r="C129" s="99">
        <v>1166</v>
      </c>
      <c r="D129" s="99">
        <v>583</v>
      </c>
      <c r="E129" s="99">
        <f t="shared" si="24"/>
        <v>17.489999999999998</v>
      </c>
      <c r="F129" s="99">
        <f t="shared" si="25"/>
        <v>600.49</v>
      </c>
      <c r="G129" s="99"/>
      <c r="H129" s="99"/>
      <c r="I129" s="100"/>
      <c r="J129" s="101"/>
      <c r="L129" s="98" t="s">
        <v>28</v>
      </c>
      <c r="M129" s="99">
        <v>834</v>
      </c>
      <c r="N129" s="99">
        <v>583</v>
      </c>
      <c r="O129" s="99">
        <v>17</v>
      </c>
      <c r="P129" s="99">
        <f t="shared" si="26"/>
        <v>600</v>
      </c>
      <c r="Q129" s="99"/>
      <c r="R129" s="99"/>
      <c r="S129" s="100"/>
      <c r="T129" s="101"/>
    </row>
    <row r="130" spans="2:20" x14ac:dyDescent="0.3">
      <c r="B130" s="98" t="s">
        <v>29</v>
      </c>
      <c r="C130" s="99">
        <v>583</v>
      </c>
      <c r="D130" s="99">
        <v>583</v>
      </c>
      <c r="E130" s="99">
        <f t="shared" si="24"/>
        <v>8.7449999999999992</v>
      </c>
      <c r="F130" s="99">
        <f t="shared" si="25"/>
        <v>591.745</v>
      </c>
      <c r="G130" s="99"/>
      <c r="H130" s="99"/>
      <c r="I130" s="100"/>
      <c r="J130" s="101" t="s">
        <v>42</v>
      </c>
      <c r="L130" s="98" t="s">
        <v>29</v>
      </c>
      <c r="M130" s="99">
        <v>417</v>
      </c>
      <c r="N130" s="99">
        <v>583</v>
      </c>
      <c r="O130" s="99">
        <v>9</v>
      </c>
      <c r="P130" s="99">
        <f t="shared" si="26"/>
        <v>592</v>
      </c>
      <c r="Q130" s="99"/>
      <c r="R130" s="99"/>
      <c r="S130" s="100"/>
      <c r="T130" s="101" t="s">
        <v>42</v>
      </c>
    </row>
    <row r="133" spans="2:20" x14ac:dyDescent="0.3">
      <c r="B133" s="77" t="s">
        <v>0</v>
      </c>
      <c r="C133" s="77" t="s">
        <v>168</v>
      </c>
      <c r="D133" s="112"/>
      <c r="E133" s="112"/>
      <c r="F133" s="79"/>
      <c r="G133" s="80"/>
      <c r="I133" s="81" t="s">
        <v>1</v>
      </c>
      <c r="J133" s="82">
        <v>40000</v>
      </c>
      <c r="L133" s="77" t="s">
        <v>0</v>
      </c>
      <c r="M133" s="77" t="s">
        <v>168</v>
      </c>
      <c r="N133" s="112"/>
      <c r="O133" s="112"/>
      <c r="P133" s="79"/>
      <c r="Q133" s="80"/>
      <c r="S133" s="81" t="s">
        <v>1</v>
      </c>
      <c r="T133" s="82">
        <v>40000</v>
      </c>
    </row>
    <row r="134" spans="2:20" x14ac:dyDescent="0.3">
      <c r="B134" s="77" t="s">
        <v>2</v>
      </c>
      <c r="C134" s="83"/>
      <c r="D134" s="79"/>
      <c r="E134" s="83"/>
      <c r="F134" s="81"/>
      <c r="G134" s="81"/>
      <c r="I134" s="81" t="s">
        <v>3</v>
      </c>
      <c r="J134" s="85" t="s">
        <v>169</v>
      </c>
      <c r="L134" s="77" t="s">
        <v>2</v>
      </c>
      <c r="M134" s="83"/>
      <c r="N134" s="79"/>
      <c r="O134" s="83"/>
      <c r="P134" s="81"/>
      <c r="Q134" s="81"/>
      <c r="S134" s="81" t="s">
        <v>3</v>
      </c>
      <c r="T134" s="85" t="s">
        <v>169</v>
      </c>
    </row>
    <row r="135" spans="2:20" x14ac:dyDescent="0.3">
      <c r="B135" s="77" t="s">
        <v>4</v>
      </c>
      <c r="C135" s="78"/>
      <c r="D135" s="79"/>
      <c r="E135" s="78"/>
      <c r="F135" s="81"/>
      <c r="G135" s="81"/>
      <c r="I135" s="81" t="s">
        <v>5</v>
      </c>
      <c r="J135" s="86">
        <v>1.4999999999999999E-2</v>
      </c>
      <c r="L135" s="77" t="s">
        <v>4</v>
      </c>
      <c r="M135" s="78"/>
      <c r="N135" s="79"/>
      <c r="O135" s="78"/>
      <c r="P135" s="81"/>
      <c r="Q135" s="81"/>
      <c r="S135" s="81" t="s">
        <v>5</v>
      </c>
      <c r="T135" s="86">
        <v>1.4999999999999999E-2</v>
      </c>
    </row>
    <row r="136" spans="2:20" ht="15" thickBot="1" x14ac:dyDescent="0.35">
      <c r="B136" s="77" t="s">
        <v>6</v>
      </c>
      <c r="C136" s="87"/>
      <c r="D136" s="87"/>
      <c r="E136" s="88"/>
      <c r="F136" s="88"/>
      <c r="G136" s="88"/>
      <c r="I136" s="88" t="s">
        <v>7</v>
      </c>
      <c r="J136" s="78">
        <v>12</v>
      </c>
      <c r="L136" s="77" t="s">
        <v>6</v>
      </c>
      <c r="M136" s="87"/>
      <c r="N136" s="87"/>
      <c r="O136" s="88"/>
      <c r="P136" s="88"/>
      <c r="Q136" s="88"/>
      <c r="S136" s="88" t="s">
        <v>7</v>
      </c>
      <c r="T136" s="78">
        <v>12</v>
      </c>
    </row>
    <row r="137" spans="2:20" ht="41.4" thickBot="1" x14ac:dyDescent="0.35">
      <c r="B137" s="89" t="s">
        <v>8</v>
      </c>
      <c r="C137" s="89" t="s">
        <v>9</v>
      </c>
      <c r="D137" s="89" t="s">
        <v>10</v>
      </c>
      <c r="E137" s="90" t="s">
        <v>11</v>
      </c>
      <c r="F137" s="91" t="s">
        <v>12</v>
      </c>
      <c r="G137" s="92" t="s">
        <v>13</v>
      </c>
      <c r="H137" s="92" t="s">
        <v>14</v>
      </c>
      <c r="I137" s="92" t="s">
        <v>15</v>
      </c>
      <c r="J137" s="93" t="s">
        <v>16</v>
      </c>
      <c r="L137" s="89" t="s">
        <v>8</v>
      </c>
      <c r="M137" s="89" t="s">
        <v>9</v>
      </c>
      <c r="N137" s="89" t="s">
        <v>10</v>
      </c>
      <c r="O137" s="90" t="s">
        <v>11</v>
      </c>
      <c r="P137" s="91" t="s">
        <v>12</v>
      </c>
      <c r="Q137" s="92" t="s">
        <v>13</v>
      </c>
      <c r="R137" s="92" t="s">
        <v>14</v>
      </c>
      <c r="S137" s="92" t="s">
        <v>15</v>
      </c>
      <c r="T137" s="93" t="s">
        <v>16</v>
      </c>
    </row>
    <row r="138" spans="2:20" x14ac:dyDescent="0.3">
      <c r="B138" s="94" t="s">
        <v>17</v>
      </c>
      <c r="C138" s="95">
        <f>J133</f>
        <v>40000</v>
      </c>
      <c r="D138" s="95">
        <f>J133/J136</f>
        <v>3333.3333333333335</v>
      </c>
      <c r="E138" s="95">
        <f>(C138*0.015)</f>
        <v>600</v>
      </c>
      <c r="F138" s="95">
        <f t="shared" ref="F138:F149" si="27">SUM(D138:E138)</f>
        <v>3933.3333333333335</v>
      </c>
      <c r="G138" s="95"/>
      <c r="H138" s="95"/>
      <c r="I138" s="96"/>
      <c r="J138" s="97"/>
      <c r="L138" s="94" t="s">
        <v>17</v>
      </c>
      <c r="M138" s="95">
        <f>T133</f>
        <v>40000</v>
      </c>
      <c r="N138" s="95">
        <f>T133/T136</f>
        <v>3333.3333333333335</v>
      </c>
      <c r="O138" s="95">
        <f>(M138*0.015)</f>
        <v>600</v>
      </c>
      <c r="P138" s="95">
        <f t="shared" ref="P138:P149" si="28">SUM(N138:O138)</f>
        <v>3933.3333333333335</v>
      </c>
      <c r="Q138" s="95"/>
      <c r="R138" s="95"/>
      <c r="S138" s="96"/>
      <c r="T138" s="97"/>
    </row>
    <row r="139" spans="2:20" x14ac:dyDescent="0.3">
      <c r="B139" s="98" t="s">
        <v>18</v>
      </c>
      <c r="C139" s="99">
        <v>36663</v>
      </c>
      <c r="D139" s="99">
        <v>3333</v>
      </c>
      <c r="E139" s="99">
        <f>(C139*0.015)</f>
        <v>549.94499999999994</v>
      </c>
      <c r="F139" s="99">
        <f t="shared" si="27"/>
        <v>3882.9449999999997</v>
      </c>
      <c r="G139" s="99"/>
      <c r="H139" s="99"/>
      <c r="I139" s="100"/>
      <c r="J139" s="101"/>
      <c r="L139" s="98" t="s">
        <v>18</v>
      </c>
      <c r="M139" s="99">
        <v>36663</v>
      </c>
      <c r="N139" s="99">
        <v>3333</v>
      </c>
      <c r="O139" s="99">
        <f>(M139*0.015)</f>
        <v>549.94499999999994</v>
      </c>
      <c r="P139" s="99">
        <f t="shared" si="28"/>
        <v>3882.9449999999997</v>
      </c>
      <c r="Q139" s="99"/>
      <c r="R139" s="99"/>
      <c r="S139" s="100"/>
      <c r="T139" s="101"/>
    </row>
    <row r="140" spans="2:20" x14ac:dyDescent="0.3">
      <c r="B140" s="98" t="s">
        <v>19</v>
      </c>
      <c r="C140" s="99">
        <v>33330</v>
      </c>
      <c r="D140" s="99">
        <v>3333</v>
      </c>
      <c r="E140" s="99">
        <v>376</v>
      </c>
      <c r="F140" s="99">
        <f t="shared" si="27"/>
        <v>3709</v>
      </c>
      <c r="G140" s="99"/>
      <c r="H140" s="99"/>
      <c r="I140" s="100"/>
      <c r="J140" s="101"/>
      <c r="L140" s="98" t="s">
        <v>19</v>
      </c>
      <c r="M140" s="99">
        <v>33330</v>
      </c>
      <c r="N140" s="99">
        <v>3333</v>
      </c>
      <c r="O140" s="99">
        <v>376</v>
      </c>
      <c r="P140" s="99">
        <f t="shared" si="28"/>
        <v>3709</v>
      </c>
      <c r="Q140" s="99"/>
      <c r="R140" s="99"/>
      <c r="S140" s="100"/>
      <c r="T140" s="101"/>
    </row>
    <row r="141" spans="2:20" x14ac:dyDescent="0.3">
      <c r="B141" s="98" t="s">
        <v>20</v>
      </c>
      <c r="C141" s="99">
        <v>29997</v>
      </c>
      <c r="D141" s="99">
        <v>3333</v>
      </c>
      <c r="E141" s="99">
        <f t="shared" ref="E141:E149" si="29">(C141*0.015)</f>
        <v>449.95499999999998</v>
      </c>
      <c r="F141" s="99">
        <f t="shared" si="27"/>
        <v>3782.9549999999999</v>
      </c>
      <c r="G141" s="99"/>
      <c r="H141" s="99"/>
      <c r="I141" s="100"/>
      <c r="J141" s="101"/>
      <c r="L141" s="98" t="s">
        <v>20</v>
      </c>
      <c r="M141" s="99">
        <v>29997</v>
      </c>
      <c r="N141" s="99">
        <v>3333</v>
      </c>
      <c r="O141" s="99">
        <f t="shared" ref="O141:O149" si="30">(M141*0.015)</f>
        <v>449.95499999999998</v>
      </c>
      <c r="P141" s="99">
        <f t="shared" si="28"/>
        <v>3782.9549999999999</v>
      </c>
      <c r="Q141" s="99"/>
      <c r="R141" s="99"/>
      <c r="S141" s="100"/>
      <c r="T141" s="101"/>
    </row>
    <row r="142" spans="2:20" x14ac:dyDescent="0.3">
      <c r="B142" s="98" t="s">
        <v>21</v>
      </c>
      <c r="C142" s="99">
        <v>26664</v>
      </c>
      <c r="D142" s="99">
        <v>3333</v>
      </c>
      <c r="E142" s="99">
        <f t="shared" si="29"/>
        <v>399.96</v>
      </c>
      <c r="F142" s="99">
        <f t="shared" si="27"/>
        <v>3732.96</v>
      </c>
      <c r="G142" s="99"/>
      <c r="H142" s="99"/>
      <c r="I142" s="100"/>
      <c r="J142" s="101"/>
      <c r="L142" s="98" t="s">
        <v>21</v>
      </c>
      <c r="M142" s="99">
        <v>26664</v>
      </c>
      <c r="N142" s="99">
        <v>3333</v>
      </c>
      <c r="O142" s="99">
        <f t="shared" si="30"/>
        <v>399.96</v>
      </c>
      <c r="P142" s="99">
        <f t="shared" si="28"/>
        <v>3732.96</v>
      </c>
      <c r="Q142" s="99"/>
      <c r="R142" s="99"/>
      <c r="S142" s="100"/>
      <c r="T142" s="101"/>
    </row>
    <row r="143" spans="2:20" x14ac:dyDescent="0.3">
      <c r="B143" s="98" t="s">
        <v>23</v>
      </c>
      <c r="C143" s="99">
        <v>23331</v>
      </c>
      <c r="D143" s="99">
        <v>3333</v>
      </c>
      <c r="E143" s="99">
        <f t="shared" si="29"/>
        <v>349.96499999999997</v>
      </c>
      <c r="F143" s="99">
        <f t="shared" si="27"/>
        <v>3682.9650000000001</v>
      </c>
      <c r="G143" s="99"/>
      <c r="H143" s="99"/>
      <c r="I143" s="100"/>
      <c r="J143" s="101"/>
      <c r="L143" s="98" t="s">
        <v>23</v>
      </c>
      <c r="M143" s="99">
        <v>23331</v>
      </c>
      <c r="N143" s="99">
        <v>3333</v>
      </c>
      <c r="O143" s="99">
        <f t="shared" si="30"/>
        <v>349.96499999999997</v>
      </c>
      <c r="P143" s="99">
        <f t="shared" si="28"/>
        <v>3682.9650000000001</v>
      </c>
      <c r="Q143" s="99"/>
      <c r="R143" s="99"/>
      <c r="S143" s="100"/>
      <c r="T143" s="101"/>
    </row>
    <row r="144" spans="2:20" x14ac:dyDescent="0.3">
      <c r="B144" s="98" t="s">
        <v>24</v>
      </c>
      <c r="C144" s="99">
        <v>19998</v>
      </c>
      <c r="D144" s="99">
        <v>3333</v>
      </c>
      <c r="E144" s="99">
        <f t="shared" si="29"/>
        <v>299.96999999999997</v>
      </c>
      <c r="F144" s="99">
        <f t="shared" si="27"/>
        <v>3632.97</v>
      </c>
      <c r="G144" s="99"/>
      <c r="H144" s="99"/>
      <c r="I144" s="100"/>
      <c r="J144" s="101"/>
      <c r="L144" s="98" t="s">
        <v>24</v>
      </c>
      <c r="M144" s="99">
        <v>19998</v>
      </c>
      <c r="N144" s="99">
        <v>3333</v>
      </c>
      <c r="O144" s="99">
        <f t="shared" si="30"/>
        <v>299.96999999999997</v>
      </c>
      <c r="P144" s="99">
        <f t="shared" si="28"/>
        <v>3632.97</v>
      </c>
      <c r="Q144" s="99"/>
      <c r="R144" s="99"/>
      <c r="S144" s="100"/>
      <c r="T144" s="101"/>
    </row>
    <row r="145" spans="2:20" x14ac:dyDescent="0.3">
      <c r="B145" s="98" t="s">
        <v>25</v>
      </c>
      <c r="C145" s="99">
        <v>16665</v>
      </c>
      <c r="D145" s="99">
        <v>3333</v>
      </c>
      <c r="E145" s="99">
        <f t="shared" si="29"/>
        <v>249.97499999999999</v>
      </c>
      <c r="F145" s="99">
        <f t="shared" si="27"/>
        <v>3582.9749999999999</v>
      </c>
      <c r="G145" s="99"/>
      <c r="H145" s="99"/>
      <c r="I145" s="100"/>
      <c r="J145" s="101"/>
      <c r="L145" s="98" t="s">
        <v>25</v>
      </c>
      <c r="M145" s="99">
        <v>16665</v>
      </c>
      <c r="N145" s="99">
        <v>3333</v>
      </c>
      <c r="O145" s="99">
        <f t="shared" si="30"/>
        <v>249.97499999999999</v>
      </c>
      <c r="P145" s="99">
        <f t="shared" si="28"/>
        <v>3582.9749999999999</v>
      </c>
      <c r="Q145" s="99"/>
      <c r="R145" s="99"/>
      <c r="S145" s="100"/>
      <c r="T145" s="101"/>
    </row>
    <row r="146" spans="2:20" x14ac:dyDescent="0.3">
      <c r="B146" s="98" t="s">
        <v>26</v>
      </c>
      <c r="C146" s="99">
        <v>13332</v>
      </c>
      <c r="D146" s="99">
        <v>3333</v>
      </c>
      <c r="E146" s="99">
        <f t="shared" si="29"/>
        <v>199.98</v>
      </c>
      <c r="F146" s="99">
        <f t="shared" si="27"/>
        <v>3532.98</v>
      </c>
      <c r="G146" s="99"/>
      <c r="H146" s="99"/>
      <c r="I146" s="100"/>
      <c r="J146" s="101"/>
      <c r="L146" s="98" t="s">
        <v>26</v>
      </c>
      <c r="M146" s="99">
        <v>13332</v>
      </c>
      <c r="N146" s="99">
        <v>3333</v>
      </c>
      <c r="O146" s="99">
        <f t="shared" si="30"/>
        <v>199.98</v>
      </c>
      <c r="P146" s="99">
        <f t="shared" si="28"/>
        <v>3532.98</v>
      </c>
      <c r="Q146" s="99"/>
      <c r="R146" s="99"/>
      <c r="S146" s="100"/>
      <c r="T146" s="101"/>
    </row>
    <row r="147" spans="2:20" x14ac:dyDescent="0.3">
      <c r="B147" s="98" t="s">
        <v>27</v>
      </c>
      <c r="C147" s="99">
        <v>9999</v>
      </c>
      <c r="D147" s="99">
        <v>3333</v>
      </c>
      <c r="E147" s="99">
        <f t="shared" si="29"/>
        <v>149.98499999999999</v>
      </c>
      <c r="F147" s="99">
        <f t="shared" si="27"/>
        <v>3482.9850000000001</v>
      </c>
      <c r="G147" s="99"/>
      <c r="H147" s="99"/>
      <c r="I147" s="100"/>
      <c r="J147" s="101"/>
      <c r="L147" s="98" t="s">
        <v>27</v>
      </c>
      <c r="M147" s="99">
        <v>9999</v>
      </c>
      <c r="N147" s="99">
        <v>3333</v>
      </c>
      <c r="O147" s="99">
        <f t="shared" si="30"/>
        <v>149.98499999999999</v>
      </c>
      <c r="P147" s="99">
        <f t="shared" si="28"/>
        <v>3482.9850000000001</v>
      </c>
      <c r="Q147" s="99"/>
      <c r="R147" s="99"/>
      <c r="S147" s="100"/>
      <c r="T147" s="101"/>
    </row>
    <row r="148" spans="2:20" x14ac:dyDescent="0.3">
      <c r="B148" s="98" t="s">
        <v>28</v>
      </c>
      <c r="C148" s="99">
        <v>6666</v>
      </c>
      <c r="D148" s="99">
        <v>3333</v>
      </c>
      <c r="E148" s="99">
        <f t="shared" si="29"/>
        <v>99.99</v>
      </c>
      <c r="F148" s="99">
        <f t="shared" si="27"/>
        <v>3432.99</v>
      </c>
      <c r="G148" s="99"/>
      <c r="H148" s="99"/>
      <c r="I148" s="100"/>
      <c r="J148" s="101"/>
      <c r="L148" s="98" t="s">
        <v>28</v>
      </c>
      <c r="M148" s="99">
        <v>6666</v>
      </c>
      <c r="N148" s="99">
        <v>3333</v>
      </c>
      <c r="O148" s="99">
        <f t="shared" si="30"/>
        <v>99.99</v>
      </c>
      <c r="P148" s="99">
        <f t="shared" si="28"/>
        <v>3432.99</v>
      </c>
      <c r="Q148" s="99"/>
      <c r="R148" s="99"/>
      <c r="S148" s="100"/>
      <c r="T148" s="101"/>
    </row>
    <row r="149" spans="2:20" x14ac:dyDescent="0.3">
      <c r="B149" s="98" t="s">
        <v>29</v>
      </c>
      <c r="C149" s="99">
        <v>3333</v>
      </c>
      <c r="D149" s="99">
        <v>3333</v>
      </c>
      <c r="E149" s="99">
        <f t="shared" si="29"/>
        <v>49.994999999999997</v>
      </c>
      <c r="F149" s="99">
        <f t="shared" si="27"/>
        <v>3382.9949999999999</v>
      </c>
      <c r="G149" s="99"/>
      <c r="H149" s="99"/>
      <c r="I149" s="100"/>
      <c r="J149" s="101" t="s">
        <v>42</v>
      </c>
      <c r="L149" s="98" t="s">
        <v>29</v>
      </c>
      <c r="M149" s="99">
        <v>3333</v>
      </c>
      <c r="N149" s="99">
        <v>3333</v>
      </c>
      <c r="O149" s="99">
        <f t="shared" si="30"/>
        <v>49.994999999999997</v>
      </c>
      <c r="P149" s="99">
        <f t="shared" si="28"/>
        <v>3382.9949999999999</v>
      </c>
      <c r="Q149" s="99"/>
      <c r="R149" s="99"/>
      <c r="S149" s="100"/>
      <c r="T149" s="101" t="s">
        <v>42</v>
      </c>
    </row>
    <row r="151" spans="2:20" x14ac:dyDescent="0.3">
      <c r="B151" s="77" t="s">
        <v>0</v>
      </c>
      <c r="C151" s="77" t="s">
        <v>310</v>
      </c>
      <c r="D151" s="112"/>
      <c r="E151" s="112"/>
      <c r="F151" s="79"/>
      <c r="G151" s="80"/>
      <c r="I151" s="81" t="s">
        <v>1</v>
      </c>
      <c r="J151" s="82">
        <v>30000</v>
      </c>
      <c r="L151" s="77" t="s">
        <v>0</v>
      </c>
      <c r="M151" s="77" t="s">
        <v>310</v>
      </c>
      <c r="N151" s="112"/>
      <c r="O151" s="112"/>
      <c r="P151" s="79"/>
      <c r="Q151" s="80"/>
      <c r="S151" s="81" t="s">
        <v>1</v>
      </c>
      <c r="T151" s="82">
        <v>30000</v>
      </c>
    </row>
    <row r="152" spans="2:20" x14ac:dyDescent="0.3">
      <c r="B152" s="77" t="s">
        <v>2</v>
      </c>
      <c r="C152" s="83"/>
      <c r="D152" s="79"/>
      <c r="E152" s="83"/>
      <c r="F152" s="81"/>
      <c r="G152" s="81"/>
      <c r="I152" s="81" t="s">
        <v>3</v>
      </c>
      <c r="J152" s="85" t="s">
        <v>311</v>
      </c>
      <c r="L152" s="77" t="s">
        <v>2</v>
      </c>
      <c r="M152" s="83"/>
      <c r="N152" s="79"/>
      <c r="O152" s="83"/>
      <c r="P152" s="81"/>
      <c r="Q152" s="81"/>
      <c r="S152" s="81" t="s">
        <v>3</v>
      </c>
      <c r="T152" s="85" t="s">
        <v>311</v>
      </c>
    </row>
    <row r="153" spans="2:20" x14ac:dyDescent="0.3">
      <c r="B153" s="77" t="s">
        <v>4</v>
      </c>
      <c r="C153" s="78"/>
      <c r="D153" s="79"/>
      <c r="E153" s="78"/>
      <c r="F153" s="81"/>
      <c r="G153" s="81"/>
      <c r="I153" s="81" t="s">
        <v>5</v>
      </c>
      <c r="J153" s="86">
        <v>1.4999999999999999E-2</v>
      </c>
      <c r="L153" s="77" t="s">
        <v>4</v>
      </c>
      <c r="M153" s="78"/>
      <c r="N153" s="79"/>
      <c r="O153" s="78"/>
      <c r="P153" s="81"/>
      <c r="Q153" s="81"/>
      <c r="S153" s="81" t="s">
        <v>5</v>
      </c>
      <c r="T153" s="86">
        <v>1.4999999999999999E-2</v>
      </c>
    </row>
    <row r="154" spans="2:20" ht="15" thickBot="1" x14ac:dyDescent="0.35">
      <c r="B154" s="77" t="s">
        <v>6</v>
      </c>
      <c r="C154" s="87"/>
      <c r="D154" s="87"/>
      <c r="E154" s="88"/>
      <c r="F154" s="88"/>
      <c r="G154" s="88"/>
      <c r="I154" s="88" t="s">
        <v>7</v>
      </c>
      <c r="J154" s="78">
        <v>12</v>
      </c>
      <c r="L154" s="77" t="s">
        <v>6</v>
      </c>
      <c r="M154" s="87"/>
      <c r="N154" s="87"/>
      <c r="O154" s="88"/>
      <c r="P154" s="88"/>
      <c r="Q154" s="88"/>
      <c r="S154" s="88" t="s">
        <v>7</v>
      </c>
      <c r="T154" s="78">
        <v>12</v>
      </c>
    </row>
    <row r="155" spans="2:20" ht="41.4" thickBot="1" x14ac:dyDescent="0.35">
      <c r="B155" s="89" t="s">
        <v>8</v>
      </c>
      <c r="C155" s="89" t="s">
        <v>9</v>
      </c>
      <c r="D155" s="89" t="s">
        <v>10</v>
      </c>
      <c r="E155" s="90" t="s">
        <v>11</v>
      </c>
      <c r="F155" s="91" t="s">
        <v>12</v>
      </c>
      <c r="G155" s="92" t="s">
        <v>13</v>
      </c>
      <c r="H155" s="92" t="s">
        <v>14</v>
      </c>
      <c r="I155" s="92" t="s">
        <v>15</v>
      </c>
      <c r="J155" s="93" t="s">
        <v>16</v>
      </c>
      <c r="L155" s="89" t="s">
        <v>8</v>
      </c>
      <c r="M155" s="89" t="s">
        <v>9</v>
      </c>
      <c r="N155" s="89" t="s">
        <v>10</v>
      </c>
      <c r="O155" s="90" t="s">
        <v>11</v>
      </c>
      <c r="P155" s="91" t="s">
        <v>12</v>
      </c>
      <c r="Q155" s="92" t="s">
        <v>13</v>
      </c>
      <c r="R155" s="92" t="s">
        <v>14</v>
      </c>
      <c r="S155" s="92" t="s">
        <v>15</v>
      </c>
      <c r="T155" s="93" t="s">
        <v>16</v>
      </c>
    </row>
    <row r="156" spans="2:20" x14ac:dyDescent="0.3">
      <c r="B156" s="94" t="s">
        <v>17</v>
      </c>
      <c r="C156" s="95">
        <f>J151</f>
        <v>30000</v>
      </c>
      <c r="D156" s="95">
        <f>J151/J154</f>
        <v>2500</v>
      </c>
      <c r="E156" s="95">
        <f t="shared" ref="E156:E167" si="31">(C156*0.015)</f>
        <v>450</v>
      </c>
      <c r="F156" s="95">
        <f>'30-12'!$C$6+E156</f>
        <v>2950</v>
      </c>
      <c r="G156" s="95"/>
      <c r="H156" s="95"/>
      <c r="I156" s="96"/>
      <c r="J156" s="97"/>
      <c r="L156" s="94" t="s">
        <v>17</v>
      </c>
      <c r="M156" s="95">
        <f>T151</f>
        <v>30000</v>
      </c>
      <c r="N156" s="95">
        <f>T151/T154</f>
        <v>2500</v>
      </c>
      <c r="O156" s="95">
        <f t="shared" ref="O156:O167" si="32">(M156*0.015)</f>
        <v>450</v>
      </c>
      <c r="P156" s="95">
        <f>'30-12'!$C$6+O156</f>
        <v>2950</v>
      </c>
      <c r="Q156" s="95"/>
      <c r="R156" s="95"/>
      <c r="S156" s="96"/>
      <c r="T156" s="97"/>
    </row>
    <row r="157" spans="2:20" x14ac:dyDescent="0.3">
      <c r="B157" s="98" t="s">
        <v>18</v>
      </c>
      <c r="C157" s="99">
        <v>27500</v>
      </c>
      <c r="D157" s="99">
        <f>'30-12'!$C$6</f>
        <v>2500</v>
      </c>
      <c r="E157" s="99">
        <f t="shared" si="31"/>
        <v>412.5</v>
      </c>
      <c r="F157" s="99">
        <f>'30-12'!$C$6+E157</f>
        <v>2912.5</v>
      </c>
      <c r="G157" s="99"/>
      <c r="H157" s="99"/>
      <c r="I157" s="100"/>
      <c r="J157" s="101"/>
      <c r="L157" s="98" t="s">
        <v>18</v>
      </c>
      <c r="M157" s="99">
        <v>27500</v>
      </c>
      <c r="N157" s="99">
        <f>'30-12'!$C$6</f>
        <v>2500</v>
      </c>
      <c r="O157" s="99">
        <f t="shared" si="32"/>
        <v>412.5</v>
      </c>
      <c r="P157" s="99">
        <f>'30-12'!$C$6+O157</f>
        <v>2912.5</v>
      </c>
      <c r="Q157" s="99"/>
      <c r="R157" s="99"/>
      <c r="S157" s="100"/>
      <c r="T157" s="101"/>
    </row>
    <row r="158" spans="2:20" x14ac:dyDescent="0.3">
      <c r="B158" s="98" t="s">
        <v>19</v>
      </c>
      <c r="C158" s="99">
        <v>25000</v>
      </c>
      <c r="D158" s="99">
        <f>'30-12'!$C$6</f>
        <v>2500</v>
      </c>
      <c r="E158" s="99">
        <f t="shared" si="31"/>
        <v>375</v>
      </c>
      <c r="F158" s="99">
        <f>'30-12'!$C$6+E158</f>
        <v>2875</v>
      </c>
      <c r="G158" s="99"/>
      <c r="H158" s="99"/>
      <c r="I158" s="100"/>
      <c r="J158" s="101"/>
      <c r="L158" s="98" t="s">
        <v>19</v>
      </c>
      <c r="M158" s="99">
        <v>25000</v>
      </c>
      <c r="N158" s="99">
        <f>'30-12'!$C$6</f>
        <v>2500</v>
      </c>
      <c r="O158" s="99">
        <f t="shared" si="32"/>
        <v>375</v>
      </c>
      <c r="P158" s="99">
        <f>'30-12'!$C$6+O158</f>
        <v>2875</v>
      </c>
      <c r="Q158" s="99"/>
      <c r="R158" s="99"/>
      <c r="S158" s="100"/>
      <c r="T158" s="101"/>
    </row>
    <row r="159" spans="2:20" x14ac:dyDescent="0.3">
      <c r="B159" s="98" t="s">
        <v>20</v>
      </c>
      <c r="C159" s="99">
        <v>22500</v>
      </c>
      <c r="D159" s="99">
        <f>'30-12'!$C$6</f>
        <v>2500</v>
      </c>
      <c r="E159" s="99">
        <f t="shared" si="31"/>
        <v>337.5</v>
      </c>
      <c r="F159" s="99">
        <f>'30-12'!$C$6+E159</f>
        <v>2837.5</v>
      </c>
      <c r="G159" s="99"/>
      <c r="H159" s="99"/>
      <c r="I159" s="100"/>
      <c r="J159" s="101"/>
      <c r="L159" s="98" t="s">
        <v>20</v>
      </c>
      <c r="M159" s="99">
        <v>22500</v>
      </c>
      <c r="N159" s="99">
        <f>'30-12'!$C$6</f>
        <v>2500</v>
      </c>
      <c r="O159" s="99">
        <f t="shared" si="32"/>
        <v>337.5</v>
      </c>
      <c r="P159" s="99">
        <f>'30-12'!$C$6+O159</f>
        <v>2837.5</v>
      </c>
      <c r="Q159" s="99"/>
      <c r="R159" s="99"/>
      <c r="S159" s="100"/>
      <c r="T159" s="101"/>
    </row>
    <row r="160" spans="2:20" x14ac:dyDescent="0.3">
      <c r="B160" s="98" t="s">
        <v>21</v>
      </c>
      <c r="C160" s="99">
        <v>20000</v>
      </c>
      <c r="D160" s="99">
        <f>'30-12'!$C$6</f>
        <v>2500</v>
      </c>
      <c r="E160" s="99">
        <f t="shared" si="31"/>
        <v>300</v>
      </c>
      <c r="F160" s="99">
        <f>'30-12'!$C$6+E160</f>
        <v>2800</v>
      </c>
      <c r="G160" s="99"/>
      <c r="H160" s="99"/>
      <c r="I160" s="100"/>
      <c r="J160" s="101"/>
      <c r="L160" s="98" t="s">
        <v>21</v>
      </c>
      <c r="M160" s="99">
        <v>20000</v>
      </c>
      <c r="N160" s="99">
        <f>'30-12'!$C$6</f>
        <v>2500</v>
      </c>
      <c r="O160" s="99">
        <f t="shared" si="32"/>
        <v>300</v>
      </c>
      <c r="P160" s="99">
        <f>'30-12'!$C$6+O160</f>
        <v>2800</v>
      </c>
      <c r="Q160" s="99"/>
      <c r="R160" s="99"/>
      <c r="S160" s="100"/>
      <c r="T160" s="101"/>
    </row>
    <row r="161" spans="2:20" x14ac:dyDescent="0.3">
      <c r="B161" s="98" t="s">
        <v>23</v>
      </c>
      <c r="C161" s="99">
        <v>17500</v>
      </c>
      <c r="D161" s="99">
        <f>'30-12'!$C$6</f>
        <v>2500</v>
      </c>
      <c r="E161" s="99">
        <f t="shared" si="31"/>
        <v>262.5</v>
      </c>
      <c r="F161" s="99">
        <f>'30-12'!$C$6+E161</f>
        <v>2762.5</v>
      </c>
      <c r="G161" s="99"/>
      <c r="H161" s="99"/>
      <c r="I161" s="100"/>
      <c r="J161" s="101"/>
      <c r="L161" s="98" t="s">
        <v>23</v>
      </c>
      <c r="M161" s="99">
        <v>17500</v>
      </c>
      <c r="N161" s="99">
        <f>'30-12'!$C$6</f>
        <v>2500</v>
      </c>
      <c r="O161" s="99">
        <f t="shared" si="32"/>
        <v>262.5</v>
      </c>
      <c r="P161" s="99">
        <f>'30-12'!$C$6+O161</f>
        <v>2762.5</v>
      </c>
      <c r="Q161" s="99"/>
      <c r="R161" s="99"/>
      <c r="S161" s="100"/>
      <c r="T161" s="101"/>
    </row>
    <row r="162" spans="2:20" x14ac:dyDescent="0.3">
      <c r="B162" s="98" t="s">
        <v>24</v>
      </c>
      <c r="C162" s="99">
        <v>15000</v>
      </c>
      <c r="D162" s="99">
        <f>'30-12'!$C$6</f>
        <v>2500</v>
      </c>
      <c r="E162" s="99">
        <f t="shared" si="31"/>
        <v>225</v>
      </c>
      <c r="F162" s="99">
        <f>'30-12'!$C$6+E162</f>
        <v>2725</v>
      </c>
      <c r="G162" s="99"/>
      <c r="H162" s="99"/>
      <c r="I162" s="100"/>
      <c r="J162" s="101"/>
      <c r="L162" s="98" t="s">
        <v>24</v>
      </c>
      <c r="M162" s="99">
        <v>15000</v>
      </c>
      <c r="N162" s="99">
        <f>'30-12'!$C$6</f>
        <v>2500</v>
      </c>
      <c r="O162" s="99">
        <f t="shared" si="32"/>
        <v>225</v>
      </c>
      <c r="P162" s="99">
        <f>'30-12'!$C$6+O162</f>
        <v>2725</v>
      </c>
      <c r="Q162" s="99"/>
      <c r="R162" s="99"/>
      <c r="S162" s="100"/>
      <c r="T162" s="101"/>
    </row>
    <row r="163" spans="2:20" x14ac:dyDescent="0.3">
      <c r="B163" s="98" t="s">
        <v>25</v>
      </c>
      <c r="C163" s="99">
        <v>12500</v>
      </c>
      <c r="D163" s="99">
        <f>'30-12'!$C$6</f>
        <v>2500</v>
      </c>
      <c r="E163" s="99">
        <f t="shared" si="31"/>
        <v>187.5</v>
      </c>
      <c r="F163" s="99">
        <f>'30-12'!$C$6+E163</f>
        <v>2687.5</v>
      </c>
      <c r="G163" s="99"/>
      <c r="H163" s="99"/>
      <c r="I163" s="100"/>
      <c r="J163" s="101"/>
      <c r="L163" s="98" t="s">
        <v>25</v>
      </c>
      <c r="M163" s="99">
        <v>12500</v>
      </c>
      <c r="N163" s="99">
        <f>'30-12'!$C$6</f>
        <v>2500</v>
      </c>
      <c r="O163" s="99">
        <f t="shared" si="32"/>
        <v>187.5</v>
      </c>
      <c r="P163" s="99">
        <f>'30-12'!$C$6+O163</f>
        <v>2687.5</v>
      </c>
      <c r="Q163" s="99"/>
      <c r="R163" s="99"/>
      <c r="S163" s="100"/>
      <c r="T163" s="101"/>
    </row>
    <row r="164" spans="2:20" x14ac:dyDescent="0.3">
      <c r="B164" s="98" t="s">
        <v>26</v>
      </c>
      <c r="C164" s="99">
        <v>10000</v>
      </c>
      <c r="D164" s="99">
        <f>'30-12'!$C$6</f>
        <v>2500</v>
      </c>
      <c r="E164" s="99">
        <f t="shared" si="31"/>
        <v>150</v>
      </c>
      <c r="F164" s="99">
        <f>'30-12'!$C$6+E164</f>
        <v>2650</v>
      </c>
      <c r="G164" s="99"/>
      <c r="H164" s="99"/>
      <c r="I164" s="100"/>
      <c r="J164" s="101"/>
      <c r="L164" s="98" t="s">
        <v>26</v>
      </c>
      <c r="M164" s="99">
        <v>10000</v>
      </c>
      <c r="N164" s="99">
        <f>'30-12'!$C$6</f>
        <v>2500</v>
      </c>
      <c r="O164" s="99">
        <f t="shared" si="32"/>
        <v>150</v>
      </c>
      <c r="P164" s="99">
        <f>'30-12'!$C$6+O164</f>
        <v>2650</v>
      </c>
      <c r="Q164" s="99"/>
      <c r="R164" s="99"/>
      <c r="S164" s="100"/>
      <c r="T164" s="101"/>
    </row>
    <row r="165" spans="2:20" x14ac:dyDescent="0.3">
      <c r="B165" s="98" t="s">
        <v>27</v>
      </c>
      <c r="C165" s="99">
        <v>7500</v>
      </c>
      <c r="D165" s="99">
        <f>'30-12'!$C$6</f>
        <v>2500</v>
      </c>
      <c r="E165" s="99">
        <f t="shared" si="31"/>
        <v>112.5</v>
      </c>
      <c r="F165" s="99">
        <f>'30-12'!$C$6+E165</f>
        <v>2612.5</v>
      </c>
      <c r="G165" s="99"/>
      <c r="H165" s="99"/>
      <c r="I165" s="100"/>
      <c r="J165" s="101"/>
      <c r="L165" s="98" t="s">
        <v>27</v>
      </c>
      <c r="M165" s="99">
        <v>7500</v>
      </c>
      <c r="N165" s="99">
        <f>'30-12'!$C$6</f>
        <v>2500</v>
      </c>
      <c r="O165" s="99">
        <f t="shared" si="32"/>
        <v>112.5</v>
      </c>
      <c r="P165" s="99">
        <f>'30-12'!$C$6+O165</f>
        <v>2612.5</v>
      </c>
      <c r="Q165" s="99"/>
      <c r="R165" s="99"/>
      <c r="S165" s="100"/>
      <c r="T165" s="101"/>
    </row>
    <row r="166" spans="2:20" x14ac:dyDescent="0.3">
      <c r="B166" s="98" t="s">
        <v>28</v>
      </c>
      <c r="C166" s="99">
        <v>5000</v>
      </c>
      <c r="D166" s="99">
        <f>'30-12'!$C$6</f>
        <v>2500</v>
      </c>
      <c r="E166" s="99">
        <f t="shared" si="31"/>
        <v>75</v>
      </c>
      <c r="F166" s="99">
        <f>'30-12'!$C$6+E166</f>
        <v>2575</v>
      </c>
      <c r="G166" s="99"/>
      <c r="H166" s="99"/>
      <c r="I166" s="100"/>
      <c r="J166" s="101"/>
      <c r="L166" s="98" t="s">
        <v>28</v>
      </c>
      <c r="M166" s="99">
        <v>5000</v>
      </c>
      <c r="N166" s="99">
        <f>'30-12'!$C$6</f>
        <v>2500</v>
      </c>
      <c r="O166" s="99">
        <f t="shared" si="32"/>
        <v>75</v>
      </c>
      <c r="P166" s="99">
        <f>'30-12'!$C$6+O166</f>
        <v>2575</v>
      </c>
      <c r="Q166" s="99"/>
      <c r="R166" s="99"/>
      <c r="S166" s="100"/>
      <c r="T166" s="101"/>
    </row>
    <row r="167" spans="2:20" x14ac:dyDescent="0.3">
      <c r="B167" s="98" t="s">
        <v>29</v>
      </c>
      <c r="C167" s="99">
        <v>2500</v>
      </c>
      <c r="D167" s="99">
        <f>'30-12'!$C$6</f>
        <v>2500</v>
      </c>
      <c r="E167" s="99">
        <f t="shared" si="31"/>
        <v>37.5</v>
      </c>
      <c r="F167" s="99">
        <f>'30-12'!$C$6+E167</f>
        <v>2537.5</v>
      </c>
      <c r="G167" s="99"/>
      <c r="H167" s="99"/>
      <c r="I167" s="100"/>
      <c r="J167" s="101" t="s">
        <v>42</v>
      </c>
      <c r="L167" s="98" t="s">
        <v>29</v>
      </c>
      <c r="M167" s="99">
        <v>2500</v>
      </c>
      <c r="N167" s="99">
        <f>'30-12'!$C$6</f>
        <v>2500</v>
      </c>
      <c r="O167" s="99">
        <f t="shared" si="32"/>
        <v>37.5</v>
      </c>
      <c r="P167" s="99">
        <f>'30-12'!$C$6+O167</f>
        <v>2537.5</v>
      </c>
      <c r="Q167" s="99"/>
      <c r="R167" s="99"/>
      <c r="S167" s="100"/>
      <c r="T167" s="101" t="s">
        <v>42</v>
      </c>
    </row>
    <row r="170" spans="2:20" x14ac:dyDescent="0.3">
      <c r="B170" s="77" t="s">
        <v>0</v>
      </c>
      <c r="C170" s="229" t="s">
        <v>171</v>
      </c>
      <c r="D170" s="229"/>
      <c r="E170" s="229"/>
      <c r="F170" s="79"/>
      <c r="G170" s="80"/>
      <c r="H170" s="231" t="s">
        <v>1</v>
      </c>
      <c r="I170" s="231"/>
      <c r="J170" s="82">
        <v>70000</v>
      </c>
      <c r="L170" s="77" t="s">
        <v>0</v>
      </c>
      <c r="M170" s="229" t="s">
        <v>171</v>
      </c>
      <c r="N170" s="229"/>
      <c r="O170" s="229"/>
      <c r="P170" s="79"/>
      <c r="Q170" s="80"/>
      <c r="R170" s="231" t="s">
        <v>1</v>
      </c>
      <c r="S170" s="231"/>
      <c r="T170" s="82">
        <v>70000</v>
      </c>
    </row>
    <row r="171" spans="2:20" x14ac:dyDescent="0.3">
      <c r="B171" s="77" t="s">
        <v>2</v>
      </c>
      <c r="C171" s="83"/>
      <c r="D171" s="79"/>
      <c r="E171" s="83"/>
      <c r="F171" s="81"/>
      <c r="G171" s="81"/>
      <c r="H171" s="84"/>
      <c r="I171" s="81" t="s">
        <v>3</v>
      </c>
      <c r="J171" s="85" t="s">
        <v>323</v>
      </c>
      <c r="L171" s="77" t="s">
        <v>2</v>
      </c>
      <c r="M171" s="83"/>
      <c r="N171" s="79"/>
      <c r="O171" s="83"/>
      <c r="P171" s="81"/>
      <c r="Q171" s="81"/>
      <c r="R171" s="84"/>
      <c r="S171" s="81" t="s">
        <v>3</v>
      </c>
      <c r="T171" s="85" t="s">
        <v>323</v>
      </c>
    </row>
    <row r="172" spans="2:20" x14ac:dyDescent="0.3">
      <c r="B172" s="77" t="s">
        <v>4</v>
      </c>
      <c r="C172" s="78"/>
      <c r="D172" s="79"/>
      <c r="E172" s="78"/>
      <c r="F172" s="231" t="s">
        <v>5</v>
      </c>
      <c r="G172" s="231"/>
      <c r="H172" s="231"/>
      <c r="I172" s="231"/>
      <c r="J172" s="86">
        <v>1.4999999999999999E-2</v>
      </c>
      <c r="L172" s="77" t="s">
        <v>4</v>
      </c>
      <c r="M172" s="78"/>
      <c r="N172" s="79"/>
      <c r="O172" s="78"/>
      <c r="P172" s="231" t="s">
        <v>5</v>
      </c>
      <c r="Q172" s="231"/>
      <c r="R172" s="231"/>
      <c r="S172" s="231"/>
      <c r="T172" s="86">
        <v>1.4999999999999999E-2</v>
      </c>
    </row>
    <row r="173" spans="2:20" ht="15" thickBot="1" x14ac:dyDescent="0.35">
      <c r="B173" s="77" t="s">
        <v>6</v>
      </c>
      <c r="C173" s="232"/>
      <c r="D173" s="232"/>
      <c r="E173" s="233" t="s">
        <v>7</v>
      </c>
      <c r="F173" s="233"/>
      <c r="G173" s="233"/>
      <c r="H173" s="233"/>
      <c r="I173" s="233"/>
      <c r="J173" s="78">
        <v>12</v>
      </c>
      <c r="L173" s="77" t="s">
        <v>6</v>
      </c>
      <c r="M173" s="232"/>
      <c r="N173" s="232"/>
      <c r="O173" s="233" t="s">
        <v>7</v>
      </c>
      <c r="P173" s="233"/>
      <c r="Q173" s="233"/>
      <c r="R173" s="233"/>
      <c r="S173" s="233"/>
      <c r="T173" s="78">
        <v>12</v>
      </c>
    </row>
    <row r="174" spans="2:20" ht="41.4" thickBot="1" x14ac:dyDescent="0.35">
      <c r="B174" s="89" t="s">
        <v>8</v>
      </c>
      <c r="C174" s="89" t="s">
        <v>9</v>
      </c>
      <c r="D174" s="89" t="s">
        <v>10</v>
      </c>
      <c r="E174" s="90" t="s">
        <v>11</v>
      </c>
      <c r="F174" s="91" t="s">
        <v>12</v>
      </c>
      <c r="G174" s="92" t="s">
        <v>13</v>
      </c>
      <c r="H174" s="92" t="s">
        <v>14</v>
      </c>
      <c r="I174" s="92" t="s">
        <v>15</v>
      </c>
      <c r="J174" s="93" t="s">
        <v>16</v>
      </c>
      <c r="L174" s="89" t="s">
        <v>8</v>
      </c>
      <c r="M174" s="89" t="s">
        <v>9</v>
      </c>
      <c r="N174" s="89" t="s">
        <v>10</v>
      </c>
      <c r="O174" s="90" t="s">
        <v>11</v>
      </c>
      <c r="P174" s="91" t="s">
        <v>12</v>
      </c>
      <c r="Q174" s="92" t="s">
        <v>13</v>
      </c>
      <c r="R174" s="92" t="s">
        <v>14</v>
      </c>
      <c r="S174" s="92" t="s">
        <v>15</v>
      </c>
      <c r="T174" s="93" t="s">
        <v>16</v>
      </c>
    </row>
    <row r="175" spans="2:20" x14ac:dyDescent="0.3">
      <c r="B175" s="94" t="s">
        <v>17</v>
      </c>
      <c r="C175" s="95">
        <f>J170</f>
        <v>70000</v>
      </c>
      <c r="D175" s="95">
        <f>J170/J173</f>
        <v>5833.333333333333</v>
      </c>
      <c r="E175" s="95">
        <f t="shared" ref="E175:E186" si="33">(C175*0.015)</f>
        <v>1050</v>
      </c>
      <c r="F175" s="95">
        <f t="shared" ref="F175:F186" si="34">SUM(D175:E175)</f>
        <v>6883.333333333333</v>
      </c>
      <c r="G175" s="95"/>
      <c r="H175" s="95"/>
      <c r="I175" s="96"/>
      <c r="J175" s="97"/>
      <c r="L175" s="94" t="s">
        <v>17</v>
      </c>
      <c r="M175" s="95">
        <f>T170</f>
        <v>70000</v>
      </c>
      <c r="N175" s="95">
        <f>T170/T173</f>
        <v>5833.333333333333</v>
      </c>
      <c r="O175" s="95">
        <f t="shared" ref="O175:O186" si="35">(M175*0.015)</f>
        <v>1050</v>
      </c>
      <c r="P175" s="95">
        <f t="shared" ref="P175:P186" si="36">SUM(N175:O175)</f>
        <v>6883.333333333333</v>
      </c>
      <c r="Q175" s="95"/>
      <c r="R175" s="95"/>
      <c r="S175" s="96"/>
      <c r="T175" s="97"/>
    </row>
    <row r="176" spans="2:20" ht="15" thickBot="1" x14ac:dyDescent="0.35">
      <c r="B176" s="98" t="s">
        <v>18</v>
      </c>
      <c r="C176" s="140">
        <v>64163</v>
      </c>
      <c r="D176" s="99">
        <v>5833</v>
      </c>
      <c r="E176" s="99">
        <f t="shared" si="33"/>
        <v>962.44499999999994</v>
      </c>
      <c r="F176" s="99">
        <f t="shared" si="34"/>
        <v>6795.4449999999997</v>
      </c>
      <c r="G176" s="99"/>
      <c r="H176" s="99"/>
      <c r="I176" s="100"/>
      <c r="J176" s="101"/>
      <c r="L176" s="98" t="s">
        <v>18</v>
      </c>
      <c r="M176" s="140">
        <v>64163</v>
      </c>
      <c r="N176" s="99">
        <v>5833</v>
      </c>
      <c r="O176" s="99">
        <f t="shared" si="35"/>
        <v>962.44499999999994</v>
      </c>
      <c r="P176" s="99">
        <f t="shared" si="36"/>
        <v>6795.4449999999997</v>
      </c>
      <c r="Q176" s="99"/>
      <c r="R176" s="99"/>
      <c r="S176" s="100"/>
      <c r="T176" s="101"/>
    </row>
    <row r="177" spans="2:20" x14ac:dyDescent="0.3">
      <c r="B177" s="98" t="s">
        <v>19</v>
      </c>
      <c r="C177" s="140">
        <v>58330</v>
      </c>
      <c r="D177" s="95">
        <v>5833</v>
      </c>
      <c r="E177" s="99">
        <f t="shared" si="33"/>
        <v>874.94999999999993</v>
      </c>
      <c r="F177" s="99">
        <f t="shared" si="34"/>
        <v>6707.95</v>
      </c>
      <c r="G177" s="99"/>
      <c r="H177" s="99"/>
      <c r="I177" s="100"/>
      <c r="J177" s="101"/>
      <c r="L177" s="98" t="s">
        <v>19</v>
      </c>
      <c r="M177" s="140">
        <v>58330</v>
      </c>
      <c r="N177" s="95">
        <v>5833</v>
      </c>
      <c r="O177" s="99">
        <f t="shared" si="35"/>
        <v>874.94999999999993</v>
      </c>
      <c r="P177" s="99">
        <f t="shared" si="36"/>
        <v>6707.95</v>
      </c>
      <c r="Q177" s="99"/>
      <c r="R177" s="99"/>
      <c r="S177" s="100"/>
      <c r="T177" s="101"/>
    </row>
    <row r="178" spans="2:20" x14ac:dyDescent="0.3">
      <c r="B178" s="98" t="s">
        <v>20</v>
      </c>
      <c r="C178" s="140">
        <v>52497</v>
      </c>
      <c r="D178" s="99">
        <v>5833</v>
      </c>
      <c r="E178" s="99">
        <f t="shared" si="33"/>
        <v>787.45499999999993</v>
      </c>
      <c r="F178" s="99">
        <f t="shared" si="34"/>
        <v>6620.4549999999999</v>
      </c>
      <c r="G178" s="99"/>
      <c r="H178" s="99"/>
      <c r="I178" s="100"/>
      <c r="J178" s="101"/>
      <c r="L178" s="98" t="s">
        <v>20</v>
      </c>
      <c r="M178" s="140">
        <v>52497</v>
      </c>
      <c r="N178" s="99">
        <v>5833</v>
      </c>
      <c r="O178" s="99">
        <f t="shared" si="35"/>
        <v>787.45499999999993</v>
      </c>
      <c r="P178" s="99">
        <f t="shared" si="36"/>
        <v>6620.4549999999999</v>
      </c>
      <c r="Q178" s="99"/>
      <c r="R178" s="99"/>
      <c r="S178" s="100"/>
      <c r="T178" s="101"/>
    </row>
    <row r="179" spans="2:20" x14ac:dyDescent="0.3">
      <c r="B179" s="98" t="s">
        <v>21</v>
      </c>
      <c r="C179" s="141">
        <v>46664</v>
      </c>
      <c r="D179" s="99">
        <v>5833</v>
      </c>
      <c r="E179" s="99">
        <f t="shared" si="33"/>
        <v>699.95999999999992</v>
      </c>
      <c r="F179" s="99">
        <f t="shared" si="34"/>
        <v>6532.96</v>
      </c>
      <c r="G179" s="99"/>
      <c r="H179" s="99"/>
      <c r="I179" s="100"/>
      <c r="J179" s="101"/>
      <c r="L179" s="98" t="s">
        <v>21</v>
      </c>
      <c r="M179" s="141">
        <v>46664</v>
      </c>
      <c r="N179" s="99">
        <v>5833</v>
      </c>
      <c r="O179" s="99">
        <f t="shared" si="35"/>
        <v>699.95999999999992</v>
      </c>
      <c r="P179" s="99">
        <f t="shared" si="36"/>
        <v>6532.96</v>
      </c>
      <c r="Q179" s="99"/>
      <c r="R179" s="99"/>
      <c r="S179" s="100"/>
      <c r="T179" s="101"/>
    </row>
    <row r="180" spans="2:20" x14ac:dyDescent="0.3">
      <c r="B180" s="98" t="s">
        <v>23</v>
      </c>
      <c r="C180" s="140">
        <v>40831</v>
      </c>
      <c r="D180" s="99">
        <v>5833</v>
      </c>
      <c r="E180" s="99">
        <f t="shared" si="33"/>
        <v>612.46500000000003</v>
      </c>
      <c r="F180" s="99">
        <f t="shared" si="34"/>
        <v>6445.4650000000001</v>
      </c>
      <c r="G180" s="99"/>
      <c r="H180" s="99"/>
      <c r="I180" s="100"/>
      <c r="J180" s="101"/>
      <c r="L180" s="98" t="s">
        <v>23</v>
      </c>
      <c r="M180" s="140">
        <v>40831</v>
      </c>
      <c r="N180" s="99">
        <v>5833</v>
      </c>
      <c r="O180" s="99">
        <f t="shared" si="35"/>
        <v>612.46500000000003</v>
      </c>
      <c r="P180" s="99">
        <f t="shared" si="36"/>
        <v>6445.4650000000001</v>
      </c>
      <c r="Q180" s="99"/>
      <c r="R180" s="99"/>
      <c r="S180" s="100"/>
      <c r="T180" s="101"/>
    </row>
    <row r="181" spans="2:20" x14ac:dyDescent="0.3">
      <c r="B181" s="98" t="s">
        <v>24</v>
      </c>
      <c r="C181" s="140">
        <v>34998</v>
      </c>
      <c r="D181" s="99">
        <v>5833</v>
      </c>
      <c r="E181" s="99">
        <f t="shared" si="33"/>
        <v>524.97</v>
      </c>
      <c r="F181" s="99">
        <f t="shared" si="34"/>
        <v>6357.97</v>
      </c>
      <c r="G181" s="99"/>
      <c r="H181" s="99"/>
      <c r="I181" s="100"/>
      <c r="J181" s="101"/>
      <c r="L181" s="98" t="s">
        <v>24</v>
      </c>
      <c r="M181" s="140">
        <v>34998</v>
      </c>
      <c r="N181" s="99">
        <v>5833</v>
      </c>
      <c r="O181" s="99">
        <f t="shared" si="35"/>
        <v>524.97</v>
      </c>
      <c r="P181" s="99">
        <f t="shared" si="36"/>
        <v>6357.97</v>
      </c>
      <c r="Q181" s="99"/>
      <c r="R181" s="99"/>
      <c r="S181" s="100"/>
      <c r="T181" s="101"/>
    </row>
    <row r="182" spans="2:20" ht="15" thickBot="1" x14ac:dyDescent="0.35">
      <c r="B182" s="98" t="s">
        <v>25</v>
      </c>
      <c r="C182" s="140">
        <v>29165</v>
      </c>
      <c r="D182" s="99">
        <v>5833</v>
      </c>
      <c r="E182" s="99">
        <f t="shared" si="33"/>
        <v>437.47499999999997</v>
      </c>
      <c r="F182" s="99">
        <f t="shared" si="34"/>
        <v>6270.4750000000004</v>
      </c>
      <c r="G182" s="99"/>
      <c r="H182" s="99"/>
      <c r="I182" s="100"/>
      <c r="J182" s="101"/>
      <c r="L182" s="98" t="s">
        <v>25</v>
      </c>
      <c r="M182" s="140">
        <v>29165</v>
      </c>
      <c r="N182" s="99">
        <v>5833</v>
      </c>
      <c r="O182" s="99">
        <f t="shared" si="35"/>
        <v>437.47499999999997</v>
      </c>
      <c r="P182" s="99">
        <f t="shared" si="36"/>
        <v>6270.4750000000004</v>
      </c>
      <c r="Q182" s="99"/>
      <c r="R182" s="99"/>
      <c r="S182" s="100"/>
      <c r="T182" s="101"/>
    </row>
    <row r="183" spans="2:20" x14ac:dyDescent="0.3">
      <c r="B183" s="98" t="s">
        <v>26</v>
      </c>
      <c r="C183" s="140">
        <v>23332</v>
      </c>
      <c r="D183" s="95">
        <v>5833</v>
      </c>
      <c r="E183" s="99">
        <f t="shared" si="33"/>
        <v>349.97999999999996</v>
      </c>
      <c r="F183" s="99">
        <f t="shared" si="34"/>
        <v>6182.98</v>
      </c>
      <c r="G183" s="99"/>
      <c r="H183" s="99"/>
      <c r="I183" s="100"/>
      <c r="J183" s="101"/>
      <c r="L183" s="98" t="s">
        <v>26</v>
      </c>
      <c r="M183" s="140">
        <v>23332</v>
      </c>
      <c r="N183" s="95">
        <v>5833</v>
      </c>
      <c r="O183" s="99">
        <f t="shared" si="35"/>
        <v>349.97999999999996</v>
      </c>
      <c r="P183" s="99">
        <f t="shared" si="36"/>
        <v>6182.98</v>
      </c>
      <c r="Q183" s="99"/>
      <c r="R183" s="99"/>
      <c r="S183" s="100"/>
      <c r="T183" s="101"/>
    </row>
    <row r="184" spans="2:20" x14ac:dyDescent="0.3">
      <c r="B184" s="98" t="s">
        <v>27</v>
      </c>
      <c r="C184" s="140">
        <v>17499</v>
      </c>
      <c r="D184" s="99">
        <v>5833</v>
      </c>
      <c r="E184" s="99">
        <f t="shared" si="33"/>
        <v>262.48500000000001</v>
      </c>
      <c r="F184" s="99">
        <f t="shared" si="34"/>
        <v>6095.4849999999997</v>
      </c>
      <c r="G184" s="99"/>
      <c r="H184" s="99"/>
      <c r="I184" s="100"/>
      <c r="J184" s="101"/>
      <c r="L184" s="98" t="s">
        <v>27</v>
      </c>
      <c r="M184" s="140">
        <v>17499</v>
      </c>
      <c r="N184" s="99">
        <v>5833</v>
      </c>
      <c r="O184" s="99">
        <f t="shared" si="35"/>
        <v>262.48500000000001</v>
      </c>
      <c r="P184" s="99">
        <f t="shared" si="36"/>
        <v>6095.4849999999997</v>
      </c>
      <c r="Q184" s="99"/>
      <c r="R184" s="99"/>
      <c r="S184" s="100"/>
      <c r="T184" s="101"/>
    </row>
    <row r="185" spans="2:20" x14ac:dyDescent="0.3">
      <c r="B185" s="98" t="s">
        <v>28</v>
      </c>
      <c r="C185" s="140">
        <v>11666</v>
      </c>
      <c r="D185" s="99">
        <v>5833</v>
      </c>
      <c r="E185" s="99">
        <f t="shared" si="33"/>
        <v>174.98999999999998</v>
      </c>
      <c r="F185" s="99">
        <f t="shared" si="34"/>
        <v>6007.99</v>
      </c>
      <c r="G185" s="99"/>
      <c r="H185" s="99"/>
      <c r="I185" s="100"/>
      <c r="J185" s="101"/>
      <c r="L185" s="98" t="s">
        <v>28</v>
      </c>
      <c r="M185" s="140">
        <v>11666</v>
      </c>
      <c r="N185" s="99">
        <v>5833</v>
      </c>
      <c r="O185" s="99">
        <f t="shared" si="35"/>
        <v>174.98999999999998</v>
      </c>
      <c r="P185" s="99">
        <f t="shared" si="36"/>
        <v>6007.99</v>
      </c>
      <c r="Q185" s="99"/>
      <c r="R185" s="99"/>
      <c r="S185" s="100"/>
      <c r="T185" s="101"/>
    </row>
    <row r="186" spans="2:20" x14ac:dyDescent="0.3">
      <c r="B186" s="98" t="s">
        <v>29</v>
      </c>
      <c r="C186" s="140">
        <v>5833</v>
      </c>
      <c r="D186" s="99">
        <v>5833</v>
      </c>
      <c r="E186" s="99">
        <f t="shared" si="33"/>
        <v>87.49499999999999</v>
      </c>
      <c r="F186" s="99">
        <f t="shared" si="34"/>
        <v>5920.4949999999999</v>
      </c>
      <c r="G186" s="99"/>
      <c r="H186" s="99"/>
      <c r="I186" s="100"/>
      <c r="J186" s="101" t="s">
        <v>42</v>
      </c>
      <c r="L186" s="98" t="s">
        <v>29</v>
      </c>
      <c r="M186" s="140">
        <v>5833</v>
      </c>
      <c r="N186" s="99">
        <v>5833</v>
      </c>
      <c r="O186" s="99">
        <f t="shared" si="35"/>
        <v>87.49499999999999</v>
      </c>
      <c r="P186" s="99">
        <f t="shared" si="36"/>
        <v>5920.4949999999999</v>
      </c>
      <c r="Q186" s="99"/>
      <c r="R186" s="99"/>
      <c r="S186" s="100"/>
      <c r="T186" s="101" t="s">
        <v>42</v>
      </c>
    </row>
    <row r="187" spans="2:20" x14ac:dyDescent="0.3">
      <c r="D187" s="38"/>
      <c r="E187" s="38">
        <f>SUM(E175:E186)</f>
        <v>6824.6699999999992</v>
      </c>
      <c r="F187" s="38"/>
    </row>
    <row r="189" spans="2:20" x14ac:dyDescent="0.3">
      <c r="B189" s="77" t="s">
        <v>0</v>
      </c>
      <c r="C189" s="229" t="s">
        <v>123</v>
      </c>
      <c r="D189" s="229"/>
      <c r="E189" s="229"/>
      <c r="F189" s="79"/>
      <c r="G189" s="80"/>
      <c r="H189" s="231" t="s">
        <v>1</v>
      </c>
      <c r="I189" s="231"/>
      <c r="J189" s="82">
        <v>80000</v>
      </c>
      <c r="L189" s="77" t="s">
        <v>0</v>
      </c>
      <c r="M189" s="229" t="s">
        <v>123</v>
      </c>
      <c r="N189" s="229"/>
      <c r="O189" s="229"/>
      <c r="P189" s="79"/>
      <c r="Q189" s="80"/>
      <c r="R189" s="231" t="s">
        <v>1</v>
      </c>
      <c r="S189" s="231"/>
      <c r="T189" s="82">
        <v>80000</v>
      </c>
    </row>
    <row r="190" spans="2:20" x14ac:dyDescent="0.3">
      <c r="B190" s="77" t="s">
        <v>2</v>
      </c>
      <c r="C190" s="83"/>
      <c r="D190" s="79"/>
      <c r="E190" s="83"/>
      <c r="F190" s="81"/>
      <c r="G190" s="81"/>
      <c r="H190" s="84"/>
      <c r="I190" s="81" t="s">
        <v>3</v>
      </c>
      <c r="J190" s="85" t="s">
        <v>172</v>
      </c>
      <c r="L190" s="77" t="s">
        <v>2</v>
      </c>
      <c r="M190" s="83"/>
      <c r="N190" s="79"/>
      <c r="O190" s="83"/>
      <c r="P190" s="81"/>
      <c r="Q190" s="81"/>
      <c r="R190" s="84"/>
      <c r="S190" s="81" t="s">
        <v>3</v>
      </c>
      <c r="T190" s="85" t="s">
        <v>172</v>
      </c>
    </row>
    <row r="191" spans="2:20" x14ac:dyDescent="0.3">
      <c r="B191" s="77" t="s">
        <v>4</v>
      </c>
      <c r="C191" s="78"/>
      <c r="D191" s="79"/>
      <c r="E191" s="78"/>
      <c r="F191" s="231" t="s">
        <v>5</v>
      </c>
      <c r="G191" s="231"/>
      <c r="H191" s="231"/>
      <c r="I191" s="231"/>
      <c r="J191" s="86">
        <v>1.4999999999999999E-2</v>
      </c>
      <c r="L191" s="77" t="s">
        <v>4</v>
      </c>
      <c r="M191" s="78"/>
      <c r="N191" s="79"/>
      <c r="O191" s="78"/>
      <c r="P191" s="231" t="s">
        <v>5</v>
      </c>
      <c r="Q191" s="231"/>
      <c r="R191" s="231"/>
      <c r="S191" s="231"/>
      <c r="T191" s="86">
        <v>1.4999999999999999E-2</v>
      </c>
    </row>
    <row r="192" spans="2:20" ht="15" thickBot="1" x14ac:dyDescent="0.35">
      <c r="B192" s="77" t="s">
        <v>6</v>
      </c>
      <c r="C192" s="232"/>
      <c r="D192" s="232"/>
      <c r="E192" s="233" t="s">
        <v>7</v>
      </c>
      <c r="F192" s="233"/>
      <c r="G192" s="233"/>
      <c r="H192" s="233"/>
      <c r="I192" s="233"/>
      <c r="J192" s="78">
        <v>12</v>
      </c>
      <c r="L192" s="77" t="s">
        <v>6</v>
      </c>
      <c r="M192" s="232"/>
      <c r="N192" s="232"/>
      <c r="O192" s="233" t="s">
        <v>7</v>
      </c>
      <c r="P192" s="233"/>
      <c r="Q192" s="233"/>
      <c r="R192" s="233"/>
      <c r="S192" s="233"/>
      <c r="T192" s="78">
        <v>12</v>
      </c>
    </row>
    <row r="193" spans="2:20" ht="41.4" thickBot="1" x14ac:dyDescent="0.35">
      <c r="B193" s="89" t="s">
        <v>8</v>
      </c>
      <c r="C193" s="89" t="s">
        <v>9</v>
      </c>
      <c r="D193" s="89" t="s">
        <v>10</v>
      </c>
      <c r="E193" s="90" t="s">
        <v>11</v>
      </c>
      <c r="F193" s="91" t="s">
        <v>12</v>
      </c>
      <c r="G193" s="92" t="s">
        <v>13</v>
      </c>
      <c r="H193" s="92" t="s">
        <v>14</v>
      </c>
      <c r="I193" s="92" t="s">
        <v>15</v>
      </c>
      <c r="J193" s="93" t="s">
        <v>16</v>
      </c>
      <c r="L193" s="89" t="s">
        <v>8</v>
      </c>
      <c r="M193" s="89" t="s">
        <v>9</v>
      </c>
      <c r="N193" s="89" t="s">
        <v>10</v>
      </c>
      <c r="O193" s="90" t="s">
        <v>11</v>
      </c>
      <c r="P193" s="91" t="s">
        <v>12</v>
      </c>
      <c r="Q193" s="92" t="s">
        <v>13</v>
      </c>
      <c r="R193" s="92" t="s">
        <v>14</v>
      </c>
      <c r="S193" s="92" t="s">
        <v>15</v>
      </c>
      <c r="T193" s="93" t="s">
        <v>16</v>
      </c>
    </row>
    <row r="194" spans="2:20" x14ac:dyDescent="0.3">
      <c r="B194" s="94" t="s">
        <v>17</v>
      </c>
      <c r="C194" s="95">
        <f>J189</f>
        <v>80000</v>
      </c>
      <c r="D194" s="95">
        <f>J189/J192</f>
        <v>6666.666666666667</v>
      </c>
      <c r="E194" s="95">
        <f>(C194*0.015)</f>
        <v>1200</v>
      </c>
      <c r="F194" s="95">
        <f t="shared" ref="F194:F205" si="37">SUM(D194:E194)</f>
        <v>7866.666666666667</v>
      </c>
      <c r="G194" s="95"/>
      <c r="H194" s="95"/>
      <c r="I194" s="96"/>
      <c r="J194" s="97"/>
      <c r="L194" s="94" t="s">
        <v>17</v>
      </c>
      <c r="M194" s="95">
        <f>T189</f>
        <v>80000</v>
      </c>
      <c r="N194" s="95">
        <f>T189/T192</f>
        <v>6666.666666666667</v>
      </c>
      <c r="O194" s="95">
        <f>(M194*0.015)</f>
        <v>1200</v>
      </c>
      <c r="P194" s="95">
        <f t="shared" ref="P194:P205" si="38">SUM(N194:O194)</f>
        <v>7866.666666666667</v>
      </c>
      <c r="Q194" s="95"/>
      <c r="R194" s="95"/>
      <c r="S194" s="96"/>
      <c r="T194" s="97"/>
    </row>
    <row r="195" spans="2:20" ht="15" thickBot="1" x14ac:dyDescent="0.35">
      <c r="B195" s="98" t="s">
        <v>18</v>
      </c>
      <c r="C195" s="121">
        <v>73337</v>
      </c>
      <c r="D195" s="99">
        <v>6667</v>
      </c>
      <c r="E195" s="99">
        <f t="shared" ref="E195:E205" si="39">(C195*0.015)</f>
        <v>1100.0550000000001</v>
      </c>
      <c r="F195" s="99">
        <f t="shared" si="37"/>
        <v>7767.0550000000003</v>
      </c>
      <c r="G195" s="99"/>
      <c r="H195" s="99"/>
      <c r="I195" s="100"/>
      <c r="J195" s="101"/>
      <c r="L195" s="98" t="s">
        <v>18</v>
      </c>
      <c r="M195" s="121">
        <v>73337</v>
      </c>
      <c r="N195" s="99">
        <v>6667</v>
      </c>
      <c r="O195" s="99">
        <f t="shared" ref="O195:O205" si="40">(M195*0.015)</f>
        <v>1100.0550000000001</v>
      </c>
      <c r="P195" s="99">
        <f t="shared" si="38"/>
        <v>7767.0550000000003</v>
      </c>
      <c r="Q195" s="99"/>
      <c r="R195" s="99"/>
      <c r="S195" s="100"/>
      <c r="T195" s="101"/>
    </row>
    <row r="196" spans="2:20" x14ac:dyDescent="0.3">
      <c r="B196" s="98" t="s">
        <v>19</v>
      </c>
      <c r="C196" s="121">
        <v>66670</v>
      </c>
      <c r="D196" s="95">
        <v>6667</v>
      </c>
      <c r="E196" s="99">
        <f t="shared" si="39"/>
        <v>1000.05</v>
      </c>
      <c r="F196" s="99">
        <f t="shared" si="37"/>
        <v>7667.05</v>
      </c>
      <c r="G196" s="99"/>
      <c r="H196" s="99"/>
      <c r="I196" s="100"/>
      <c r="J196" s="101"/>
      <c r="L196" s="98" t="s">
        <v>19</v>
      </c>
      <c r="M196" s="121">
        <v>66670</v>
      </c>
      <c r="N196" s="95">
        <v>6667</v>
      </c>
      <c r="O196" s="99">
        <f t="shared" si="40"/>
        <v>1000.05</v>
      </c>
      <c r="P196" s="99">
        <f t="shared" si="38"/>
        <v>7667.05</v>
      </c>
      <c r="Q196" s="99"/>
      <c r="R196" s="99"/>
      <c r="S196" s="100"/>
      <c r="T196" s="101"/>
    </row>
    <row r="197" spans="2:20" x14ac:dyDescent="0.3">
      <c r="B197" s="98" t="s">
        <v>20</v>
      </c>
      <c r="C197" s="121">
        <v>60003</v>
      </c>
      <c r="D197" s="99">
        <v>6667</v>
      </c>
      <c r="E197" s="99">
        <f t="shared" si="39"/>
        <v>900.04499999999996</v>
      </c>
      <c r="F197" s="99">
        <f t="shared" si="37"/>
        <v>7567.0450000000001</v>
      </c>
      <c r="G197" s="99"/>
      <c r="H197" s="99"/>
      <c r="I197" s="100"/>
      <c r="J197" s="101"/>
      <c r="L197" s="98" t="s">
        <v>20</v>
      </c>
      <c r="M197" s="121">
        <v>60003</v>
      </c>
      <c r="N197" s="99">
        <v>6667</v>
      </c>
      <c r="O197" s="99">
        <f t="shared" si="40"/>
        <v>900.04499999999996</v>
      </c>
      <c r="P197" s="99">
        <f t="shared" si="38"/>
        <v>7567.0450000000001</v>
      </c>
      <c r="Q197" s="99"/>
      <c r="R197" s="99"/>
      <c r="S197" s="100"/>
      <c r="T197" s="101"/>
    </row>
    <row r="198" spans="2:20" x14ac:dyDescent="0.3">
      <c r="B198" s="98" t="s">
        <v>21</v>
      </c>
      <c r="C198" s="122">
        <v>53336</v>
      </c>
      <c r="D198" s="99">
        <v>6667</v>
      </c>
      <c r="E198" s="99">
        <f t="shared" si="39"/>
        <v>800.04</v>
      </c>
      <c r="F198" s="99">
        <f t="shared" si="37"/>
        <v>7467.04</v>
      </c>
      <c r="G198" s="99"/>
      <c r="H198" s="99"/>
      <c r="I198" s="100"/>
      <c r="J198" s="101"/>
      <c r="L198" s="98" t="s">
        <v>21</v>
      </c>
      <c r="M198" s="122">
        <v>53336</v>
      </c>
      <c r="N198" s="99">
        <v>6667</v>
      </c>
      <c r="O198" s="99">
        <f t="shared" si="40"/>
        <v>800.04</v>
      </c>
      <c r="P198" s="99">
        <f t="shared" si="38"/>
        <v>7467.04</v>
      </c>
      <c r="Q198" s="99"/>
      <c r="R198" s="99"/>
      <c r="S198" s="100"/>
      <c r="T198" s="101"/>
    </row>
    <row r="199" spans="2:20" x14ac:dyDescent="0.3">
      <c r="B199" s="98" t="s">
        <v>23</v>
      </c>
      <c r="C199" s="121">
        <v>46669</v>
      </c>
      <c r="D199" s="99">
        <v>6667</v>
      </c>
      <c r="E199" s="99">
        <f t="shared" si="39"/>
        <v>700.03499999999997</v>
      </c>
      <c r="F199" s="99">
        <f t="shared" si="37"/>
        <v>7367.0349999999999</v>
      </c>
      <c r="G199" s="99"/>
      <c r="H199" s="99"/>
      <c r="I199" s="100"/>
      <c r="J199" s="101"/>
      <c r="L199" s="98" t="s">
        <v>23</v>
      </c>
      <c r="M199" s="121">
        <v>46669</v>
      </c>
      <c r="N199" s="99">
        <v>6667</v>
      </c>
      <c r="O199" s="99">
        <f t="shared" si="40"/>
        <v>700.03499999999997</v>
      </c>
      <c r="P199" s="99">
        <f t="shared" si="38"/>
        <v>7367.0349999999999</v>
      </c>
      <c r="Q199" s="99"/>
      <c r="R199" s="99"/>
      <c r="S199" s="100"/>
      <c r="T199" s="101"/>
    </row>
    <row r="200" spans="2:20" x14ac:dyDescent="0.3">
      <c r="B200" s="98" t="s">
        <v>24</v>
      </c>
      <c r="C200" s="121">
        <v>40002</v>
      </c>
      <c r="D200" s="99">
        <v>6667</v>
      </c>
      <c r="E200" s="99">
        <f t="shared" si="39"/>
        <v>600.03</v>
      </c>
      <c r="F200" s="99">
        <f t="shared" si="37"/>
        <v>7267.03</v>
      </c>
      <c r="G200" s="99"/>
      <c r="H200" s="99"/>
      <c r="I200" s="100"/>
      <c r="J200" s="101"/>
      <c r="L200" s="98" t="s">
        <v>24</v>
      </c>
      <c r="M200" s="121">
        <v>40002</v>
      </c>
      <c r="N200" s="99">
        <v>6667</v>
      </c>
      <c r="O200" s="99">
        <f t="shared" si="40"/>
        <v>600.03</v>
      </c>
      <c r="P200" s="99">
        <f t="shared" si="38"/>
        <v>7267.03</v>
      </c>
      <c r="Q200" s="99"/>
      <c r="R200" s="99"/>
      <c r="S200" s="100"/>
      <c r="T200" s="101"/>
    </row>
    <row r="201" spans="2:20" ht="15" thickBot="1" x14ac:dyDescent="0.35">
      <c r="B201" s="98" t="s">
        <v>25</v>
      </c>
      <c r="C201" s="121">
        <v>33335</v>
      </c>
      <c r="D201" s="99">
        <v>6667</v>
      </c>
      <c r="E201" s="99">
        <f t="shared" si="39"/>
        <v>500.02499999999998</v>
      </c>
      <c r="F201" s="99">
        <f t="shared" si="37"/>
        <v>7167.0249999999996</v>
      </c>
      <c r="G201" s="99"/>
      <c r="H201" s="99"/>
      <c r="I201" s="100"/>
      <c r="J201" s="101"/>
      <c r="L201" s="98" t="s">
        <v>25</v>
      </c>
      <c r="M201" s="121">
        <v>33335</v>
      </c>
      <c r="N201" s="99">
        <v>6667</v>
      </c>
      <c r="O201" s="99">
        <f t="shared" si="40"/>
        <v>500.02499999999998</v>
      </c>
      <c r="P201" s="99">
        <f t="shared" si="38"/>
        <v>7167.0249999999996</v>
      </c>
      <c r="Q201" s="99"/>
      <c r="R201" s="99"/>
      <c r="S201" s="100"/>
      <c r="T201" s="101"/>
    </row>
    <row r="202" spans="2:20" x14ac:dyDescent="0.3">
      <c r="B202" s="98" t="s">
        <v>26</v>
      </c>
      <c r="C202" s="121">
        <v>26668</v>
      </c>
      <c r="D202" s="95">
        <v>6667</v>
      </c>
      <c r="E202" s="99">
        <f t="shared" si="39"/>
        <v>400.02</v>
      </c>
      <c r="F202" s="99">
        <f t="shared" si="37"/>
        <v>7067.02</v>
      </c>
      <c r="G202" s="99"/>
      <c r="H202" s="99"/>
      <c r="I202" s="100"/>
      <c r="J202" s="101"/>
      <c r="L202" s="98" t="s">
        <v>26</v>
      </c>
      <c r="M202" s="121">
        <v>26668</v>
      </c>
      <c r="N202" s="95">
        <v>6667</v>
      </c>
      <c r="O202" s="99">
        <f t="shared" si="40"/>
        <v>400.02</v>
      </c>
      <c r="P202" s="99">
        <f t="shared" si="38"/>
        <v>7067.02</v>
      </c>
      <c r="Q202" s="99"/>
      <c r="R202" s="99"/>
      <c r="S202" s="100"/>
      <c r="T202" s="101"/>
    </row>
    <row r="203" spans="2:20" x14ac:dyDescent="0.3">
      <c r="B203" s="98" t="s">
        <v>27</v>
      </c>
      <c r="C203" s="121">
        <v>20001</v>
      </c>
      <c r="D203" s="99">
        <v>6667</v>
      </c>
      <c r="E203" s="99">
        <f t="shared" si="39"/>
        <v>300.01499999999999</v>
      </c>
      <c r="F203" s="99">
        <f t="shared" si="37"/>
        <v>6967.0150000000003</v>
      </c>
      <c r="G203" s="99"/>
      <c r="H203" s="99"/>
      <c r="I203" s="100"/>
      <c r="J203" s="101"/>
      <c r="L203" s="98" t="s">
        <v>27</v>
      </c>
      <c r="M203" s="121">
        <v>20001</v>
      </c>
      <c r="N203" s="99">
        <v>6667</v>
      </c>
      <c r="O203" s="99">
        <f t="shared" si="40"/>
        <v>300.01499999999999</v>
      </c>
      <c r="P203" s="99">
        <f t="shared" si="38"/>
        <v>6967.0150000000003</v>
      </c>
      <c r="Q203" s="99"/>
      <c r="R203" s="99"/>
      <c r="S203" s="100"/>
      <c r="T203" s="101"/>
    </row>
    <row r="204" spans="2:20" x14ac:dyDescent="0.3">
      <c r="B204" s="98" t="s">
        <v>28</v>
      </c>
      <c r="C204" s="121">
        <v>13334</v>
      </c>
      <c r="D204" s="99">
        <v>6667</v>
      </c>
      <c r="E204" s="99">
        <f t="shared" si="39"/>
        <v>200.01</v>
      </c>
      <c r="F204" s="99">
        <f t="shared" si="37"/>
        <v>6867.01</v>
      </c>
      <c r="G204" s="99"/>
      <c r="H204" s="99"/>
      <c r="I204" s="100"/>
      <c r="J204" s="101"/>
      <c r="L204" s="98" t="s">
        <v>28</v>
      </c>
      <c r="M204" s="121">
        <v>13334</v>
      </c>
      <c r="N204" s="99">
        <v>6667</v>
      </c>
      <c r="O204" s="99">
        <f t="shared" si="40"/>
        <v>200.01</v>
      </c>
      <c r="P204" s="99">
        <f t="shared" si="38"/>
        <v>6867.01</v>
      </c>
      <c r="Q204" s="99"/>
      <c r="R204" s="99"/>
      <c r="S204" s="100"/>
      <c r="T204" s="101"/>
    </row>
    <row r="205" spans="2:20" x14ac:dyDescent="0.3">
      <c r="B205" s="98" t="s">
        <v>29</v>
      </c>
      <c r="C205" s="121">
        <v>6667</v>
      </c>
      <c r="D205" s="99">
        <v>6667</v>
      </c>
      <c r="E205" s="99">
        <f t="shared" si="39"/>
        <v>100.005</v>
      </c>
      <c r="F205" s="99">
        <f t="shared" si="37"/>
        <v>6767.0050000000001</v>
      </c>
      <c r="G205" s="99"/>
      <c r="H205" s="99"/>
      <c r="I205" s="100"/>
      <c r="J205" s="101" t="s">
        <v>42</v>
      </c>
      <c r="L205" s="98" t="s">
        <v>29</v>
      </c>
      <c r="M205" s="121">
        <v>6667</v>
      </c>
      <c r="N205" s="99">
        <v>6667</v>
      </c>
      <c r="O205" s="99">
        <f t="shared" si="40"/>
        <v>100.005</v>
      </c>
      <c r="P205" s="99">
        <f t="shared" si="38"/>
        <v>6767.0050000000001</v>
      </c>
      <c r="Q205" s="99"/>
      <c r="R205" s="99"/>
      <c r="S205" s="100"/>
      <c r="T205" s="101" t="s">
        <v>42</v>
      </c>
    </row>
    <row r="208" spans="2:20" x14ac:dyDescent="0.3">
      <c r="B208" s="77" t="s">
        <v>0</v>
      </c>
      <c r="C208" s="77" t="s">
        <v>173</v>
      </c>
      <c r="D208" s="112"/>
      <c r="E208" s="112"/>
      <c r="F208" s="79"/>
      <c r="G208" s="80"/>
      <c r="I208" s="81" t="s">
        <v>1</v>
      </c>
      <c r="J208" s="82">
        <v>40000</v>
      </c>
      <c r="L208" s="77" t="s">
        <v>0</v>
      </c>
      <c r="M208" s="77" t="s">
        <v>173</v>
      </c>
      <c r="N208" s="112"/>
      <c r="O208" s="112"/>
      <c r="P208" s="79"/>
      <c r="Q208" s="80"/>
      <c r="S208" s="81" t="s">
        <v>1</v>
      </c>
      <c r="T208" s="82">
        <v>40000</v>
      </c>
    </row>
    <row r="209" spans="2:20" x14ac:dyDescent="0.3">
      <c r="B209" s="77" t="s">
        <v>2</v>
      </c>
      <c r="C209" s="83"/>
      <c r="D209" s="79"/>
      <c r="E209" s="83"/>
      <c r="F209" s="81"/>
      <c r="G209" s="81"/>
      <c r="I209" s="81" t="s">
        <v>3</v>
      </c>
      <c r="J209" s="85" t="s">
        <v>174</v>
      </c>
      <c r="L209" s="77" t="s">
        <v>2</v>
      </c>
      <c r="M209" s="83"/>
      <c r="N209" s="79"/>
      <c r="O209" s="83"/>
      <c r="P209" s="81"/>
      <c r="Q209" s="81"/>
      <c r="S209" s="81" t="s">
        <v>3</v>
      </c>
      <c r="T209" s="85" t="s">
        <v>174</v>
      </c>
    </row>
    <row r="210" spans="2:20" x14ac:dyDescent="0.3">
      <c r="B210" s="77" t="s">
        <v>4</v>
      </c>
      <c r="C210" s="78"/>
      <c r="D210" s="79"/>
      <c r="E210" s="78"/>
      <c r="F210" s="81"/>
      <c r="G210" s="81"/>
      <c r="I210" s="81" t="s">
        <v>5</v>
      </c>
      <c r="J210" s="86">
        <v>1.4999999999999999E-2</v>
      </c>
      <c r="L210" s="77" t="s">
        <v>4</v>
      </c>
      <c r="M210" s="78"/>
      <c r="N210" s="79"/>
      <c r="O210" s="78"/>
      <c r="P210" s="81"/>
      <c r="Q210" s="81"/>
      <c r="S210" s="81" t="s">
        <v>5</v>
      </c>
      <c r="T210" s="86">
        <v>1.4999999999999999E-2</v>
      </c>
    </row>
    <row r="211" spans="2:20" ht="15" thickBot="1" x14ac:dyDescent="0.35">
      <c r="B211" s="77" t="s">
        <v>6</v>
      </c>
      <c r="C211" s="87"/>
      <c r="D211" s="87"/>
      <c r="E211" s="88"/>
      <c r="F211" s="88"/>
      <c r="G211" s="88"/>
      <c r="I211" s="88" t="s">
        <v>7</v>
      </c>
      <c r="J211" s="78">
        <v>12</v>
      </c>
      <c r="L211" s="77" t="s">
        <v>6</v>
      </c>
      <c r="M211" s="87"/>
      <c r="N211" s="87"/>
      <c r="O211" s="88"/>
      <c r="P211" s="88"/>
      <c r="Q211" s="88"/>
      <c r="S211" s="88" t="s">
        <v>7</v>
      </c>
      <c r="T211" s="78">
        <v>12</v>
      </c>
    </row>
    <row r="212" spans="2:20" ht="41.4" thickBot="1" x14ac:dyDescent="0.35">
      <c r="B212" s="89" t="s">
        <v>8</v>
      </c>
      <c r="C212" s="89" t="s">
        <v>9</v>
      </c>
      <c r="D212" s="89" t="s">
        <v>10</v>
      </c>
      <c r="E212" s="90" t="s">
        <v>11</v>
      </c>
      <c r="F212" s="91" t="s">
        <v>12</v>
      </c>
      <c r="G212" s="92" t="s">
        <v>13</v>
      </c>
      <c r="H212" s="92" t="s">
        <v>14</v>
      </c>
      <c r="I212" s="92" t="s">
        <v>15</v>
      </c>
      <c r="J212" s="93" t="s">
        <v>16</v>
      </c>
      <c r="L212" s="89" t="s">
        <v>8</v>
      </c>
      <c r="M212" s="89" t="s">
        <v>9</v>
      </c>
      <c r="N212" s="89" t="s">
        <v>10</v>
      </c>
      <c r="O212" s="90" t="s">
        <v>11</v>
      </c>
      <c r="P212" s="91" t="s">
        <v>12</v>
      </c>
      <c r="Q212" s="92" t="s">
        <v>13</v>
      </c>
      <c r="R212" s="92" t="s">
        <v>14</v>
      </c>
      <c r="S212" s="92" t="s">
        <v>15</v>
      </c>
      <c r="T212" s="93" t="s">
        <v>16</v>
      </c>
    </row>
    <row r="213" spans="2:20" x14ac:dyDescent="0.3">
      <c r="B213" s="94" t="s">
        <v>17</v>
      </c>
      <c r="C213" s="95">
        <f>J208</f>
        <v>40000</v>
      </c>
      <c r="D213" s="95">
        <f>J208/J211</f>
        <v>3333.3333333333335</v>
      </c>
      <c r="E213" s="95">
        <f>(C213*0.015)</f>
        <v>600</v>
      </c>
      <c r="F213" s="95">
        <f t="shared" ref="F213:F224" si="41">SUM(D213:E213)</f>
        <v>3933.3333333333335</v>
      </c>
      <c r="G213" s="95"/>
      <c r="H213" s="95"/>
      <c r="I213" s="96"/>
      <c r="J213" s="97"/>
      <c r="L213" s="94" t="s">
        <v>17</v>
      </c>
      <c r="M213" s="95">
        <f>T208</f>
        <v>40000</v>
      </c>
      <c r="N213" s="95">
        <f>T208/T211</f>
        <v>3333.3333333333335</v>
      </c>
      <c r="O213" s="95">
        <f>(M213*0.015)</f>
        <v>600</v>
      </c>
      <c r="P213" s="95">
        <f t="shared" ref="P213:P224" si="42">SUM(N213:O213)</f>
        <v>3933.3333333333335</v>
      </c>
      <c r="Q213" s="95"/>
      <c r="R213" s="95"/>
      <c r="S213" s="96"/>
      <c r="T213" s="97"/>
    </row>
    <row r="214" spans="2:20" x14ac:dyDescent="0.3">
      <c r="B214" s="98" t="s">
        <v>18</v>
      </c>
      <c r="C214" s="99">
        <v>36663</v>
      </c>
      <c r="D214" s="99">
        <v>3333</v>
      </c>
      <c r="E214" s="99">
        <f>(C214*0.015)</f>
        <v>549.94499999999994</v>
      </c>
      <c r="F214" s="99">
        <f t="shared" si="41"/>
        <v>3882.9449999999997</v>
      </c>
      <c r="G214" s="99"/>
      <c r="H214" s="99"/>
      <c r="I214" s="100"/>
      <c r="J214" s="101"/>
      <c r="L214" s="98" t="s">
        <v>18</v>
      </c>
      <c r="M214" s="99">
        <v>36663</v>
      </c>
      <c r="N214" s="99">
        <v>3333</v>
      </c>
      <c r="O214" s="99">
        <f>(M214*0.015)</f>
        <v>549.94499999999994</v>
      </c>
      <c r="P214" s="99">
        <f t="shared" si="42"/>
        <v>3882.9449999999997</v>
      </c>
      <c r="Q214" s="99"/>
      <c r="R214" s="99"/>
      <c r="S214" s="100"/>
      <c r="T214" s="101"/>
    </row>
    <row r="215" spans="2:20" x14ac:dyDescent="0.3">
      <c r="B215" s="98" t="s">
        <v>19</v>
      </c>
      <c r="C215" s="99">
        <v>33330</v>
      </c>
      <c r="D215" s="99">
        <v>3333</v>
      </c>
      <c r="E215" s="99">
        <v>500</v>
      </c>
      <c r="F215" s="99">
        <f t="shared" si="41"/>
        <v>3833</v>
      </c>
      <c r="G215" s="99"/>
      <c r="H215" s="99"/>
      <c r="I215" s="100"/>
      <c r="J215" s="101"/>
      <c r="L215" s="98" t="s">
        <v>19</v>
      </c>
      <c r="M215" s="99">
        <v>33330</v>
      </c>
      <c r="N215" s="99">
        <v>3333</v>
      </c>
      <c r="O215" s="99">
        <v>500</v>
      </c>
      <c r="P215" s="99">
        <f t="shared" si="42"/>
        <v>3833</v>
      </c>
      <c r="Q215" s="99"/>
      <c r="R215" s="99"/>
      <c r="S215" s="100"/>
      <c r="T215" s="101"/>
    </row>
    <row r="216" spans="2:20" x14ac:dyDescent="0.3">
      <c r="B216" s="98" t="s">
        <v>20</v>
      </c>
      <c r="C216" s="99">
        <v>29997</v>
      </c>
      <c r="D216" s="99">
        <v>3333</v>
      </c>
      <c r="E216" s="99">
        <f t="shared" ref="E216:E224" si="43">(C216*0.015)</f>
        <v>449.95499999999998</v>
      </c>
      <c r="F216" s="99">
        <f t="shared" si="41"/>
        <v>3782.9549999999999</v>
      </c>
      <c r="G216" s="99"/>
      <c r="H216" s="99"/>
      <c r="I216" s="100"/>
      <c r="J216" s="101"/>
      <c r="L216" s="98" t="s">
        <v>20</v>
      </c>
      <c r="M216" s="99">
        <v>29997</v>
      </c>
      <c r="N216" s="99">
        <v>3333</v>
      </c>
      <c r="O216" s="99">
        <f t="shared" ref="O216:O224" si="44">(M216*0.015)</f>
        <v>449.95499999999998</v>
      </c>
      <c r="P216" s="99">
        <f t="shared" si="42"/>
        <v>3782.9549999999999</v>
      </c>
      <c r="Q216" s="99"/>
      <c r="R216" s="99"/>
      <c r="S216" s="100"/>
      <c r="T216" s="101"/>
    </row>
    <row r="217" spans="2:20" x14ac:dyDescent="0.3">
      <c r="B217" s="98" t="s">
        <v>21</v>
      </c>
      <c r="C217" s="99">
        <v>26664</v>
      </c>
      <c r="D217" s="99">
        <v>3333</v>
      </c>
      <c r="E217" s="99">
        <f t="shared" si="43"/>
        <v>399.96</v>
      </c>
      <c r="F217" s="99">
        <f t="shared" si="41"/>
        <v>3732.96</v>
      </c>
      <c r="G217" s="99"/>
      <c r="H217" s="99"/>
      <c r="I217" s="100"/>
      <c r="J217" s="101"/>
      <c r="L217" s="98" t="s">
        <v>21</v>
      </c>
      <c r="M217" s="99">
        <v>26664</v>
      </c>
      <c r="N217" s="99">
        <v>3333</v>
      </c>
      <c r="O217" s="99">
        <f t="shared" si="44"/>
        <v>399.96</v>
      </c>
      <c r="P217" s="99">
        <f t="shared" si="42"/>
        <v>3732.96</v>
      </c>
      <c r="Q217" s="99"/>
      <c r="R217" s="99"/>
      <c r="S217" s="100"/>
      <c r="T217" s="101"/>
    </row>
    <row r="218" spans="2:20" x14ac:dyDescent="0.3">
      <c r="B218" s="98" t="s">
        <v>23</v>
      </c>
      <c r="C218" s="99">
        <v>23331</v>
      </c>
      <c r="D218" s="99">
        <v>3333</v>
      </c>
      <c r="E218" s="99">
        <f t="shared" si="43"/>
        <v>349.96499999999997</v>
      </c>
      <c r="F218" s="99">
        <f t="shared" si="41"/>
        <v>3682.9650000000001</v>
      </c>
      <c r="G218" s="99"/>
      <c r="H218" s="99"/>
      <c r="I218" s="100"/>
      <c r="J218" s="101"/>
      <c r="L218" s="98" t="s">
        <v>23</v>
      </c>
      <c r="M218" s="99">
        <v>23331</v>
      </c>
      <c r="N218" s="99">
        <v>3333</v>
      </c>
      <c r="O218" s="99">
        <f t="shared" si="44"/>
        <v>349.96499999999997</v>
      </c>
      <c r="P218" s="99">
        <f t="shared" si="42"/>
        <v>3682.9650000000001</v>
      </c>
      <c r="Q218" s="99"/>
      <c r="R218" s="99"/>
      <c r="S218" s="100"/>
      <c r="T218" s="101"/>
    </row>
    <row r="219" spans="2:20" x14ac:dyDescent="0.3">
      <c r="B219" s="98" t="s">
        <v>24</v>
      </c>
      <c r="C219" s="99">
        <v>19998</v>
      </c>
      <c r="D219" s="99">
        <v>3333</v>
      </c>
      <c r="E219" s="99">
        <f t="shared" si="43"/>
        <v>299.96999999999997</v>
      </c>
      <c r="F219" s="99">
        <f t="shared" si="41"/>
        <v>3632.97</v>
      </c>
      <c r="G219" s="99"/>
      <c r="H219" s="99"/>
      <c r="I219" s="100"/>
      <c r="J219" s="101"/>
      <c r="L219" s="98" t="s">
        <v>24</v>
      </c>
      <c r="M219" s="99">
        <v>19998</v>
      </c>
      <c r="N219" s="99">
        <v>3333</v>
      </c>
      <c r="O219" s="99">
        <f t="shared" si="44"/>
        <v>299.96999999999997</v>
      </c>
      <c r="P219" s="99">
        <f t="shared" si="42"/>
        <v>3632.97</v>
      </c>
      <c r="Q219" s="99"/>
      <c r="R219" s="99"/>
      <c r="S219" s="100"/>
      <c r="T219" s="101"/>
    </row>
    <row r="220" spans="2:20" x14ac:dyDescent="0.3">
      <c r="B220" s="98" t="s">
        <v>25</v>
      </c>
      <c r="C220" s="99">
        <v>16665</v>
      </c>
      <c r="D220" s="99">
        <v>3333</v>
      </c>
      <c r="E220" s="99">
        <f t="shared" si="43"/>
        <v>249.97499999999999</v>
      </c>
      <c r="F220" s="99">
        <f t="shared" si="41"/>
        <v>3582.9749999999999</v>
      </c>
      <c r="G220" s="99"/>
      <c r="H220" s="99"/>
      <c r="I220" s="100"/>
      <c r="J220" s="101"/>
      <c r="L220" s="98" t="s">
        <v>25</v>
      </c>
      <c r="M220" s="99">
        <v>16665</v>
      </c>
      <c r="N220" s="99">
        <v>3333</v>
      </c>
      <c r="O220" s="99">
        <f t="shared" si="44"/>
        <v>249.97499999999999</v>
      </c>
      <c r="P220" s="99">
        <f t="shared" si="42"/>
        <v>3582.9749999999999</v>
      </c>
      <c r="Q220" s="99"/>
      <c r="R220" s="99"/>
      <c r="S220" s="100"/>
      <c r="T220" s="101"/>
    </row>
    <row r="221" spans="2:20" x14ac:dyDescent="0.3">
      <c r="B221" s="98" t="s">
        <v>26</v>
      </c>
      <c r="C221" s="99">
        <v>13332</v>
      </c>
      <c r="D221" s="99">
        <v>3333</v>
      </c>
      <c r="E221" s="99">
        <f t="shared" si="43"/>
        <v>199.98</v>
      </c>
      <c r="F221" s="99">
        <f t="shared" si="41"/>
        <v>3532.98</v>
      </c>
      <c r="G221" s="99"/>
      <c r="H221" s="99"/>
      <c r="I221" s="100"/>
      <c r="J221" s="101"/>
      <c r="L221" s="98" t="s">
        <v>26</v>
      </c>
      <c r="M221" s="99">
        <v>13332</v>
      </c>
      <c r="N221" s="99">
        <v>3333</v>
      </c>
      <c r="O221" s="99">
        <f t="shared" si="44"/>
        <v>199.98</v>
      </c>
      <c r="P221" s="99">
        <f t="shared" si="42"/>
        <v>3532.98</v>
      </c>
      <c r="Q221" s="99"/>
      <c r="R221" s="99"/>
      <c r="S221" s="100"/>
      <c r="T221" s="101"/>
    </row>
    <row r="222" spans="2:20" x14ac:dyDescent="0.3">
      <c r="B222" s="98" t="s">
        <v>27</v>
      </c>
      <c r="C222" s="99">
        <v>9999</v>
      </c>
      <c r="D222" s="99">
        <v>3333</v>
      </c>
      <c r="E222" s="99">
        <f t="shared" si="43"/>
        <v>149.98499999999999</v>
      </c>
      <c r="F222" s="99">
        <f t="shared" si="41"/>
        <v>3482.9850000000001</v>
      </c>
      <c r="G222" s="99"/>
      <c r="H222" s="99"/>
      <c r="I222" s="100"/>
      <c r="J222" s="101"/>
      <c r="L222" s="98" t="s">
        <v>27</v>
      </c>
      <c r="M222" s="99">
        <v>9999</v>
      </c>
      <c r="N222" s="99">
        <v>3333</v>
      </c>
      <c r="O222" s="99">
        <f t="shared" si="44"/>
        <v>149.98499999999999</v>
      </c>
      <c r="P222" s="99">
        <f t="shared" si="42"/>
        <v>3482.9850000000001</v>
      </c>
      <c r="Q222" s="99"/>
      <c r="R222" s="99"/>
      <c r="S222" s="100"/>
      <c r="T222" s="101"/>
    </row>
    <row r="223" spans="2:20" x14ac:dyDescent="0.3">
      <c r="B223" s="98" t="s">
        <v>28</v>
      </c>
      <c r="C223" s="99">
        <v>6666</v>
      </c>
      <c r="D223" s="99">
        <v>3333</v>
      </c>
      <c r="E223" s="99">
        <f t="shared" si="43"/>
        <v>99.99</v>
      </c>
      <c r="F223" s="99">
        <f t="shared" si="41"/>
        <v>3432.99</v>
      </c>
      <c r="G223" s="99"/>
      <c r="H223" s="99"/>
      <c r="I223" s="100"/>
      <c r="J223" s="101"/>
      <c r="L223" s="98" t="s">
        <v>28</v>
      </c>
      <c r="M223" s="99">
        <v>6666</v>
      </c>
      <c r="N223" s="99">
        <v>3333</v>
      </c>
      <c r="O223" s="99">
        <f t="shared" si="44"/>
        <v>99.99</v>
      </c>
      <c r="P223" s="99">
        <f t="shared" si="42"/>
        <v>3432.99</v>
      </c>
      <c r="Q223" s="99"/>
      <c r="R223" s="99"/>
      <c r="S223" s="100"/>
      <c r="T223" s="101"/>
    </row>
    <row r="224" spans="2:20" x14ac:dyDescent="0.3">
      <c r="B224" s="98" t="s">
        <v>29</v>
      </c>
      <c r="C224" s="99">
        <v>3333</v>
      </c>
      <c r="D224" s="99">
        <v>3333</v>
      </c>
      <c r="E224" s="99">
        <f t="shared" si="43"/>
        <v>49.994999999999997</v>
      </c>
      <c r="F224" s="99">
        <f t="shared" si="41"/>
        <v>3382.9949999999999</v>
      </c>
      <c r="G224" s="99"/>
      <c r="H224" s="99"/>
      <c r="I224" s="100"/>
      <c r="J224" s="101" t="s">
        <v>42</v>
      </c>
      <c r="L224" s="98" t="s">
        <v>29</v>
      </c>
      <c r="M224" s="99">
        <v>3333</v>
      </c>
      <c r="N224" s="99">
        <v>3333</v>
      </c>
      <c r="O224" s="99">
        <f t="shared" si="44"/>
        <v>49.994999999999997</v>
      </c>
      <c r="P224" s="99">
        <f t="shared" si="42"/>
        <v>3382.9949999999999</v>
      </c>
      <c r="Q224" s="99"/>
      <c r="R224" s="99"/>
      <c r="S224" s="100"/>
      <c r="T224" s="101" t="s">
        <v>42</v>
      </c>
    </row>
    <row r="228" spans="2:20" x14ac:dyDescent="0.3">
      <c r="B228" s="77" t="s">
        <v>0</v>
      </c>
      <c r="C228" s="77" t="s">
        <v>207</v>
      </c>
      <c r="D228" s="77"/>
      <c r="E228" s="112"/>
      <c r="F228" s="79"/>
      <c r="G228" s="80"/>
      <c r="I228" s="81" t="s">
        <v>1</v>
      </c>
      <c r="J228" s="82">
        <v>20000</v>
      </c>
      <c r="L228" s="77" t="s">
        <v>0</v>
      </c>
      <c r="M228" s="77" t="s">
        <v>207</v>
      </c>
      <c r="N228" s="77"/>
      <c r="O228" s="112"/>
      <c r="P228" s="79"/>
      <c r="Q228" s="80"/>
      <c r="S228" s="81" t="s">
        <v>1</v>
      </c>
      <c r="T228" s="82">
        <v>20000</v>
      </c>
    </row>
    <row r="229" spans="2:20" x14ac:dyDescent="0.3">
      <c r="B229" s="77" t="s">
        <v>2</v>
      </c>
      <c r="C229" s="131"/>
      <c r="D229" s="132"/>
      <c r="E229" s="83"/>
      <c r="F229" s="81"/>
      <c r="G229" s="81"/>
      <c r="H229" s="84"/>
      <c r="I229" s="81" t="s">
        <v>3</v>
      </c>
      <c r="J229" s="113" t="s">
        <v>205</v>
      </c>
      <c r="L229" s="77" t="s">
        <v>2</v>
      </c>
      <c r="M229" s="131"/>
      <c r="N229" s="132"/>
      <c r="O229" s="83"/>
      <c r="P229" s="81"/>
      <c r="Q229" s="81"/>
      <c r="R229" s="84"/>
      <c r="S229" s="81" t="s">
        <v>3</v>
      </c>
      <c r="T229" s="113" t="s">
        <v>205</v>
      </c>
    </row>
    <row r="230" spans="2:20" x14ac:dyDescent="0.3">
      <c r="B230" s="77" t="s">
        <v>4</v>
      </c>
      <c r="C230" s="112"/>
      <c r="D230" s="132"/>
      <c r="E230" s="78"/>
      <c r="G230" s="81"/>
      <c r="H230" s="81"/>
      <c r="I230" s="81" t="s">
        <v>5</v>
      </c>
      <c r="J230" s="86">
        <v>1.4999999999999999E-2</v>
      </c>
      <c r="L230" s="77" t="s">
        <v>4</v>
      </c>
      <c r="M230" s="112"/>
      <c r="N230" s="132"/>
      <c r="O230" s="78"/>
      <c r="Q230" s="81"/>
      <c r="R230" s="81"/>
      <c r="S230" s="81" t="s">
        <v>5</v>
      </c>
      <c r="T230" s="86">
        <v>1.4999999999999999E-2</v>
      </c>
    </row>
    <row r="231" spans="2:20" ht="15" thickBot="1" x14ac:dyDescent="0.35">
      <c r="B231" s="77" t="s">
        <v>6</v>
      </c>
      <c r="C231" s="133"/>
      <c r="D231" s="133"/>
      <c r="F231" s="88"/>
      <c r="G231" s="88"/>
      <c r="H231" s="88"/>
      <c r="I231" s="88" t="s">
        <v>7</v>
      </c>
      <c r="J231" s="78">
        <v>12</v>
      </c>
      <c r="L231" s="77" t="s">
        <v>6</v>
      </c>
      <c r="M231" s="133"/>
      <c r="N231" s="133"/>
      <c r="P231" s="88"/>
      <c r="Q231" s="88"/>
      <c r="R231" s="88"/>
      <c r="S231" s="88" t="s">
        <v>7</v>
      </c>
      <c r="T231" s="78">
        <v>12</v>
      </c>
    </row>
    <row r="232" spans="2:20" ht="41.4" thickBot="1" x14ac:dyDescent="0.35">
      <c r="B232" s="89" t="s">
        <v>8</v>
      </c>
      <c r="C232" s="89" t="s">
        <v>9</v>
      </c>
      <c r="D232" s="89" t="s">
        <v>10</v>
      </c>
      <c r="E232" s="90" t="s">
        <v>11</v>
      </c>
      <c r="F232" s="91" t="s">
        <v>12</v>
      </c>
      <c r="G232" s="92" t="s">
        <v>13</v>
      </c>
      <c r="H232" s="92" t="s">
        <v>14</v>
      </c>
      <c r="I232" s="92" t="s">
        <v>15</v>
      </c>
      <c r="J232" s="93" t="s">
        <v>16</v>
      </c>
      <c r="L232" s="89" t="s">
        <v>8</v>
      </c>
      <c r="M232" s="89" t="s">
        <v>9</v>
      </c>
      <c r="N232" s="89" t="s">
        <v>10</v>
      </c>
      <c r="O232" s="90" t="s">
        <v>11</v>
      </c>
      <c r="P232" s="91" t="s">
        <v>12</v>
      </c>
      <c r="Q232" s="92" t="s">
        <v>13</v>
      </c>
      <c r="R232" s="92" t="s">
        <v>14</v>
      </c>
      <c r="S232" s="92" t="s">
        <v>15</v>
      </c>
      <c r="T232" s="93" t="s">
        <v>16</v>
      </c>
    </row>
    <row r="233" spans="2:20" x14ac:dyDescent="0.3">
      <c r="B233" s="94" t="s">
        <v>17</v>
      </c>
      <c r="C233" s="95">
        <f>J228</f>
        <v>20000</v>
      </c>
      <c r="D233" s="95">
        <f>J228/J231</f>
        <v>1666.6666666666667</v>
      </c>
      <c r="E233" s="95">
        <f t="shared" ref="E233:E244" si="45">(C233*0.015)</f>
        <v>300</v>
      </c>
      <c r="F233" s="95">
        <f t="shared" ref="F233:F244" si="46">SUM(D233:E233)</f>
        <v>1966.6666666666667</v>
      </c>
      <c r="G233" s="95"/>
      <c r="H233" s="95"/>
      <c r="I233" s="96"/>
      <c r="J233" s="97"/>
      <c r="L233" s="94" t="s">
        <v>17</v>
      </c>
      <c r="M233" s="95">
        <f>T228</f>
        <v>20000</v>
      </c>
      <c r="N233" s="95">
        <f>T228/T231</f>
        <v>1666.6666666666667</v>
      </c>
      <c r="O233" s="95">
        <f t="shared" ref="O233:O244" si="47">(M233*0.015)</f>
        <v>300</v>
      </c>
      <c r="P233" s="95">
        <f t="shared" ref="P233:P244" si="48">SUM(N233:O233)</f>
        <v>1966.6666666666667</v>
      </c>
      <c r="Q233" s="95"/>
      <c r="R233" s="95"/>
      <c r="S233" s="96"/>
      <c r="T233" s="97"/>
    </row>
    <row r="234" spans="2:20" x14ac:dyDescent="0.3">
      <c r="B234" s="98" t="s">
        <v>18</v>
      </c>
      <c r="C234" s="99">
        <v>18333</v>
      </c>
      <c r="D234" s="99">
        <v>1667</v>
      </c>
      <c r="E234" s="99">
        <f t="shared" si="45"/>
        <v>274.995</v>
      </c>
      <c r="F234" s="99">
        <f t="shared" si="46"/>
        <v>1941.9949999999999</v>
      </c>
      <c r="G234" s="99"/>
      <c r="H234" s="99"/>
      <c r="I234" s="100"/>
      <c r="J234" s="101"/>
      <c r="L234" s="98" t="s">
        <v>18</v>
      </c>
      <c r="M234" s="99">
        <v>18333</v>
      </c>
      <c r="N234" s="99">
        <v>1667</v>
      </c>
      <c r="O234" s="99">
        <f t="shared" si="47"/>
        <v>274.995</v>
      </c>
      <c r="P234" s="99">
        <f t="shared" si="48"/>
        <v>1941.9949999999999</v>
      </c>
      <c r="Q234" s="99"/>
      <c r="R234" s="99"/>
      <c r="S234" s="100"/>
      <c r="T234" s="101"/>
    </row>
    <row r="235" spans="2:20" x14ac:dyDescent="0.3">
      <c r="B235" s="98" t="s">
        <v>19</v>
      </c>
      <c r="C235" s="99">
        <v>16667</v>
      </c>
      <c r="D235" s="99">
        <v>1667</v>
      </c>
      <c r="E235" s="99">
        <f t="shared" si="45"/>
        <v>250.005</v>
      </c>
      <c r="F235" s="99">
        <f t="shared" si="46"/>
        <v>1917.0050000000001</v>
      </c>
      <c r="G235" s="99"/>
      <c r="H235" s="99"/>
      <c r="I235" s="100"/>
      <c r="J235" s="101"/>
      <c r="L235" s="98" t="s">
        <v>19</v>
      </c>
      <c r="M235" s="99">
        <v>16667</v>
      </c>
      <c r="N235" s="99">
        <v>1667</v>
      </c>
      <c r="O235" s="99">
        <f t="shared" si="47"/>
        <v>250.005</v>
      </c>
      <c r="P235" s="99">
        <f t="shared" si="48"/>
        <v>1917.0050000000001</v>
      </c>
      <c r="Q235" s="99"/>
      <c r="R235" s="99"/>
      <c r="S235" s="100"/>
      <c r="T235" s="101"/>
    </row>
    <row r="236" spans="2:20" x14ac:dyDescent="0.3">
      <c r="B236" s="98" t="s">
        <v>20</v>
      </c>
      <c r="C236" s="99">
        <v>14999</v>
      </c>
      <c r="D236" s="99">
        <v>1667</v>
      </c>
      <c r="E236" s="99">
        <f t="shared" si="45"/>
        <v>224.98499999999999</v>
      </c>
      <c r="F236" s="99">
        <f t="shared" si="46"/>
        <v>1891.9849999999999</v>
      </c>
      <c r="G236" s="99"/>
      <c r="H236" s="99"/>
      <c r="I236" s="100"/>
      <c r="J236" s="101"/>
      <c r="L236" s="98" t="s">
        <v>20</v>
      </c>
      <c r="M236" s="99">
        <v>14999</v>
      </c>
      <c r="N236" s="99">
        <v>1667</v>
      </c>
      <c r="O236" s="99">
        <f t="shared" si="47"/>
        <v>224.98499999999999</v>
      </c>
      <c r="P236" s="99">
        <f t="shared" si="48"/>
        <v>1891.9849999999999</v>
      </c>
      <c r="Q236" s="99"/>
      <c r="R236" s="99"/>
      <c r="S236" s="100"/>
      <c r="T236" s="101"/>
    </row>
    <row r="237" spans="2:20" x14ac:dyDescent="0.3">
      <c r="B237" s="98" t="s">
        <v>21</v>
      </c>
      <c r="C237" s="99">
        <v>13333</v>
      </c>
      <c r="D237" s="99">
        <v>1667</v>
      </c>
      <c r="E237" s="99">
        <f t="shared" si="45"/>
        <v>199.995</v>
      </c>
      <c r="F237" s="99">
        <f t="shared" si="46"/>
        <v>1866.9949999999999</v>
      </c>
      <c r="G237" s="99"/>
      <c r="H237" s="99"/>
      <c r="I237" s="100"/>
      <c r="J237" s="101"/>
      <c r="L237" s="98" t="s">
        <v>21</v>
      </c>
      <c r="M237" s="99">
        <v>13333</v>
      </c>
      <c r="N237" s="99">
        <v>1667</v>
      </c>
      <c r="O237" s="99">
        <f t="shared" si="47"/>
        <v>199.995</v>
      </c>
      <c r="P237" s="99">
        <f t="shared" si="48"/>
        <v>1866.9949999999999</v>
      </c>
      <c r="Q237" s="99"/>
      <c r="R237" s="99"/>
      <c r="S237" s="100"/>
      <c r="T237" s="101"/>
    </row>
    <row r="238" spans="2:20" x14ac:dyDescent="0.3">
      <c r="B238" s="98" t="s">
        <v>23</v>
      </c>
      <c r="C238" s="99">
        <v>11665</v>
      </c>
      <c r="D238" s="99">
        <v>1667</v>
      </c>
      <c r="E238" s="99">
        <f t="shared" si="45"/>
        <v>174.97499999999999</v>
      </c>
      <c r="F238" s="99">
        <f t="shared" si="46"/>
        <v>1841.9749999999999</v>
      </c>
      <c r="G238" s="99"/>
      <c r="H238" s="99"/>
      <c r="I238" s="100"/>
      <c r="J238" s="101"/>
      <c r="L238" s="98" t="s">
        <v>23</v>
      </c>
      <c r="M238" s="99">
        <v>11665</v>
      </c>
      <c r="N238" s="99">
        <v>1667</v>
      </c>
      <c r="O238" s="99">
        <f t="shared" si="47"/>
        <v>174.97499999999999</v>
      </c>
      <c r="P238" s="99">
        <f t="shared" si="48"/>
        <v>1841.9749999999999</v>
      </c>
      <c r="Q238" s="99"/>
      <c r="R238" s="99"/>
      <c r="S238" s="100"/>
      <c r="T238" s="101"/>
    </row>
    <row r="239" spans="2:20" x14ac:dyDescent="0.3">
      <c r="B239" s="98" t="s">
        <v>24</v>
      </c>
      <c r="C239" s="99">
        <v>9999</v>
      </c>
      <c r="D239" s="99">
        <v>1667</v>
      </c>
      <c r="E239" s="99">
        <f t="shared" si="45"/>
        <v>149.98499999999999</v>
      </c>
      <c r="F239" s="99">
        <f t="shared" si="46"/>
        <v>1816.9849999999999</v>
      </c>
      <c r="G239" s="99"/>
      <c r="H239" s="99"/>
      <c r="I239" s="100"/>
      <c r="J239" s="101"/>
      <c r="L239" s="98" t="s">
        <v>24</v>
      </c>
      <c r="M239" s="99">
        <v>9999</v>
      </c>
      <c r="N239" s="99">
        <v>1667</v>
      </c>
      <c r="O239" s="99">
        <f t="shared" si="47"/>
        <v>149.98499999999999</v>
      </c>
      <c r="P239" s="99">
        <f t="shared" si="48"/>
        <v>1816.9849999999999</v>
      </c>
      <c r="Q239" s="99"/>
      <c r="R239" s="99"/>
      <c r="S239" s="100"/>
      <c r="T239" s="101"/>
    </row>
    <row r="240" spans="2:20" x14ac:dyDescent="0.3">
      <c r="B240" s="98" t="s">
        <v>25</v>
      </c>
      <c r="C240" s="99">
        <v>8332</v>
      </c>
      <c r="D240" s="99">
        <v>1667</v>
      </c>
      <c r="E240" s="99">
        <f t="shared" si="45"/>
        <v>124.97999999999999</v>
      </c>
      <c r="F240" s="99">
        <f t="shared" si="46"/>
        <v>1791.98</v>
      </c>
      <c r="G240" s="99"/>
      <c r="H240" s="99"/>
      <c r="I240" s="100"/>
      <c r="J240" s="101"/>
      <c r="L240" s="98" t="s">
        <v>25</v>
      </c>
      <c r="M240" s="99">
        <v>8332</v>
      </c>
      <c r="N240" s="99">
        <v>1667</v>
      </c>
      <c r="O240" s="99">
        <f t="shared" si="47"/>
        <v>124.97999999999999</v>
      </c>
      <c r="P240" s="99">
        <f t="shared" si="48"/>
        <v>1791.98</v>
      </c>
      <c r="Q240" s="99"/>
      <c r="R240" s="99"/>
      <c r="S240" s="100"/>
      <c r="T240" s="101"/>
    </row>
    <row r="241" spans="2:20" x14ac:dyDescent="0.3">
      <c r="B241" s="98" t="s">
        <v>26</v>
      </c>
      <c r="C241" s="99">
        <v>6664</v>
      </c>
      <c r="D241" s="99">
        <v>1667</v>
      </c>
      <c r="E241" s="99">
        <f t="shared" si="45"/>
        <v>99.96</v>
      </c>
      <c r="F241" s="99">
        <f t="shared" si="46"/>
        <v>1766.96</v>
      </c>
      <c r="G241" s="99"/>
      <c r="H241" s="99"/>
      <c r="I241" s="100"/>
      <c r="J241" s="101"/>
      <c r="L241" s="98" t="s">
        <v>26</v>
      </c>
      <c r="M241" s="99">
        <v>6664</v>
      </c>
      <c r="N241" s="99">
        <v>1667</v>
      </c>
      <c r="O241" s="99">
        <f t="shared" si="47"/>
        <v>99.96</v>
      </c>
      <c r="P241" s="99">
        <f t="shared" si="48"/>
        <v>1766.96</v>
      </c>
      <c r="Q241" s="99"/>
      <c r="R241" s="99"/>
      <c r="S241" s="100"/>
      <c r="T241" s="101"/>
    </row>
    <row r="242" spans="2:20" x14ac:dyDescent="0.3">
      <c r="B242" s="98" t="s">
        <v>27</v>
      </c>
      <c r="C242" s="99">
        <v>4997</v>
      </c>
      <c r="D242" s="99">
        <v>1667</v>
      </c>
      <c r="E242" s="99">
        <f t="shared" si="45"/>
        <v>74.954999999999998</v>
      </c>
      <c r="F242" s="99">
        <f t="shared" si="46"/>
        <v>1741.9549999999999</v>
      </c>
      <c r="G242" s="99"/>
      <c r="H242" s="99"/>
      <c r="I242" s="100"/>
      <c r="J242" s="101"/>
      <c r="L242" s="98" t="s">
        <v>27</v>
      </c>
      <c r="M242" s="99">
        <v>4997</v>
      </c>
      <c r="N242" s="99">
        <v>1667</v>
      </c>
      <c r="O242" s="99">
        <f t="shared" si="47"/>
        <v>74.954999999999998</v>
      </c>
      <c r="P242" s="99">
        <f t="shared" si="48"/>
        <v>1741.9549999999999</v>
      </c>
      <c r="Q242" s="99"/>
      <c r="R242" s="99"/>
      <c r="S242" s="100"/>
      <c r="T242" s="101"/>
    </row>
    <row r="243" spans="2:20" x14ac:dyDescent="0.3">
      <c r="B243" s="98" t="s">
        <v>28</v>
      </c>
      <c r="C243" s="99">
        <v>3330</v>
      </c>
      <c r="D243" s="99">
        <v>1667</v>
      </c>
      <c r="E243" s="99">
        <f t="shared" si="45"/>
        <v>49.949999999999996</v>
      </c>
      <c r="F243" s="99">
        <f t="shared" si="46"/>
        <v>1716.95</v>
      </c>
      <c r="G243" s="99"/>
      <c r="H243" s="99"/>
      <c r="I243" s="100"/>
      <c r="J243" s="101"/>
      <c r="L243" s="98" t="s">
        <v>28</v>
      </c>
      <c r="M243" s="99">
        <v>3330</v>
      </c>
      <c r="N243" s="99">
        <v>1667</v>
      </c>
      <c r="O243" s="99">
        <f t="shared" si="47"/>
        <v>49.949999999999996</v>
      </c>
      <c r="P243" s="99">
        <f t="shared" si="48"/>
        <v>1716.95</v>
      </c>
      <c r="Q243" s="99"/>
      <c r="R243" s="99"/>
      <c r="S243" s="100"/>
      <c r="T243" s="101"/>
    </row>
    <row r="244" spans="2:20" x14ac:dyDescent="0.3">
      <c r="B244" s="98" t="s">
        <v>29</v>
      </c>
      <c r="C244" s="99">
        <v>1667</v>
      </c>
      <c r="D244" s="99">
        <v>1667</v>
      </c>
      <c r="E244" s="99">
        <f t="shared" si="45"/>
        <v>25.004999999999999</v>
      </c>
      <c r="F244" s="99">
        <f t="shared" si="46"/>
        <v>1692.0050000000001</v>
      </c>
      <c r="G244" s="99"/>
      <c r="H244" s="99"/>
      <c r="I244" s="100"/>
      <c r="J244" s="101" t="s">
        <v>42</v>
      </c>
      <c r="L244" s="98" t="s">
        <v>29</v>
      </c>
      <c r="M244" s="99">
        <v>1667</v>
      </c>
      <c r="N244" s="99">
        <v>1667</v>
      </c>
      <c r="O244" s="99">
        <f t="shared" si="47"/>
        <v>25.004999999999999</v>
      </c>
      <c r="P244" s="99">
        <f t="shared" si="48"/>
        <v>1692.0050000000001</v>
      </c>
      <c r="Q244" s="99"/>
      <c r="R244" s="99"/>
      <c r="S244" s="100"/>
      <c r="T244" s="101" t="s">
        <v>42</v>
      </c>
    </row>
    <row r="247" spans="2:20" x14ac:dyDescent="0.3">
      <c r="B247" s="77" t="s">
        <v>0</v>
      </c>
      <c r="C247" s="77" t="s">
        <v>201</v>
      </c>
      <c r="D247" s="112"/>
      <c r="E247" s="112"/>
      <c r="F247" s="79"/>
      <c r="G247" s="80"/>
      <c r="I247" s="81" t="s">
        <v>1</v>
      </c>
      <c r="J247" s="82">
        <v>30000</v>
      </c>
      <c r="L247" s="77" t="s">
        <v>0</v>
      </c>
      <c r="M247" s="77" t="s">
        <v>201</v>
      </c>
      <c r="N247" s="112"/>
      <c r="O247" s="112"/>
      <c r="P247" s="79"/>
      <c r="Q247" s="80"/>
      <c r="S247" s="81" t="s">
        <v>1</v>
      </c>
      <c r="T247" s="82">
        <v>30000</v>
      </c>
    </row>
    <row r="248" spans="2:20" x14ac:dyDescent="0.3">
      <c r="B248" s="77" t="s">
        <v>2</v>
      </c>
      <c r="C248" s="83"/>
      <c r="D248" s="79"/>
      <c r="E248" s="83"/>
      <c r="F248" s="81"/>
      <c r="G248" s="81"/>
      <c r="I248" s="81" t="s">
        <v>3</v>
      </c>
      <c r="J248" s="85" t="s">
        <v>202</v>
      </c>
      <c r="L248" s="77" t="s">
        <v>2</v>
      </c>
      <c r="M248" s="83"/>
      <c r="N248" s="79"/>
      <c r="O248" s="83"/>
      <c r="P248" s="81"/>
      <c r="Q248" s="81"/>
      <c r="S248" s="81" t="s">
        <v>3</v>
      </c>
      <c r="T248" s="85" t="s">
        <v>197</v>
      </c>
    </row>
    <row r="249" spans="2:20" x14ac:dyDescent="0.3">
      <c r="B249" s="77" t="s">
        <v>4</v>
      </c>
      <c r="C249" s="78"/>
      <c r="D249" s="79"/>
      <c r="E249" s="78"/>
      <c r="F249" s="81"/>
      <c r="G249" s="81"/>
      <c r="I249" s="81" t="s">
        <v>5</v>
      </c>
      <c r="J249" s="86">
        <v>1.4999999999999999E-2</v>
      </c>
      <c r="L249" s="77" t="s">
        <v>4</v>
      </c>
      <c r="M249" s="78"/>
      <c r="N249" s="79"/>
      <c r="O249" s="78"/>
      <c r="P249" s="81"/>
      <c r="Q249" s="81"/>
      <c r="S249" s="81" t="s">
        <v>5</v>
      </c>
      <c r="T249" s="86">
        <v>1.4999999999999999E-2</v>
      </c>
    </row>
    <row r="250" spans="2:20" ht="15" thickBot="1" x14ac:dyDescent="0.35">
      <c r="B250" s="77" t="s">
        <v>6</v>
      </c>
      <c r="C250" s="87"/>
      <c r="D250" s="87"/>
      <c r="E250" s="88"/>
      <c r="F250" s="88"/>
      <c r="G250" s="88"/>
      <c r="I250" s="88" t="s">
        <v>7</v>
      </c>
      <c r="J250" s="78">
        <v>12</v>
      </c>
      <c r="L250" s="77" t="s">
        <v>6</v>
      </c>
      <c r="M250" s="87"/>
      <c r="N250" s="87"/>
      <c r="O250" s="88"/>
      <c r="P250" s="88"/>
      <c r="Q250" s="88"/>
      <c r="S250" s="88" t="s">
        <v>7</v>
      </c>
      <c r="T250" s="78">
        <v>12</v>
      </c>
    </row>
    <row r="251" spans="2:20" ht="41.4" thickBot="1" x14ac:dyDescent="0.35">
      <c r="B251" s="89" t="s">
        <v>8</v>
      </c>
      <c r="C251" s="89" t="s">
        <v>9</v>
      </c>
      <c r="D251" s="89" t="s">
        <v>10</v>
      </c>
      <c r="E251" s="90" t="s">
        <v>11</v>
      </c>
      <c r="F251" s="91" t="s">
        <v>12</v>
      </c>
      <c r="G251" s="92" t="s">
        <v>13</v>
      </c>
      <c r="H251" s="92" t="s">
        <v>14</v>
      </c>
      <c r="I251" s="92" t="s">
        <v>15</v>
      </c>
      <c r="J251" s="93" t="s">
        <v>16</v>
      </c>
      <c r="L251" s="89" t="s">
        <v>8</v>
      </c>
      <c r="M251" s="89" t="s">
        <v>9</v>
      </c>
      <c r="N251" s="89" t="s">
        <v>10</v>
      </c>
      <c r="O251" s="90" t="s">
        <v>11</v>
      </c>
      <c r="P251" s="91" t="s">
        <v>12</v>
      </c>
      <c r="Q251" s="92" t="s">
        <v>13</v>
      </c>
      <c r="R251" s="92" t="s">
        <v>14</v>
      </c>
      <c r="S251" s="92" t="s">
        <v>15</v>
      </c>
      <c r="T251" s="93" t="s">
        <v>16</v>
      </c>
    </row>
    <row r="252" spans="2:20" x14ac:dyDescent="0.3">
      <c r="B252" s="94" t="s">
        <v>17</v>
      </c>
      <c r="C252" s="95">
        <f>J247</f>
        <v>30000</v>
      </c>
      <c r="D252" s="95">
        <f>J247/J250</f>
        <v>2500</v>
      </c>
      <c r="E252" s="95">
        <f t="shared" ref="E252:E263" si="49">(C252*0.015)</f>
        <v>450</v>
      </c>
      <c r="F252" s="95">
        <f>'30-12'!$C$6+E252</f>
        <v>2950</v>
      </c>
      <c r="G252" s="95"/>
      <c r="H252" s="95"/>
      <c r="I252" s="96"/>
      <c r="J252" s="97"/>
      <c r="L252" s="94" t="s">
        <v>17</v>
      </c>
      <c r="M252" s="95">
        <f>T247</f>
        <v>30000</v>
      </c>
      <c r="N252" s="95">
        <f>T247/T250</f>
        <v>2500</v>
      </c>
      <c r="O252" s="95">
        <f t="shared" ref="O252:O263" si="50">(M252*0.015)</f>
        <v>450</v>
      </c>
      <c r="P252" s="95">
        <f>'30-12'!$C$6+O252</f>
        <v>2950</v>
      </c>
      <c r="Q252" s="95"/>
      <c r="R252" s="95"/>
      <c r="S252" s="96"/>
      <c r="T252" s="97"/>
    </row>
    <row r="253" spans="2:20" x14ac:dyDescent="0.3">
      <c r="B253" s="98" t="s">
        <v>18</v>
      </c>
      <c r="C253" s="99">
        <v>27500</v>
      </c>
      <c r="D253" s="99">
        <f>'30-12'!$C$6</f>
        <v>2500</v>
      </c>
      <c r="E253" s="99">
        <f t="shared" si="49"/>
        <v>412.5</v>
      </c>
      <c r="F253" s="99">
        <f>'30-12'!$C$6+E253</f>
        <v>2912.5</v>
      </c>
      <c r="G253" s="99"/>
      <c r="H253" s="99"/>
      <c r="I253" s="100"/>
      <c r="J253" s="101"/>
      <c r="L253" s="98" t="s">
        <v>18</v>
      </c>
      <c r="M253" s="99">
        <v>27500</v>
      </c>
      <c r="N253" s="99">
        <f>'30-12'!$C$6</f>
        <v>2500</v>
      </c>
      <c r="O253" s="99">
        <f t="shared" si="50"/>
        <v>412.5</v>
      </c>
      <c r="P253" s="99">
        <f>'30-12'!$C$6+O253</f>
        <v>2912.5</v>
      </c>
      <c r="Q253" s="99"/>
      <c r="R253" s="99"/>
      <c r="S253" s="100"/>
      <c r="T253" s="101"/>
    </row>
    <row r="254" spans="2:20" x14ac:dyDescent="0.3">
      <c r="B254" s="98" t="s">
        <v>19</v>
      </c>
      <c r="C254" s="99">
        <v>25000</v>
      </c>
      <c r="D254" s="99">
        <f>'30-12'!$C$6</f>
        <v>2500</v>
      </c>
      <c r="E254" s="99">
        <f t="shared" si="49"/>
        <v>375</v>
      </c>
      <c r="F254" s="99">
        <f>'30-12'!$C$6+E254</f>
        <v>2875</v>
      </c>
      <c r="G254" s="99"/>
      <c r="H254" s="99"/>
      <c r="I254" s="100"/>
      <c r="J254" s="101"/>
      <c r="L254" s="98" t="s">
        <v>19</v>
      </c>
      <c r="M254" s="99">
        <v>25000</v>
      </c>
      <c r="N254" s="99">
        <f>'30-12'!$C$6</f>
        <v>2500</v>
      </c>
      <c r="O254" s="99">
        <f t="shared" si="50"/>
        <v>375</v>
      </c>
      <c r="P254" s="99">
        <f>'30-12'!$C$6+O254</f>
        <v>2875</v>
      </c>
      <c r="Q254" s="99"/>
      <c r="R254" s="99"/>
      <c r="S254" s="100"/>
      <c r="T254" s="101"/>
    </row>
    <row r="255" spans="2:20" x14ac:dyDescent="0.3">
      <c r="B255" s="98" t="s">
        <v>20</v>
      </c>
      <c r="C255" s="99">
        <v>22500</v>
      </c>
      <c r="D255" s="99">
        <f>'30-12'!$C$6</f>
        <v>2500</v>
      </c>
      <c r="E255" s="99">
        <f t="shared" si="49"/>
        <v>337.5</v>
      </c>
      <c r="F255" s="99">
        <f>'30-12'!$C$6+E255</f>
        <v>2837.5</v>
      </c>
      <c r="G255" s="99"/>
      <c r="H255" s="99"/>
      <c r="I255" s="100"/>
      <c r="J255" s="101"/>
      <c r="L255" s="98" t="s">
        <v>20</v>
      </c>
      <c r="M255" s="99">
        <v>22500</v>
      </c>
      <c r="N255" s="99">
        <f>'30-12'!$C$6</f>
        <v>2500</v>
      </c>
      <c r="O255" s="99">
        <f t="shared" si="50"/>
        <v>337.5</v>
      </c>
      <c r="P255" s="99">
        <f>'30-12'!$C$6+O255</f>
        <v>2837.5</v>
      </c>
      <c r="Q255" s="99"/>
      <c r="R255" s="99"/>
      <c r="S255" s="100"/>
      <c r="T255" s="101"/>
    </row>
    <row r="256" spans="2:20" x14ac:dyDescent="0.3">
      <c r="B256" s="98" t="s">
        <v>21</v>
      </c>
      <c r="C256" s="99">
        <v>20000</v>
      </c>
      <c r="D256" s="99">
        <f>'30-12'!$C$6</f>
        <v>2500</v>
      </c>
      <c r="E256" s="99">
        <f t="shared" si="49"/>
        <v>300</v>
      </c>
      <c r="F256" s="99">
        <f>'30-12'!$C$6+E256</f>
        <v>2800</v>
      </c>
      <c r="G256" s="99"/>
      <c r="H256" s="99"/>
      <c r="I256" s="100"/>
      <c r="J256" s="101"/>
      <c r="L256" s="98" t="s">
        <v>21</v>
      </c>
      <c r="M256" s="99">
        <v>20000</v>
      </c>
      <c r="N256" s="99">
        <f>'30-12'!$C$6</f>
        <v>2500</v>
      </c>
      <c r="O256" s="99">
        <f t="shared" si="50"/>
        <v>300</v>
      </c>
      <c r="P256" s="99">
        <f>'30-12'!$C$6+O256</f>
        <v>2800</v>
      </c>
      <c r="Q256" s="99"/>
      <c r="R256" s="99"/>
      <c r="S256" s="100"/>
      <c r="T256" s="101"/>
    </row>
    <row r="257" spans="2:20" x14ac:dyDescent="0.3">
      <c r="B257" s="98" t="s">
        <v>23</v>
      </c>
      <c r="C257" s="99">
        <v>17500</v>
      </c>
      <c r="D257" s="99">
        <f>'30-12'!$C$6</f>
        <v>2500</v>
      </c>
      <c r="E257" s="99">
        <f t="shared" si="49"/>
        <v>262.5</v>
      </c>
      <c r="F257" s="99">
        <f>'30-12'!$C$6+E257</f>
        <v>2762.5</v>
      </c>
      <c r="G257" s="99"/>
      <c r="H257" s="99"/>
      <c r="I257" s="100"/>
      <c r="J257" s="101"/>
      <c r="L257" s="98" t="s">
        <v>23</v>
      </c>
      <c r="M257" s="99">
        <v>17500</v>
      </c>
      <c r="N257" s="99">
        <f>'30-12'!$C$6</f>
        <v>2500</v>
      </c>
      <c r="O257" s="99">
        <f t="shared" si="50"/>
        <v>262.5</v>
      </c>
      <c r="P257" s="99">
        <f>'30-12'!$C$6+O257</f>
        <v>2762.5</v>
      </c>
      <c r="Q257" s="99"/>
      <c r="R257" s="99"/>
      <c r="S257" s="100"/>
      <c r="T257" s="101"/>
    </row>
    <row r="258" spans="2:20" x14ac:dyDescent="0.3">
      <c r="B258" s="98" t="s">
        <v>24</v>
      </c>
      <c r="C258" s="99">
        <v>15000</v>
      </c>
      <c r="D258" s="99">
        <f>'30-12'!$C$6</f>
        <v>2500</v>
      </c>
      <c r="E258" s="99">
        <f t="shared" si="49"/>
        <v>225</v>
      </c>
      <c r="F258" s="99">
        <f>'30-12'!$C$6+E258</f>
        <v>2725</v>
      </c>
      <c r="G258" s="99"/>
      <c r="H258" s="99"/>
      <c r="I258" s="100"/>
      <c r="J258" s="101"/>
      <c r="L258" s="98" t="s">
        <v>24</v>
      </c>
      <c r="M258" s="99">
        <v>15000</v>
      </c>
      <c r="N258" s="99">
        <f>'30-12'!$C$6</f>
        <v>2500</v>
      </c>
      <c r="O258" s="99">
        <f t="shared" si="50"/>
        <v>225</v>
      </c>
      <c r="P258" s="99">
        <f>'30-12'!$C$6+O258</f>
        <v>2725</v>
      </c>
      <c r="Q258" s="99"/>
      <c r="R258" s="99"/>
      <c r="S258" s="100"/>
      <c r="T258" s="101"/>
    </row>
    <row r="259" spans="2:20" x14ac:dyDescent="0.3">
      <c r="B259" s="98" t="s">
        <v>25</v>
      </c>
      <c r="C259" s="99">
        <v>12500</v>
      </c>
      <c r="D259" s="99">
        <f>'30-12'!$C$6</f>
        <v>2500</v>
      </c>
      <c r="E259" s="99">
        <f t="shared" si="49"/>
        <v>187.5</v>
      </c>
      <c r="F259" s="99">
        <f>'30-12'!$C$6+E259</f>
        <v>2687.5</v>
      </c>
      <c r="G259" s="99"/>
      <c r="H259" s="99"/>
      <c r="I259" s="100"/>
      <c r="J259" s="101"/>
      <c r="L259" s="98" t="s">
        <v>25</v>
      </c>
      <c r="M259" s="99">
        <v>12500</v>
      </c>
      <c r="N259" s="99">
        <f>'30-12'!$C$6</f>
        <v>2500</v>
      </c>
      <c r="O259" s="99">
        <f t="shared" si="50"/>
        <v>187.5</v>
      </c>
      <c r="P259" s="99">
        <f>'30-12'!$C$6+O259</f>
        <v>2687.5</v>
      </c>
      <c r="Q259" s="99"/>
      <c r="R259" s="99"/>
      <c r="S259" s="100"/>
      <c r="T259" s="101"/>
    </row>
    <row r="260" spans="2:20" x14ac:dyDescent="0.3">
      <c r="B260" s="98" t="s">
        <v>26</v>
      </c>
      <c r="C260" s="99">
        <v>10000</v>
      </c>
      <c r="D260" s="99">
        <f>'30-12'!$C$6</f>
        <v>2500</v>
      </c>
      <c r="E260" s="99">
        <f t="shared" si="49"/>
        <v>150</v>
      </c>
      <c r="F260" s="99">
        <f>'30-12'!$C$6+E260</f>
        <v>2650</v>
      </c>
      <c r="G260" s="99"/>
      <c r="H260" s="99"/>
      <c r="I260" s="100"/>
      <c r="J260" s="101"/>
      <c r="L260" s="98" t="s">
        <v>26</v>
      </c>
      <c r="M260" s="99">
        <v>10000</v>
      </c>
      <c r="N260" s="99">
        <f>'30-12'!$C$6</f>
        <v>2500</v>
      </c>
      <c r="O260" s="99">
        <f t="shared" si="50"/>
        <v>150</v>
      </c>
      <c r="P260" s="99">
        <f>'30-12'!$C$6+O260</f>
        <v>2650</v>
      </c>
      <c r="Q260" s="99"/>
      <c r="R260" s="99"/>
      <c r="S260" s="100"/>
      <c r="T260" s="101"/>
    </row>
    <row r="261" spans="2:20" x14ac:dyDescent="0.3">
      <c r="B261" s="98" t="s">
        <v>27</v>
      </c>
      <c r="C261" s="99">
        <v>7500</v>
      </c>
      <c r="D261" s="99">
        <f>'30-12'!$C$6</f>
        <v>2500</v>
      </c>
      <c r="E261" s="99">
        <f t="shared" si="49"/>
        <v>112.5</v>
      </c>
      <c r="F261" s="99">
        <f>'30-12'!$C$6+E261</f>
        <v>2612.5</v>
      </c>
      <c r="G261" s="99"/>
      <c r="H261" s="99"/>
      <c r="I261" s="100"/>
      <c r="J261" s="101"/>
      <c r="L261" s="98" t="s">
        <v>27</v>
      </c>
      <c r="M261" s="99">
        <v>7500</v>
      </c>
      <c r="N261" s="99">
        <f>'30-12'!$C$6</f>
        <v>2500</v>
      </c>
      <c r="O261" s="99">
        <f t="shared" si="50"/>
        <v>112.5</v>
      </c>
      <c r="P261" s="99">
        <f>'30-12'!$C$6+O261</f>
        <v>2612.5</v>
      </c>
      <c r="Q261" s="99"/>
      <c r="R261" s="99"/>
      <c r="S261" s="100"/>
      <c r="T261" s="101"/>
    </row>
    <row r="262" spans="2:20" x14ac:dyDescent="0.3">
      <c r="B262" s="98" t="s">
        <v>28</v>
      </c>
      <c r="C262" s="99">
        <v>5000</v>
      </c>
      <c r="D262" s="99">
        <f>'30-12'!$C$6</f>
        <v>2500</v>
      </c>
      <c r="E262" s="99">
        <f t="shared" si="49"/>
        <v>75</v>
      </c>
      <c r="F262" s="99">
        <f>'30-12'!$C$6+E262</f>
        <v>2575</v>
      </c>
      <c r="G262" s="99"/>
      <c r="H262" s="99"/>
      <c r="I262" s="100"/>
      <c r="J262" s="101"/>
      <c r="L262" s="98" t="s">
        <v>28</v>
      </c>
      <c r="M262" s="99">
        <v>5000</v>
      </c>
      <c r="N262" s="99">
        <f>'30-12'!$C$6</f>
        <v>2500</v>
      </c>
      <c r="O262" s="99">
        <f t="shared" si="50"/>
        <v>75</v>
      </c>
      <c r="P262" s="99">
        <f>'30-12'!$C$6+O262</f>
        <v>2575</v>
      </c>
      <c r="Q262" s="99"/>
      <c r="R262" s="99"/>
      <c r="S262" s="100"/>
      <c r="T262" s="101"/>
    </row>
    <row r="263" spans="2:20" x14ac:dyDescent="0.3">
      <c r="B263" s="98" t="s">
        <v>29</v>
      </c>
      <c r="C263" s="99">
        <v>2500</v>
      </c>
      <c r="D263" s="99">
        <f>'30-12'!$C$6</f>
        <v>2500</v>
      </c>
      <c r="E263" s="99">
        <f t="shared" si="49"/>
        <v>37.5</v>
      </c>
      <c r="F263" s="99">
        <f>'30-12'!$C$6+E263</f>
        <v>2537.5</v>
      </c>
      <c r="G263" s="99"/>
      <c r="H263" s="99"/>
      <c r="I263" s="100"/>
      <c r="J263" s="101" t="s">
        <v>42</v>
      </c>
      <c r="L263" s="98" t="s">
        <v>29</v>
      </c>
      <c r="M263" s="99">
        <v>2500</v>
      </c>
      <c r="N263" s="99">
        <f>'30-12'!$C$6</f>
        <v>2500</v>
      </c>
      <c r="O263" s="99">
        <f t="shared" si="50"/>
        <v>37.5</v>
      </c>
      <c r="P263" s="99">
        <f>'30-12'!$C$6+O263</f>
        <v>2537.5</v>
      </c>
      <c r="Q263" s="99"/>
      <c r="R263" s="99"/>
      <c r="S263" s="100"/>
      <c r="T263" s="101" t="s">
        <v>42</v>
      </c>
    </row>
    <row r="266" spans="2:20" x14ac:dyDescent="0.3">
      <c r="B266" s="77" t="s">
        <v>0</v>
      </c>
      <c r="C266" s="77" t="s">
        <v>178</v>
      </c>
      <c r="D266" s="112"/>
      <c r="E266" s="112"/>
      <c r="F266" s="79"/>
      <c r="G266" s="80"/>
      <c r="I266" s="81" t="s">
        <v>1</v>
      </c>
      <c r="J266" s="82">
        <v>40000</v>
      </c>
      <c r="L266" s="77" t="s">
        <v>0</v>
      </c>
      <c r="M266" s="77" t="s">
        <v>178</v>
      </c>
      <c r="N266" s="112"/>
      <c r="O266" s="112"/>
      <c r="P266" s="79"/>
      <c r="Q266" s="80"/>
      <c r="S266" s="81" t="s">
        <v>1</v>
      </c>
      <c r="T266" s="82">
        <v>40000</v>
      </c>
    </row>
    <row r="267" spans="2:20" x14ac:dyDescent="0.3">
      <c r="B267" s="77" t="s">
        <v>2</v>
      </c>
      <c r="C267" s="83"/>
      <c r="D267" s="79"/>
      <c r="E267" s="83"/>
      <c r="F267" s="81"/>
      <c r="G267" s="81"/>
      <c r="I267" s="81" t="s">
        <v>3</v>
      </c>
      <c r="J267" s="85" t="s">
        <v>181</v>
      </c>
      <c r="L267" s="77" t="s">
        <v>2</v>
      </c>
      <c r="M267" s="83"/>
      <c r="N267" s="79"/>
      <c r="O267" s="83"/>
      <c r="P267" s="81"/>
      <c r="Q267" s="81"/>
      <c r="S267" s="81" t="s">
        <v>3</v>
      </c>
      <c r="T267" s="85" t="s">
        <v>181</v>
      </c>
    </row>
    <row r="268" spans="2:20" x14ac:dyDescent="0.3">
      <c r="B268" s="77" t="s">
        <v>4</v>
      </c>
      <c r="C268" s="78"/>
      <c r="D268" s="79"/>
      <c r="E268" s="78"/>
      <c r="F268" s="81"/>
      <c r="G268" s="81"/>
      <c r="I268" s="81" t="s">
        <v>5</v>
      </c>
      <c r="J268" s="86">
        <v>1.4999999999999999E-2</v>
      </c>
      <c r="L268" s="77" t="s">
        <v>4</v>
      </c>
      <c r="M268" s="78"/>
      <c r="N268" s="79"/>
      <c r="O268" s="78"/>
      <c r="P268" s="81"/>
      <c r="Q268" s="81"/>
      <c r="S268" s="81" t="s">
        <v>5</v>
      </c>
      <c r="T268" s="86">
        <v>1.4999999999999999E-2</v>
      </c>
    </row>
    <row r="269" spans="2:20" ht="15" thickBot="1" x14ac:dyDescent="0.35">
      <c r="B269" s="77" t="s">
        <v>6</v>
      </c>
      <c r="C269" s="87"/>
      <c r="D269" s="87"/>
      <c r="E269" s="88"/>
      <c r="F269" s="88"/>
      <c r="G269" s="88"/>
      <c r="I269" s="88" t="s">
        <v>7</v>
      </c>
      <c r="J269" s="78">
        <v>12</v>
      </c>
      <c r="L269" s="77" t="s">
        <v>6</v>
      </c>
      <c r="M269" s="87"/>
      <c r="N269" s="87"/>
      <c r="O269" s="88"/>
      <c r="P269" s="88"/>
      <c r="Q269" s="88"/>
      <c r="S269" s="88" t="s">
        <v>7</v>
      </c>
      <c r="T269" s="78">
        <v>12</v>
      </c>
    </row>
    <row r="270" spans="2:20" ht="41.4" thickBot="1" x14ac:dyDescent="0.35">
      <c r="B270" s="89" t="s">
        <v>8</v>
      </c>
      <c r="C270" s="89" t="s">
        <v>9</v>
      </c>
      <c r="D270" s="89" t="s">
        <v>10</v>
      </c>
      <c r="E270" s="90" t="s">
        <v>11</v>
      </c>
      <c r="F270" s="91" t="s">
        <v>12</v>
      </c>
      <c r="G270" s="92" t="s">
        <v>13</v>
      </c>
      <c r="H270" s="92" t="s">
        <v>14</v>
      </c>
      <c r="I270" s="92" t="s">
        <v>15</v>
      </c>
      <c r="J270" s="93" t="s">
        <v>16</v>
      </c>
      <c r="L270" s="89" t="s">
        <v>8</v>
      </c>
      <c r="M270" s="89" t="s">
        <v>9</v>
      </c>
      <c r="N270" s="89" t="s">
        <v>10</v>
      </c>
      <c r="O270" s="90" t="s">
        <v>11</v>
      </c>
      <c r="P270" s="91" t="s">
        <v>12</v>
      </c>
      <c r="Q270" s="92" t="s">
        <v>13</v>
      </c>
      <c r="R270" s="92" t="s">
        <v>14</v>
      </c>
      <c r="S270" s="92" t="s">
        <v>15</v>
      </c>
      <c r="T270" s="93" t="s">
        <v>16</v>
      </c>
    </row>
    <row r="271" spans="2:20" x14ac:dyDescent="0.3">
      <c r="B271" s="94" t="s">
        <v>17</v>
      </c>
      <c r="C271" s="95">
        <f>J266</f>
        <v>40000</v>
      </c>
      <c r="D271" s="95">
        <f>J266/J269</f>
        <v>3333.3333333333335</v>
      </c>
      <c r="E271" s="95">
        <f>(C271*0.015)</f>
        <v>600</v>
      </c>
      <c r="F271" s="95">
        <f t="shared" ref="F271:F282" si="51">SUM(D271:E271)</f>
        <v>3933.3333333333335</v>
      </c>
      <c r="G271" s="95"/>
      <c r="H271" s="95"/>
      <c r="I271" s="96"/>
      <c r="J271" s="97"/>
      <c r="L271" s="94" t="s">
        <v>17</v>
      </c>
      <c r="M271" s="95">
        <f>T266</f>
        <v>40000</v>
      </c>
      <c r="N271" s="95">
        <f>T266/T269</f>
        <v>3333.3333333333335</v>
      </c>
      <c r="O271" s="95">
        <f>(M271*0.015)</f>
        <v>600</v>
      </c>
      <c r="P271" s="95">
        <f t="shared" ref="P271:P282" si="52">SUM(N271:O271)</f>
        <v>3933.3333333333335</v>
      </c>
      <c r="Q271" s="95"/>
      <c r="R271" s="95"/>
      <c r="S271" s="96"/>
      <c r="T271" s="97"/>
    </row>
    <row r="272" spans="2:20" x14ac:dyDescent="0.3">
      <c r="B272" s="98" t="s">
        <v>18</v>
      </c>
      <c r="C272" s="99">
        <v>36663</v>
      </c>
      <c r="D272" s="99">
        <v>3333</v>
      </c>
      <c r="E272" s="99">
        <f>(C272*0.015)</f>
        <v>549.94499999999994</v>
      </c>
      <c r="F272" s="99">
        <f t="shared" si="51"/>
        <v>3882.9449999999997</v>
      </c>
      <c r="G272" s="99"/>
      <c r="H272" s="99"/>
      <c r="I272" s="100"/>
      <c r="J272" s="101"/>
      <c r="L272" s="98" t="s">
        <v>18</v>
      </c>
      <c r="M272" s="99">
        <v>36663</v>
      </c>
      <c r="N272" s="99">
        <v>3333</v>
      </c>
      <c r="O272" s="99">
        <f>(M272*0.015)</f>
        <v>549.94499999999994</v>
      </c>
      <c r="P272" s="99">
        <f t="shared" si="52"/>
        <v>3882.9449999999997</v>
      </c>
      <c r="Q272" s="99"/>
      <c r="R272" s="99"/>
      <c r="S272" s="100"/>
      <c r="T272" s="101"/>
    </row>
    <row r="273" spans="2:20" x14ac:dyDescent="0.3">
      <c r="B273" s="98" t="s">
        <v>19</v>
      </c>
      <c r="C273" s="99">
        <v>33330</v>
      </c>
      <c r="D273" s="99">
        <v>3333</v>
      </c>
      <c r="E273" s="99">
        <v>500</v>
      </c>
      <c r="F273" s="99">
        <f t="shared" si="51"/>
        <v>3833</v>
      </c>
      <c r="G273" s="99"/>
      <c r="H273" s="99"/>
      <c r="I273" s="100"/>
      <c r="J273" s="101"/>
      <c r="L273" s="98" t="s">
        <v>19</v>
      </c>
      <c r="M273" s="99">
        <v>33330</v>
      </c>
      <c r="N273" s="99">
        <v>3333</v>
      </c>
      <c r="O273" s="99">
        <v>500</v>
      </c>
      <c r="P273" s="99">
        <f t="shared" si="52"/>
        <v>3833</v>
      </c>
      <c r="Q273" s="99"/>
      <c r="R273" s="99"/>
      <c r="S273" s="100"/>
      <c r="T273" s="101"/>
    </row>
    <row r="274" spans="2:20" x14ac:dyDescent="0.3">
      <c r="B274" s="98" t="s">
        <v>20</v>
      </c>
      <c r="C274" s="99">
        <v>29997</v>
      </c>
      <c r="D274" s="99">
        <v>3333</v>
      </c>
      <c r="E274" s="99">
        <f t="shared" ref="E274:E282" si="53">(C274*0.015)</f>
        <v>449.95499999999998</v>
      </c>
      <c r="F274" s="99">
        <f t="shared" si="51"/>
        <v>3782.9549999999999</v>
      </c>
      <c r="G274" s="99"/>
      <c r="H274" s="99"/>
      <c r="I274" s="100"/>
      <c r="J274" s="101"/>
      <c r="L274" s="98" t="s">
        <v>20</v>
      </c>
      <c r="M274" s="99">
        <v>29997</v>
      </c>
      <c r="N274" s="99">
        <v>3333</v>
      </c>
      <c r="O274" s="99">
        <f t="shared" ref="O274:O282" si="54">(M274*0.015)</f>
        <v>449.95499999999998</v>
      </c>
      <c r="P274" s="99">
        <f t="shared" si="52"/>
        <v>3782.9549999999999</v>
      </c>
      <c r="Q274" s="99"/>
      <c r="R274" s="99"/>
      <c r="S274" s="100"/>
      <c r="T274" s="101"/>
    </row>
    <row r="275" spans="2:20" x14ac:dyDescent="0.3">
      <c r="B275" s="98" t="s">
        <v>21</v>
      </c>
      <c r="C275" s="99">
        <v>26664</v>
      </c>
      <c r="D275" s="99">
        <v>3333</v>
      </c>
      <c r="E275" s="99">
        <f t="shared" si="53"/>
        <v>399.96</v>
      </c>
      <c r="F275" s="99">
        <f t="shared" si="51"/>
        <v>3732.96</v>
      </c>
      <c r="G275" s="99"/>
      <c r="H275" s="99"/>
      <c r="I275" s="100"/>
      <c r="J275" s="101"/>
      <c r="L275" s="98" t="s">
        <v>21</v>
      </c>
      <c r="M275" s="99">
        <v>26664</v>
      </c>
      <c r="N275" s="99">
        <v>3333</v>
      </c>
      <c r="O275" s="99">
        <f t="shared" si="54"/>
        <v>399.96</v>
      </c>
      <c r="P275" s="99">
        <f t="shared" si="52"/>
        <v>3732.96</v>
      </c>
      <c r="Q275" s="99"/>
      <c r="R275" s="99"/>
      <c r="S275" s="100"/>
      <c r="T275" s="101"/>
    </row>
    <row r="276" spans="2:20" x14ac:dyDescent="0.3">
      <c r="B276" s="98" t="s">
        <v>23</v>
      </c>
      <c r="C276" s="99">
        <v>23331</v>
      </c>
      <c r="D276" s="99">
        <v>3333</v>
      </c>
      <c r="E276" s="99">
        <f t="shared" si="53"/>
        <v>349.96499999999997</v>
      </c>
      <c r="F276" s="99">
        <f t="shared" si="51"/>
        <v>3682.9650000000001</v>
      </c>
      <c r="G276" s="99"/>
      <c r="H276" s="99"/>
      <c r="I276" s="100"/>
      <c r="J276" s="101"/>
      <c r="L276" s="98" t="s">
        <v>23</v>
      </c>
      <c r="M276" s="99">
        <v>23331</v>
      </c>
      <c r="N276" s="99">
        <v>3333</v>
      </c>
      <c r="O276" s="99">
        <f t="shared" si="54"/>
        <v>349.96499999999997</v>
      </c>
      <c r="P276" s="99">
        <f t="shared" si="52"/>
        <v>3682.9650000000001</v>
      </c>
      <c r="Q276" s="99"/>
      <c r="R276" s="99"/>
      <c r="S276" s="100"/>
      <c r="T276" s="101"/>
    </row>
    <row r="277" spans="2:20" x14ac:dyDescent="0.3">
      <c r="B277" s="98" t="s">
        <v>24</v>
      </c>
      <c r="C277" s="99">
        <v>19998</v>
      </c>
      <c r="D277" s="99">
        <v>3333</v>
      </c>
      <c r="E277" s="99">
        <f t="shared" si="53"/>
        <v>299.96999999999997</v>
      </c>
      <c r="F277" s="99">
        <f t="shared" si="51"/>
        <v>3632.97</v>
      </c>
      <c r="G277" s="99"/>
      <c r="H277" s="99"/>
      <c r="I277" s="100"/>
      <c r="J277" s="101"/>
      <c r="L277" s="98" t="s">
        <v>24</v>
      </c>
      <c r="M277" s="99">
        <v>19998</v>
      </c>
      <c r="N277" s="99">
        <v>3333</v>
      </c>
      <c r="O277" s="99">
        <f t="shared" si="54"/>
        <v>299.96999999999997</v>
      </c>
      <c r="P277" s="99">
        <f t="shared" si="52"/>
        <v>3632.97</v>
      </c>
      <c r="Q277" s="99"/>
      <c r="R277" s="99"/>
      <c r="S277" s="100"/>
      <c r="T277" s="101"/>
    </row>
    <row r="278" spans="2:20" x14ac:dyDescent="0.3">
      <c r="B278" s="98" t="s">
        <v>25</v>
      </c>
      <c r="C278" s="99">
        <v>16665</v>
      </c>
      <c r="D278" s="99">
        <v>3333</v>
      </c>
      <c r="E278" s="99">
        <f t="shared" si="53"/>
        <v>249.97499999999999</v>
      </c>
      <c r="F278" s="99">
        <f t="shared" si="51"/>
        <v>3582.9749999999999</v>
      </c>
      <c r="G278" s="99"/>
      <c r="H278" s="99"/>
      <c r="I278" s="100"/>
      <c r="J278" s="101"/>
      <c r="L278" s="98" t="s">
        <v>25</v>
      </c>
      <c r="M278" s="99">
        <v>16665</v>
      </c>
      <c r="N278" s="99">
        <v>3333</v>
      </c>
      <c r="O278" s="99">
        <f t="shared" si="54"/>
        <v>249.97499999999999</v>
      </c>
      <c r="P278" s="99">
        <f t="shared" si="52"/>
        <v>3582.9749999999999</v>
      </c>
      <c r="Q278" s="99"/>
      <c r="R278" s="99"/>
      <c r="S278" s="100"/>
      <c r="T278" s="101"/>
    </row>
    <row r="279" spans="2:20" x14ac:dyDescent="0.3">
      <c r="B279" s="98" t="s">
        <v>26</v>
      </c>
      <c r="C279" s="99">
        <v>13332</v>
      </c>
      <c r="D279" s="99">
        <v>3333</v>
      </c>
      <c r="E279" s="99">
        <f t="shared" si="53"/>
        <v>199.98</v>
      </c>
      <c r="F279" s="99">
        <f t="shared" si="51"/>
        <v>3532.98</v>
      </c>
      <c r="G279" s="99"/>
      <c r="H279" s="99"/>
      <c r="I279" s="100"/>
      <c r="J279" s="101"/>
      <c r="L279" s="98" t="s">
        <v>26</v>
      </c>
      <c r="M279" s="99">
        <v>13332</v>
      </c>
      <c r="N279" s="99">
        <v>3333</v>
      </c>
      <c r="O279" s="99">
        <f t="shared" si="54"/>
        <v>199.98</v>
      </c>
      <c r="P279" s="99">
        <f t="shared" si="52"/>
        <v>3532.98</v>
      </c>
      <c r="Q279" s="99"/>
      <c r="R279" s="99"/>
      <c r="S279" s="100"/>
      <c r="T279" s="101"/>
    </row>
    <row r="280" spans="2:20" x14ac:dyDescent="0.3">
      <c r="B280" s="98" t="s">
        <v>27</v>
      </c>
      <c r="C280" s="99">
        <v>9999</v>
      </c>
      <c r="D280" s="99">
        <v>3333</v>
      </c>
      <c r="E280" s="99">
        <f t="shared" si="53"/>
        <v>149.98499999999999</v>
      </c>
      <c r="F280" s="99">
        <f t="shared" si="51"/>
        <v>3482.9850000000001</v>
      </c>
      <c r="G280" s="99"/>
      <c r="H280" s="99"/>
      <c r="I280" s="100"/>
      <c r="J280" s="101"/>
      <c r="L280" s="98" t="s">
        <v>27</v>
      </c>
      <c r="M280" s="99">
        <v>9999</v>
      </c>
      <c r="N280" s="99">
        <v>3333</v>
      </c>
      <c r="O280" s="99">
        <f t="shared" si="54"/>
        <v>149.98499999999999</v>
      </c>
      <c r="P280" s="99">
        <f t="shared" si="52"/>
        <v>3482.9850000000001</v>
      </c>
      <c r="Q280" s="99"/>
      <c r="R280" s="99"/>
      <c r="S280" s="100"/>
      <c r="T280" s="101"/>
    </row>
    <row r="281" spans="2:20" x14ac:dyDescent="0.3">
      <c r="B281" s="98" t="s">
        <v>28</v>
      </c>
      <c r="C281" s="99">
        <v>6666</v>
      </c>
      <c r="D281" s="99">
        <v>3333</v>
      </c>
      <c r="E281" s="99">
        <f t="shared" si="53"/>
        <v>99.99</v>
      </c>
      <c r="F281" s="99">
        <f t="shared" si="51"/>
        <v>3432.99</v>
      </c>
      <c r="G281" s="99"/>
      <c r="H281" s="99"/>
      <c r="I281" s="100"/>
      <c r="J281" s="101"/>
      <c r="L281" s="98" t="s">
        <v>28</v>
      </c>
      <c r="M281" s="99">
        <v>6666</v>
      </c>
      <c r="N281" s="99">
        <v>3333</v>
      </c>
      <c r="O281" s="99">
        <f t="shared" si="54"/>
        <v>99.99</v>
      </c>
      <c r="P281" s="99">
        <f t="shared" si="52"/>
        <v>3432.99</v>
      </c>
      <c r="Q281" s="99"/>
      <c r="R281" s="99"/>
      <c r="S281" s="100"/>
      <c r="T281" s="101"/>
    </row>
    <row r="282" spans="2:20" x14ac:dyDescent="0.3">
      <c r="B282" s="98" t="s">
        <v>29</v>
      </c>
      <c r="C282" s="99">
        <v>3333</v>
      </c>
      <c r="D282" s="99">
        <v>3333</v>
      </c>
      <c r="E282" s="99">
        <f t="shared" si="53"/>
        <v>49.994999999999997</v>
      </c>
      <c r="F282" s="99">
        <f t="shared" si="51"/>
        <v>3382.9949999999999</v>
      </c>
      <c r="G282" s="99"/>
      <c r="H282" s="99"/>
      <c r="I282" s="100"/>
      <c r="J282" s="101" t="s">
        <v>42</v>
      </c>
      <c r="L282" s="98" t="s">
        <v>29</v>
      </c>
      <c r="M282" s="99">
        <v>3333</v>
      </c>
      <c r="N282" s="99">
        <v>3333</v>
      </c>
      <c r="O282" s="99">
        <f t="shared" si="54"/>
        <v>49.994999999999997</v>
      </c>
      <c r="P282" s="99">
        <f t="shared" si="52"/>
        <v>3382.9949999999999</v>
      </c>
      <c r="Q282" s="99"/>
      <c r="R282" s="99"/>
      <c r="S282" s="100"/>
      <c r="T282" s="101" t="s">
        <v>42</v>
      </c>
    </row>
    <row r="285" spans="2:20" x14ac:dyDescent="0.3">
      <c r="B285" s="77" t="s">
        <v>0</v>
      </c>
      <c r="C285" s="229" t="s">
        <v>319</v>
      </c>
      <c r="D285" s="230"/>
      <c r="E285" s="230"/>
      <c r="F285" s="79"/>
      <c r="G285" s="80"/>
      <c r="H285" s="231" t="s">
        <v>1</v>
      </c>
      <c r="I285" s="231"/>
      <c r="J285" s="82">
        <v>50000</v>
      </c>
      <c r="L285" s="77" t="s">
        <v>0</v>
      </c>
      <c r="M285" s="229" t="s">
        <v>319</v>
      </c>
      <c r="N285" s="230"/>
      <c r="O285" s="230"/>
      <c r="P285" s="79"/>
      <c r="Q285" s="80"/>
      <c r="R285" s="231" t="s">
        <v>1</v>
      </c>
      <c r="S285" s="231"/>
      <c r="T285" s="82">
        <v>50000</v>
      </c>
    </row>
    <row r="286" spans="2:20" x14ac:dyDescent="0.3">
      <c r="B286" s="77" t="s">
        <v>2</v>
      </c>
      <c r="C286" s="83"/>
      <c r="D286" s="79"/>
      <c r="E286" s="83"/>
      <c r="F286" s="81"/>
      <c r="G286" s="81"/>
      <c r="H286" s="84"/>
      <c r="I286" s="81" t="s">
        <v>3</v>
      </c>
      <c r="J286" s="113" t="s">
        <v>318</v>
      </c>
      <c r="L286" s="77" t="s">
        <v>2</v>
      </c>
      <c r="M286" s="83"/>
      <c r="N286" s="79"/>
      <c r="O286" s="83"/>
      <c r="P286" s="81"/>
      <c r="Q286" s="81"/>
      <c r="R286" s="84"/>
      <c r="S286" s="81" t="s">
        <v>3</v>
      </c>
      <c r="T286" s="113" t="s">
        <v>318</v>
      </c>
    </row>
    <row r="287" spans="2:20" x14ac:dyDescent="0.3">
      <c r="B287" s="77" t="s">
        <v>4</v>
      </c>
      <c r="C287" s="78"/>
      <c r="D287" s="79"/>
      <c r="E287" s="78"/>
      <c r="F287" s="231" t="s">
        <v>5</v>
      </c>
      <c r="G287" s="231"/>
      <c r="H287" s="231"/>
      <c r="I287" s="231"/>
      <c r="J287" s="86">
        <v>1.4999999999999999E-2</v>
      </c>
      <c r="L287" s="77" t="s">
        <v>4</v>
      </c>
      <c r="M287" s="78"/>
      <c r="N287" s="79"/>
      <c r="O287" s="78"/>
      <c r="P287" s="231" t="s">
        <v>5</v>
      </c>
      <c r="Q287" s="231"/>
      <c r="R287" s="231"/>
      <c r="S287" s="231"/>
      <c r="T287" s="86">
        <v>1.4999999999999999E-2</v>
      </c>
    </row>
    <row r="288" spans="2:20" ht="15" thickBot="1" x14ac:dyDescent="0.35">
      <c r="B288" s="77" t="s">
        <v>6</v>
      </c>
      <c r="C288" s="232"/>
      <c r="D288" s="232"/>
      <c r="E288" s="233" t="s">
        <v>7</v>
      </c>
      <c r="F288" s="233"/>
      <c r="G288" s="233"/>
      <c r="H288" s="233"/>
      <c r="I288" s="233"/>
      <c r="J288" s="78">
        <v>12</v>
      </c>
      <c r="L288" s="77" t="s">
        <v>6</v>
      </c>
      <c r="M288" s="232"/>
      <c r="N288" s="232"/>
      <c r="O288" s="233" t="s">
        <v>7</v>
      </c>
      <c r="P288" s="233"/>
      <c r="Q288" s="233"/>
      <c r="R288" s="233"/>
      <c r="S288" s="233"/>
      <c r="T288" s="78">
        <v>12</v>
      </c>
    </row>
    <row r="289" spans="1:20" ht="41.4" thickBot="1" x14ac:dyDescent="0.35">
      <c r="B289" s="89" t="s">
        <v>8</v>
      </c>
      <c r="C289" s="89" t="s">
        <v>9</v>
      </c>
      <c r="D289" s="89" t="s">
        <v>10</v>
      </c>
      <c r="E289" s="90" t="s">
        <v>11</v>
      </c>
      <c r="F289" s="91" t="s">
        <v>12</v>
      </c>
      <c r="G289" s="92" t="s">
        <v>13</v>
      </c>
      <c r="H289" s="92" t="s">
        <v>14</v>
      </c>
      <c r="I289" s="92" t="s">
        <v>15</v>
      </c>
      <c r="J289" s="93" t="s">
        <v>16</v>
      </c>
      <c r="L289" s="89" t="s">
        <v>8</v>
      </c>
      <c r="M289" s="89" t="s">
        <v>9</v>
      </c>
      <c r="N289" s="89" t="s">
        <v>10</v>
      </c>
      <c r="O289" s="90" t="s">
        <v>11</v>
      </c>
      <c r="P289" s="91" t="s">
        <v>12</v>
      </c>
      <c r="Q289" s="92" t="s">
        <v>13</v>
      </c>
      <c r="R289" s="92" t="s">
        <v>14</v>
      </c>
      <c r="S289" s="92" t="s">
        <v>15</v>
      </c>
      <c r="T289" s="93" t="s">
        <v>16</v>
      </c>
    </row>
    <row r="290" spans="1:20" x14ac:dyDescent="0.3">
      <c r="A290" s="40"/>
      <c r="B290" s="94" t="s">
        <v>17</v>
      </c>
      <c r="C290" s="95">
        <f>J285</f>
        <v>50000</v>
      </c>
      <c r="D290" s="95">
        <f>J285/J288</f>
        <v>4166.666666666667</v>
      </c>
      <c r="E290" s="95">
        <f>(C290*0.015)</f>
        <v>750</v>
      </c>
      <c r="F290" s="95">
        <f t="shared" ref="F290:F301" si="55">SUM(D290:E290)</f>
        <v>4916.666666666667</v>
      </c>
      <c r="G290" s="95"/>
      <c r="H290" s="95"/>
      <c r="I290" s="96"/>
      <c r="J290" s="97"/>
      <c r="K290" s="40"/>
      <c r="L290" s="94" t="s">
        <v>17</v>
      </c>
      <c r="M290" s="95">
        <f>T285</f>
        <v>50000</v>
      </c>
      <c r="N290" s="95">
        <f>T285/T288</f>
        <v>4166.666666666667</v>
      </c>
      <c r="O290" s="95">
        <f>(M290*0.015)</f>
        <v>750</v>
      </c>
      <c r="P290" s="95">
        <f t="shared" ref="P290:P301" si="56">SUM(N290:O290)</f>
        <v>4916.666666666667</v>
      </c>
      <c r="Q290" s="95"/>
      <c r="R290" s="95"/>
      <c r="S290" s="96"/>
      <c r="T290" s="97"/>
    </row>
    <row r="291" spans="1:20" x14ac:dyDescent="0.3">
      <c r="A291" s="40"/>
      <c r="B291" s="98" t="s">
        <v>18</v>
      </c>
      <c r="C291" s="99">
        <v>45837</v>
      </c>
      <c r="D291" s="99">
        <v>4167</v>
      </c>
      <c r="E291" s="99">
        <f t="shared" ref="E291:E301" si="57">(C291*0.015)</f>
        <v>687.55499999999995</v>
      </c>
      <c r="F291" s="99">
        <f t="shared" si="55"/>
        <v>4854.5550000000003</v>
      </c>
      <c r="G291" s="99"/>
      <c r="H291" s="99"/>
      <c r="I291" s="100"/>
      <c r="J291" s="101"/>
      <c r="K291" s="40"/>
      <c r="L291" s="98" t="s">
        <v>18</v>
      </c>
      <c r="M291" s="99">
        <v>45837</v>
      </c>
      <c r="N291" s="99">
        <v>4167</v>
      </c>
      <c r="O291" s="99">
        <f t="shared" ref="O291:O301" si="58">(M291*0.015)</f>
        <v>687.55499999999995</v>
      </c>
      <c r="P291" s="99">
        <f t="shared" si="56"/>
        <v>4854.5550000000003</v>
      </c>
      <c r="Q291" s="99"/>
      <c r="R291" s="99"/>
      <c r="S291" s="100"/>
      <c r="T291" s="101"/>
    </row>
    <row r="292" spans="1:20" x14ac:dyDescent="0.3">
      <c r="A292" s="40"/>
      <c r="B292" s="98" t="s">
        <v>19</v>
      </c>
      <c r="C292" s="99">
        <v>41670</v>
      </c>
      <c r="D292" s="99">
        <v>4167</v>
      </c>
      <c r="E292" s="99">
        <f t="shared" si="57"/>
        <v>625.04999999999995</v>
      </c>
      <c r="F292" s="99">
        <f t="shared" si="55"/>
        <v>4792.05</v>
      </c>
      <c r="G292" s="99"/>
      <c r="H292" s="99"/>
      <c r="I292" s="100"/>
      <c r="J292" s="101"/>
      <c r="K292" s="40"/>
      <c r="L292" s="98" t="s">
        <v>19</v>
      </c>
      <c r="M292" s="99">
        <v>41670</v>
      </c>
      <c r="N292" s="99">
        <v>4167</v>
      </c>
      <c r="O292" s="99">
        <f t="shared" si="58"/>
        <v>625.04999999999995</v>
      </c>
      <c r="P292" s="99">
        <f t="shared" si="56"/>
        <v>4792.05</v>
      </c>
      <c r="Q292" s="99"/>
      <c r="R292" s="99"/>
      <c r="S292" s="100"/>
      <c r="T292" s="101"/>
    </row>
    <row r="293" spans="1:20" x14ac:dyDescent="0.3">
      <c r="A293" s="40"/>
      <c r="B293" s="98" t="s">
        <v>20</v>
      </c>
      <c r="C293" s="99">
        <v>37503</v>
      </c>
      <c r="D293" s="99">
        <v>4167</v>
      </c>
      <c r="E293" s="99">
        <f t="shared" si="57"/>
        <v>562.54499999999996</v>
      </c>
      <c r="F293" s="99">
        <f t="shared" si="55"/>
        <v>4729.5450000000001</v>
      </c>
      <c r="G293" s="99"/>
      <c r="H293" s="99"/>
      <c r="I293" s="100"/>
      <c r="J293" s="101"/>
      <c r="K293" s="40"/>
      <c r="L293" s="98" t="s">
        <v>20</v>
      </c>
      <c r="M293" s="99">
        <v>37503</v>
      </c>
      <c r="N293" s="99">
        <v>4167</v>
      </c>
      <c r="O293" s="99">
        <f t="shared" si="58"/>
        <v>562.54499999999996</v>
      </c>
      <c r="P293" s="99">
        <f t="shared" si="56"/>
        <v>4729.5450000000001</v>
      </c>
      <c r="Q293" s="99"/>
      <c r="R293" s="99"/>
      <c r="S293" s="100"/>
      <c r="T293" s="101"/>
    </row>
    <row r="294" spans="1:20" x14ac:dyDescent="0.3">
      <c r="A294" s="44"/>
      <c r="B294" s="98" t="s">
        <v>21</v>
      </c>
      <c r="C294" s="99">
        <v>33336</v>
      </c>
      <c r="D294" s="99">
        <v>4167</v>
      </c>
      <c r="E294" s="99">
        <f t="shared" si="57"/>
        <v>500.03999999999996</v>
      </c>
      <c r="F294" s="99">
        <f t="shared" si="55"/>
        <v>4667.04</v>
      </c>
      <c r="G294" s="99"/>
      <c r="H294" s="99"/>
      <c r="I294" s="100"/>
      <c r="J294" s="101"/>
      <c r="K294" s="44"/>
      <c r="L294" s="98" t="s">
        <v>21</v>
      </c>
      <c r="M294" s="99">
        <v>33336</v>
      </c>
      <c r="N294" s="99">
        <v>4167</v>
      </c>
      <c r="O294" s="99">
        <f t="shared" si="58"/>
        <v>500.03999999999996</v>
      </c>
      <c r="P294" s="99">
        <f t="shared" si="56"/>
        <v>4667.04</v>
      </c>
      <c r="Q294" s="99"/>
      <c r="R294" s="99"/>
      <c r="S294" s="100"/>
      <c r="T294" s="101"/>
    </row>
    <row r="295" spans="1:20" x14ac:dyDescent="0.3">
      <c r="A295" s="1"/>
      <c r="B295" s="98" t="s">
        <v>23</v>
      </c>
      <c r="C295" s="99">
        <v>29169</v>
      </c>
      <c r="D295" s="99">
        <v>4167</v>
      </c>
      <c r="E295" s="99">
        <f t="shared" si="57"/>
        <v>437.53499999999997</v>
      </c>
      <c r="F295" s="99">
        <f t="shared" si="55"/>
        <v>4604.5349999999999</v>
      </c>
      <c r="G295" s="99"/>
      <c r="H295" s="99"/>
      <c r="I295" s="100"/>
      <c r="J295" s="101"/>
      <c r="K295" s="1"/>
      <c r="L295" s="98" t="s">
        <v>23</v>
      </c>
      <c r="M295" s="99">
        <v>29169</v>
      </c>
      <c r="N295" s="99">
        <v>4167</v>
      </c>
      <c r="O295" s="99">
        <f t="shared" si="58"/>
        <v>437.53499999999997</v>
      </c>
      <c r="P295" s="99">
        <f t="shared" si="56"/>
        <v>4604.5349999999999</v>
      </c>
      <c r="Q295" s="99"/>
      <c r="R295" s="99"/>
      <c r="S295" s="100"/>
      <c r="T295" s="101"/>
    </row>
    <row r="296" spans="1:20" x14ac:dyDescent="0.3">
      <c r="A296" s="1"/>
      <c r="B296" s="98" t="s">
        <v>24</v>
      </c>
      <c r="C296" s="99">
        <v>25002</v>
      </c>
      <c r="D296" s="99">
        <v>4167</v>
      </c>
      <c r="E296" s="99">
        <f t="shared" si="57"/>
        <v>375.03</v>
      </c>
      <c r="F296" s="99">
        <f t="shared" si="55"/>
        <v>4542.03</v>
      </c>
      <c r="G296" s="99"/>
      <c r="H296" s="99"/>
      <c r="I296" s="100"/>
      <c r="J296" s="101"/>
      <c r="K296" s="1"/>
      <c r="L296" s="98" t="s">
        <v>24</v>
      </c>
      <c r="M296" s="99">
        <v>25002</v>
      </c>
      <c r="N296" s="99">
        <v>4167</v>
      </c>
      <c r="O296" s="99">
        <f t="shared" si="58"/>
        <v>375.03</v>
      </c>
      <c r="P296" s="99">
        <f t="shared" si="56"/>
        <v>4542.03</v>
      </c>
      <c r="Q296" s="99"/>
      <c r="R296" s="99"/>
      <c r="S296" s="100"/>
      <c r="T296" s="101"/>
    </row>
    <row r="297" spans="1:20" x14ac:dyDescent="0.3">
      <c r="A297" s="1"/>
      <c r="B297" s="98" t="s">
        <v>25</v>
      </c>
      <c r="C297" s="99">
        <v>20835</v>
      </c>
      <c r="D297" s="99">
        <v>4167</v>
      </c>
      <c r="E297" s="99">
        <f t="shared" si="57"/>
        <v>312.52499999999998</v>
      </c>
      <c r="F297" s="99">
        <f t="shared" si="55"/>
        <v>4479.5249999999996</v>
      </c>
      <c r="G297" s="99"/>
      <c r="H297" s="99"/>
      <c r="I297" s="100"/>
      <c r="J297" s="101"/>
      <c r="K297" s="1"/>
      <c r="L297" s="98" t="s">
        <v>25</v>
      </c>
      <c r="M297" s="99">
        <v>20835</v>
      </c>
      <c r="N297" s="99">
        <v>4167</v>
      </c>
      <c r="O297" s="99">
        <f t="shared" si="58"/>
        <v>312.52499999999998</v>
      </c>
      <c r="P297" s="99">
        <f t="shared" si="56"/>
        <v>4479.5249999999996</v>
      </c>
      <c r="Q297" s="99"/>
      <c r="R297" s="99"/>
      <c r="S297" s="100"/>
      <c r="T297" s="101"/>
    </row>
    <row r="298" spans="1:20" x14ac:dyDescent="0.3">
      <c r="A298" s="1"/>
      <c r="B298" s="98" t="s">
        <v>26</v>
      </c>
      <c r="C298" s="99">
        <v>16668</v>
      </c>
      <c r="D298" s="99">
        <v>4167</v>
      </c>
      <c r="E298" s="99">
        <f t="shared" si="57"/>
        <v>250.01999999999998</v>
      </c>
      <c r="F298" s="99">
        <f t="shared" si="55"/>
        <v>4417.0200000000004</v>
      </c>
      <c r="G298" s="99"/>
      <c r="H298" s="99"/>
      <c r="I298" s="100"/>
      <c r="J298" s="101"/>
      <c r="K298" s="1"/>
      <c r="L298" s="98" t="s">
        <v>26</v>
      </c>
      <c r="M298" s="99">
        <v>16668</v>
      </c>
      <c r="N298" s="99">
        <v>4167</v>
      </c>
      <c r="O298" s="99">
        <f t="shared" si="58"/>
        <v>250.01999999999998</v>
      </c>
      <c r="P298" s="99">
        <f t="shared" si="56"/>
        <v>4417.0200000000004</v>
      </c>
      <c r="Q298" s="99"/>
      <c r="R298" s="99"/>
      <c r="S298" s="100"/>
      <c r="T298" s="101"/>
    </row>
    <row r="299" spans="1:20" x14ac:dyDescent="0.3">
      <c r="A299" s="1"/>
      <c r="B299" s="98" t="s">
        <v>27</v>
      </c>
      <c r="C299" s="99">
        <v>12501</v>
      </c>
      <c r="D299" s="99">
        <v>4167</v>
      </c>
      <c r="E299" s="99">
        <f t="shared" si="57"/>
        <v>187.51499999999999</v>
      </c>
      <c r="F299" s="99">
        <f t="shared" si="55"/>
        <v>4354.5150000000003</v>
      </c>
      <c r="G299" s="99"/>
      <c r="H299" s="99"/>
      <c r="I299" s="100"/>
      <c r="J299" s="101"/>
      <c r="K299" s="1"/>
      <c r="L299" s="98" t="s">
        <v>27</v>
      </c>
      <c r="M299" s="99">
        <v>12501</v>
      </c>
      <c r="N299" s="99">
        <v>4167</v>
      </c>
      <c r="O299" s="99">
        <f t="shared" si="58"/>
        <v>187.51499999999999</v>
      </c>
      <c r="P299" s="99">
        <f t="shared" si="56"/>
        <v>4354.5150000000003</v>
      </c>
      <c r="Q299" s="99"/>
      <c r="R299" s="99"/>
      <c r="S299" s="100"/>
      <c r="T299" s="101"/>
    </row>
    <row r="300" spans="1:20" x14ac:dyDescent="0.3">
      <c r="A300" s="1"/>
      <c r="B300" s="98" t="s">
        <v>28</v>
      </c>
      <c r="C300" s="99">
        <v>8334</v>
      </c>
      <c r="D300" s="99">
        <v>4167</v>
      </c>
      <c r="E300" s="99">
        <f t="shared" si="57"/>
        <v>125.00999999999999</v>
      </c>
      <c r="F300" s="99">
        <f t="shared" si="55"/>
        <v>4292.01</v>
      </c>
      <c r="G300" s="99"/>
      <c r="H300" s="99"/>
      <c r="I300" s="100"/>
      <c r="J300" s="101"/>
      <c r="K300" s="1"/>
      <c r="L300" s="98" t="s">
        <v>28</v>
      </c>
      <c r="M300" s="99">
        <v>8334</v>
      </c>
      <c r="N300" s="99">
        <v>4167</v>
      </c>
      <c r="O300" s="99">
        <f t="shared" si="58"/>
        <v>125.00999999999999</v>
      </c>
      <c r="P300" s="99">
        <f t="shared" si="56"/>
        <v>4292.01</v>
      </c>
      <c r="Q300" s="99"/>
      <c r="R300" s="99"/>
      <c r="S300" s="100"/>
      <c r="T300" s="101"/>
    </row>
    <row r="301" spans="1:20" x14ac:dyDescent="0.3">
      <c r="A301" s="1"/>
      <c r="B301" s="98" t="s">
        <v>29</v>
      </c>
      <c r="C301" s="99">
        <v>4167</v>
      </c>
      <c r="D301" s="99">
        <v>4167</v>
      </c>
      <c r="E301" s="99">
        <f t="shared" si="57"/>
        <v>62.504999999999995</v>
      </c>
      <c r="F301" s="99">
        <f t="shared" si="55"/>
        <v>4229.5050000000001</v>
      </c>
      <c r="G301" s="99"/>
      <c r="H301" s="99"/>
      <c r="I301" s="100"/>
      <c r="J301" s="101" t="s">
        <v>42</v>
      </c>
      <c r="K301" s="1"/>
      <c r="L301" s="98" t="s">
        <v>29</v>
      </c>
      <c r="M301" s="99">
        <v>4167</v>
      </c>
      <c r="N301" s="99">
        <v>4167</v>
      </c>
      <c r="O301" s="99">
        <f t="shared" si="58"/>
        <v>62.504999999999995</v>
      </c>
      <c r="P301" s="99">
        <f t="shared" si="56"/>
        <v>4229.5050000000001</v>
      </c>
      <c r="Q301" s="99"/>
      <c r="R301" s="99"/>
      <c r="S301" s="100"/>
      <c r="T301" s="101" t="s">
        <v>42</v>
      </c>
    </row>
    <row r="304" spans="1:20" x14ac:dyDescent="0.3">
      <c r="A304" s="44"/>
      <c r="B304" s="81" t="s">
        <v>0</v>
      </c>
      <c r="C304" s="77" t="s">
        <v>139</v>
      </c>
      <c r="D304" s="112"/>
      <c r="E304" s="112"/>
      <c r="F304" s="79"/>
      <c r="G304" s="77"/>
      <c r="I304" s="81" t="s">
        <v>1</v>
      </c>
      <c r="J304" s="82">
        <v>30000</v>
      </c>
      <c r="K304" s="44"/>
      <c r="L304" s="81" t="s">
        <v>0</v>
      </c>
      <c r="M304" s="77" t="s">
        <v>139</v>
      </c>
      <c r="N304" s="112"/>
      <c r="O304" s="112"/>
      <c r="P304" s="79"/>
      <c r="Q304" s="77"/>
      <c r="S304" s="81" t="s">
        <v>1</v>
      </c>
      <c r="T304" s="82">
        <v>30000</v>
      </c>
    </row>
    <row r="305" spans="1:20" x14ac:dyDescent="0.3">
      <c r="A305" s="1"/>
      <c r="B305" s="81" t="s">
        <v>2</v>
      </c>
      <c r="C305" s="83"/>
      <c r="D305" s="79"/>
      <c r="E305" s="83"/>
      <c r="F305" s="81"/>
      <c r="G305" s="77"/>
      <c r="I305" s="81" t="s">
        <v>3</v>
      </c>
      <c r="J305" s="113" t="s">
        <v>140</v>
      </c>
      <c r="K305" s="1"/>
      <c r="L305" s="81" t="s">
        <v>2</v>
      </c>
      <c r="M305" s="83"/>
      <c r="N305" s="79"/>
      <c r="O305" s="83"/>
      <c r="P305" s="81"/>
      <c r="Q305" s="77"/>
      <c r="S305" s="81" t="s">
        <v>3</v>
      </c>
      <c r="T305" s="113" t="s">
        <v>140</v>
      </c>
    </row>
    <row r="306" spans="1:20" x14ac:dyDescent="0.3">
      <c r="A306" s="1"/>
      <c r="B306" s="81" t="s">
        <v>4</v>
      </c>
      <c r="C306" s="78"/>
      <c r="D306" s="79"/>
      <c r="E306" s="78"/>
      <c r="F306" s="79"/>
      <c r="G306" s="77"/>
      <c r="I306" s="81" t="s">
        <v>5</v>
      </c>
      <c r="J306" s="86">
        <v>1.4999999999999999E-2</v>
      </c>
      <c r="K306" s="1"/>
      <c r="L306" s="81" t="s">
        <v>4</v>
      </c>
      <c r="M306" s="78"/>
      <c r="N306" s="79"/>
      <c r="O306" s="78"/>
      <c r="P306" s="79"/>
      <c r="Q306" s="77"/>
      <c r="S306" s="81" t="s">
        <v>5</v>
      </c>
      <c r="T306" s="86">
        <v>1.4999999999999999E-2</v>
      </c>
    </row>
    <row r="307" spans="1:20" ht="15" thickBot="1" x14ac:dyDescent="0.35">
      <c r="A307" s="1"/>
      <c r="B307" s="81" t="s">
        <v>6</v>
      </c>
      <c r="C307" s="87"/>
      <c r="D307" s="79"/>
      <c r="E307" s="79"/>
      <c r="F307" s="88"/>
      <c r="G307" s="114"/>
      <c r="H307" s="115" t="s">
        <v>7</v>
      </c>
      <c r="I307" s="116"/>
      <c r="J307" s="78">
        <v>12</v>
      </c>
      <c r="K307" s="1"/>
      <c r="L307" s="81" t="s">
        <v>6</v>
      </c>
      <c r="M307" s="87"/>
      <c r="N307" s="79"/>
      <c r="O307" s="79"/>
      <c r="P307" s="88"/>
      <c r="Q307" s="114"/>
      <c r="R307" s="115" t="s">
        <v>7</v>
      </c>
      <c r="S307" s="116"/>
      <c r="T307" s="78">
        <v>12</v>
      </c>
    </row>
    <row r="308" spans="1:20" ht="41.4" thickBot="1" x14ac:dyDescent="0.35">
      <c r="A308" s="1"/>
      <c r="B308" s="89" t="s">
        <v>8</v>
      </c>
      <c r="C308" s="89" t="s">
        <v>9</v>
      </c>
      <c r="D308" s="89" t="s">
        <v>10</v>
      </c>
      <c r="E308" s="90" t="s">
        <v>11</v>
      </c>
      <c r="F308" s="91" t="s">
        <v>12</v>
      </c>
      <c r="G308" s="92" t="s">
        <v>13</v>
      </c>
      <c r="H308" s="92" t="s">
        <v>14</v>
      </c>
      <c r="I308" s="92" t="s">
        <v>15</v>
      </c>
      <c r="J308" s="93" t="s">
        <v>16</v>
      </c>
      <c r="K308" s="1"/>
      <c r="L308" s="89" t="s">
        <v>8</v>
      </c>
      <c r="M308" s="89" t="s">
        <v>9</v>
      </c>
      <c r="N308" s="89" t="s">
        <v>10</v>
      </c>
      <c r="O308" s="90" t="s">
        <v>11</v>
      </c>
      <c r="P308" s="91" t="s">
        <v>12</v>
      </c>
      <c r="Q308" s="92" t="s">
        <v>13</v>
      </c>
      <c r="R308" s="92" t="s">
        <v>14</v>
      </c>
      <c r="S308" s="92" t="s">
        <v>15</v>
      </c>
      <c r="T308" s="93" t="s">
        <v>16</v>
      </c>
    </row>
    <row r="309" spans="1:20" x14ac:dyDescent="0.3">
      <c r="A309" s="1"/>
      <c r="B309" s="94" t="s">
        <v>17</v>
      </c>
      <c r="C309" s="95">
        <f>J304</f>
        <v>30000</v>
      </c>
      <c r="D309" s="95">
        <f>J304/J307</f>
        <v>2500</v>
      </c>
      <c r="E309" s="95">
        <f t="shared" ref="E309:E320" si="59">(C309*0.015)</f>
        <v>450</v>
      </c>
      <c r="F309" s="95">
        <f t="shared" ref="F309:F320" si="60">SUM(D309:E309)</f>
        <v>2950</v>
      </c>
      <c r="G309" s="95"/>
      <c r="H309" s="95"/>
      <c r="I309" s="96"/>
      <c r="J309" s="97"/>
      <c r="K309" s="1"/>
      <c r="L309" s="94" t="s">
        <v>17</v>
      </c>
      <c r="M309" s="95">
        <f>T304</f>
        <v>30000</v>
      </c>
      <c r="N309" s="95">
        <f>T304/T307</f>
        <v>2500</v>
      </c>
      <c r="O309" s="95">
        <f t="shared" ref="O309:O320" si="61">(M309*0.015)</f>
        <v>450</v>
      </c>
      <c r="P309" s="95">
        <f t="shared" ref="P309:P320" si="62">SUM(N309:O309)</f>
        <v>2950</v>
      </c>
      <c r="Q309" s="95"/>
      <c r="R309" s="95"/>
      <c r="S309" s="96"/>
      <c r="T309" s="97"/>
    </row>
    <row r="310" spans="1:20" x14ac:dyDescent="0.3">
      <c r="A310" s="1"/>
      <c r="B310" s="98" t="s">
        <v>18</v>
      </c>
      <c r="C310" s="99">
        <v>27500</v>
      </c>
      <c r="D310" s="99">
        <v>2500</v>
      </c>
      <c r="E310" s="99">
        <f t="shared" si="59"/>
        <v>412.5</v>
      </c>
      <c r="F310" s="99">
        <f t="shared" si="60"/>
        <v>2912.5</v>
      </c>
      <c r="G310" s="99"/>
      <c r="H310" s="99"/>
      <c r="I310" s="100"/>
      <c r="J310" s="101"/>
      <c r="K310" s="1"/>
      <c r="L310" s="98" t="s">
        <v>18</v>
      </c>
      <c r="M310" s="99">
        <v>27500</v>
      </c>
      <c r="N310" s="99">
        <v>2500</v>
      </c>
      <c r="O310" s="99">
        <f t="shared" si="61"/>
        <v>412.5</v>
      </c>
      <c r="P310" s="99">
        <f t="shared" si="62"/>
        <v>2912.5</v>
      </c>
      <c r="Q310" s="99"/>
      <c r="R310" s="99"/>
      <c r="S310" s="100"/>
      <c r="T310" s="101"/>
    </row>
    <row r="311" spans="1:20" x14ac:dyDescent="0.3">
      <c r="A311" s="1"/>
      <c r="B311" s="98" t="s">
        <v>19</v>
      </c>
      <c r="C311" s="99">
        <v>2500</v>
      </c>
      <c r="D311" s="99">
        <v>2500</v>
      </c>
      <c r="E311" s="99">
        <f t="shared" si="59"/>
        <v>37.5</v>
      </c>
      <c r="F311" s="99">
        <f t="shared" si="60"/>
        <v>2537.5</v>
      </c>
      <c r="G311" s="99"/>
      <c r="H311" s="99"/>
      <c r="I311" s="100"/>
      <c r="J311" s="101"/>
      <c r="K311" s="1"/>
      <c r="L311" s="98" t="s">
        <v>19</v>
      </c>
      <c r="M311" s="99">
        <v>2500</v>
      </c>
      <c r="N311" s="99">
        <v>2500</v>
      </c>
      <c r="O311" s="99">
        <f t="shared" si="61"/>
        <v>37.5</v>
      </c>
      <c r="P311" s="99">
        <f t="shared" si="62"/>
        <v>2537.5</v>
      </c>
      <c r="Q311" s="99"/>
      <c r="R311" s="99"/>
      <c r="S311" s="100"/>
      <c r="T311" s="101"/>
    </row>
    <row r="312" spans="1:20" x14ac:dyDescent="0.3">
      <c r="A312" s="1"/>
      <c r="B312" s="98" t="s">
        <v>20</v>
      </c>
      <c r="C312" s="99">
        <v>22500</v>
      </c>
      <c r="D312" s="99">
        <v>2500</v>
      </c>
      <c r="E312" s="99">
        <f t="shared" si="59"/>
        <v>337.5</v>
      </c>
      <c r="F312" s="99">
        <f t="shared" si="60"/>
        <v>2837.5</v>
      </c>
      <c r="G312" s="99"/>
      <c r="H312" s="99"/>
      <c r="I312" s="100"/>
      <c r="J312" s="101"/>
      <c r="K312" s="1"/>
      <c r="L312" s="98" t="s">
        <v>20</v>
      </c>
      <c r="M312" s="99">
        <v>22500</v>
      </c>
      <c r="N312" s="99">
        <v>2500</v>
      </c>
      <c r="O312" s="99">
        <f t="shared" si="61"/>
        <v>337.5</v>
      </c>
      <c r="P312" s="99">
        <f t="shared" si="62"/>
        <v>2837.5</v>
      </c>
      <c r="Q312" s="99"/>
      <c r="R312" s="99"/>
      <c r="S312" s="100"/>
      <c r="T312" s="101"/>
    </row>
    <row r="313" spans="1:20" x14ac:dyDescent="0.3">
      <c r="A313" s="1"/>
      <c r="B313" s="98" t="s">
        <v>21</v>
      </c>
      <c r="C313" s="99">
        <v>20000</v>
      </c>
      <c r="D313" s="99">
        <v>2500</v>
      </c>
      <c r="E313" s="99">
        <f t="shared" si="59"/>
        <v>300</v>
      </c>
      <c r="F313" s="99">
        <f t="shared" si="60"/>
        <v>2800</v>
      </c>
      <c r="G313" s="99"/>
      <c r="H313" s="99"/>
      <c r="I313" s="100"/>
      <c r="J313" s="101"/>
      <c r="K313" s="1"/>
      <c r="L313" s="98" t="s">
        <v>21</v>
      </c>
      <c r="M313" s="99">
        <v>20000</v>
      </c>
      <c r="N313" s="99">
        <v>2500</v>
      </c>
      <c r="O313" s="99">
        <f t="shared" si="61"/>
        <v>300</v>
      </c>
      <c r="P313" s="99">
        <f t="shared" si="62"/>
        <v>2800</v>
      </c>
      <c r="Q313" s="99"/>
      <c r="R313" s="99"/>
      <c r="S313" s="100"/>
      <c r="T313" s="101"/>
    </row>
    <row r="314" spans="1:20" x14ac:dyDescent="0.3">
      <c r="A314" s="1"/>
      <c r="B314" s="98" t="s">
        <v>23</v>
      </c>
      <c r="C314" s="99">
        <v>17500</v>
      </c>
      <c r="D314" s="99">
        <v>2500</v>
      </c>
      <c r="E314" s="99">
        <f t="shared" si="59"/>
        <v>262.5</v>
      </c>
      <c r="F314" s="99">
        <f t="shared" si="60"/>
        <v>2762.5</v>
      </c>
      <c r="G314" s="99"/>
      <c r="H314" s="99"/>
      <c r="I314" s="100"/>
      <c r="J314" s="101"/>
      <c r="K314" s="1"/>
      <c r="L314" s="98" t="s">
        <v>23</v>
      </c>
      <c r="M314" s="99">
        <v>17500</v>
      </c>
      <c r="N314" s="99">
        <v>2500</v>
      </c>
      <c r="O314" s="99">
        <f t="shared" si="61"/>
        <v>262.5</v>
      </c>
      <c r="P314" s="99">
        <f t="shared" si="62"/>
        <v>2762.5</v>
      </c>
      <c r="Q314" s="99"/>
      <c r="R314" s="99"/>
      <c r="S314" s="100"/>
      <c r="T314" s="101"/>
    </row>
    <row r="315" spans="1:20" x14ac:dyDescent="0.3">
      <c r="A315" s="1"/>
      <c r="B315" s="98" t="s">
        <v>24</v>
      </c>
      <c r="C315" s="99">
        <v>15000</v>
      </c>
      <c r="D315" s="99">
        <v>2500</v>
      </c>
      <c r="E315" s="99">
        <f t="shared" si="59"/>
        <v>225</v>
      </c>
      <c r="F315" s="99">
        <f t="shared" si="60"/>
        <v>2725</v>
      </c>
      <c r="G315" s="99"/>
      <c r="H315" s="99"/>
      <c r="I315" s="100"/>
      <c r="J315" s="101"/>
      <c r="K315" s="1"/>
      <c r="L315" s="98" t="s">
        <v>24</v>
      </c>
      <c r="M315" s="99">
        <v>15000</v>
      </c>
      <c r="N315" s="99">
        <v>2500</v>
      </c>
      <c r="O315" s="99">
        <f t="shared" si="61"/>
        <v>225</v>
      </c>
      <c r="P315" s="99">
        <f t="shared" si="62"/>
        <v>2725</v>
      </c>
      <c r="Q315" s="99"/>
      <c r="R315" s="99"/>
      <c r="S315" s="100"/>
      <c r="T315" s="101"/>
    </row>
    <row r="316" spans="1:20" x14ac:dyDescent="0.3">
      <c r="A316" s="1"/>
      <c r="B316" s="98" t="s">
        <v>25</v>
      </c>
      <c r="C316" s="99">
        <v>12500</v>
      </c>
      <c r="D316" s="99">
        <v>2500</v>
      </c>
      <c r="E316" s="99">
        <f t="shared" si="59"/>
        <v>187.5</v>
      </c>
      <c r="F316" s="99">
        <f t="shared" si="60"/>
        <v>2687.5</v>
      </c>
      <c r="G316" s="99"/>
      <c r="H316" s="99"/>
      <c r="I316" s="100"/>
      <c r="J316" s="101"/>
      <c r="K316" s="1"/>
      <c r="L316" s="98" t="s">
        <v>25</v>
      </c>
      <c r="M316" s="99">
        <v>12500</v>
      </c>
      <c r="N316" s="99">
        <v>2500</v>
      </c>
      <c r="O316" s="99">
        <f t="shared" si="61"/>
        <v>187.5</v>
      </c>
      <c r="P316" s="99">
        <f t="shared" si="62"/>
        <v>2687.5</v>
      </c>
      <c r="Q316" s="99"/>
      <c r="R316" s="99"/>
      <c r="S316" s="100"/>
      <c r="T316" s="101"/>
    </row>
    <row r="317" spans="1:20" x14ac:dyDescent="0.3">
      <c r="B317" s="98" t="s">
        <v>26</v>
      </c>
      <c r="C317" s="99">
        <v>10000</v>
      </c>
      <c r="D317" s="99">
        <v>2500</v>
      </c>
      <c r="E317" s="99">
        <f t="shared" si="59"/>
        <v>150</v>
      </c>
      <c r="F317" s="99">
        <f t="shared" si="60"/>
        <v>2650</v>
      </c>
      <c r="G317" s="99"/>
      <c r="H317" s="99"/>
      <c r="I317" s="100"/>
      <c r="J317" s="101"/>
      <c r="L317" s="98" t="s">
        <v>26</v>
      </c>
      <c r="M317" s="99">
        <v>10000</v>
      </c>
      <c r="N317" s="99">
        <v>2500</v>
      </c>
      <c r="O317" s="99">
        <f t="shared" si="61"/>
        <v>150</v>
      </c>
      <c r="P317" s="99">
        <f t="shared" si="62"/>
        <v>2650</v>
      </c>
      <c r="Q317" s="99"/>
      <c r="R317" s="99"/>
      <c r="S317" s="100"/>
      <c r="T317" s="101"/>
    </row>
    <row r="318" spans="1:20" x14ac:dyDescent="0.3">
      <c r="B318" s="98" t="s">
        <v>27</v>
      </c>
      <c r="C318" s="99">
        <v>7500</v>
      </c>
      <c r="D318" s="99">
        <v>2500</v>
      </c>
      <c r="E318" s="99">
        <f t="shared" si="59"/>
        <v>112.5</v>
      </c>
      <c r="F318" s="99">
        <f t="shared" si="60"/>
        <v>2612.5</v>
      </c>
      <c r="G318" s="99"/>
      <c r="H318" s="99"/>
      <c r="I318" s="100"/>
      <c r="J318" s="101"/>
      <c r="L318" s="98" t="s">
        <v>27</v>
      </c>
      <c r="M318" s="99">
        <v>7500</v>
      </c>
      <c r="N318" s="99">
        <v>2500</v>
      </c>
      <c r="O318" s="99">
        <f t="shared" si="61"/>
        <v>112.5</v>
      </c>
      <c r="P318" s="99">
        <f t="shared" si="62"/>
        <v>2612.5</v>
      </c>
      <c r="Q318" s="99"/>
      <c r="R318" s="99"/>
      <c r="S318" s="100"/>
      <c r="T318" s="101"/>
    </row>
    <row r="319" spans="1:20" x14ac:dyDescent="0.3">
      <c r="B319" s="98" t="s">
        <v>28</v>
      </c>
      <c r="C319" s="99">
        <v>5000</v>
      </c>
      <c r="D319" s="99">
        <v>2500</v>
      </c>
      <c r="E319" s="99">
        <f t="shared" si="59"/>
        <v>75</v>
      </c>
      <c r="F319" s="99">
        <f t="shared" si="60"/>
        <v>2575</v>
      </c>
      <c r="G319" s="99"/>
      <c r="H319" s="99"/>
      <c r="I319" s="100"/>
      <c r="J319" s="101"/>
      <c r="L319" s="98" t="s">
        <v>28</v>
      </c>
      <c r="M319" s="99">
        <v>5000</v>
      </c>
      <c r="N319" s="99">
        <v>2500</v>
      </c>
      <c r="O319" s="99">
        <f t="shared" si="61"/>
        <v>75</v>
      </c>
      <c r="P319" s="99">
        <f t="shared" si="62"/>
        <v>2575</v>
      </c>
      <c r="Q319" s="99"/>
      <c r="R319" s="99"/>
      <c r="S319" s="100"/>
      <c r="T319" s="101"/>
    </row>
    <row r="320" spans="1:20" x14ac:dyDescent="0.3">
      <c r="B320" s="98" t="s">
        <v>29</v>
      </c>
      <c r="C320" s="99">
        <v>2500</v>
      </c>
      <c r="D320" s="99">
        <v>2500</v>
      </c>
      <c r="E320" s="99">
        <f t="shared" si="59"/>
        <v>37.5</v>
      </c>
      <c r="F320" s="99">
        <f t="shared" si="60"/>
        <v>2537.5</v>
      </c>
      <c r="G320" s="99"/>
      <c r="H320" s="99"/>
      <c r="I320" s="100"/>
      <c r="J320" s="101" t="s">
        <v>42</v>
      </c>
      <c r="L320" s="98" t="s">
        <v>29</v>
      </c>
      <c r="M320" s="99">
        <v>2500</v>
      </c>
      <c r="N320" s="99">
        <v>2500</v>
      </c>
      <c r="O320" s="99">
        <f t="shared" si="61"/>
        <v>37.5</v>
      </c>
      <c r="P320" s="99">
        <f t="shared" si="62"/>
        <v>2537.5</v>
      </c>
      <c r="Q320" s="99"/>
      <c r="R320" s="99"/>
      <c r="S320" s="100"/>
      <c r="T320" s="101" t="s">
        <v>42</v>
      </c>
    </row>
    <row r="323" spans="2:20" x14ac:dyDescent="0.3">
      <c r="B323" s="77" t="s">
        <v>0</v>
      </c>
      <c r="C323" s="77" t="s">
        <v>116</v>
      </c>
      <c r="D323" s="112"/>
      <c r="E323" s="112"/>
      <c r="F323" s="79" t="s">
        <v>195</v>
      </c>
      <c r="G323" s="80"/>
      <c r="I323" s="81" t="s">
        <v>1</v>
      </c>
      <c r="J323" s="82">
        <v>5000</v>
      </c>
      <c r="L323" s="77" t="s">
        <v>0</v>
      </c>
      <c r="M323" s="77" t="s">
        <v>116</v>
      </c>
      <c r="N323" s="112"/>
      <c r="O323" s="112"/>
      <c r="P323" s="79" t="s">
        <v>195</v>
      </c>
      <c r="Q323" s="80"/>
      <c r="S323" s="81" t="s">
        <v>1</v>
      </c>
      <c r="T323" s="82">
        <v>5000</v>
      </c>
    </row>
    <row r="324" spans="2:20" x14ac:dyDescent="0.3">
      <c r="B324" s="77" t="s">
        <v>2</v>
      </c>
      <c r="C324" s="83"/>
      <c r="D324" s="79"/>
      <c r="E324" s="83"/>
      <c r="F324" s="81"/>
      <c r="G324" s="81"/>
      <c r="I324" s="81" t="s">
        <v>3</v>
      </c>
      <c r="J324" s="85" t="s">
        <v>163</v>
      </c>
      <c r="L324" s="77" t="s">
        <v>2</v>
      </c>
      <c r="M324" s="83"/>
      <c r="N324" s="79"/>
      <c r="O324" s="83"/>
      <c r="P324" s="81"/>
      <c r="Q324" s="81"/>
      <c r="S324" s="81" t="s">
        <v>3</v>
      </c>
      <c r="T324" s="85" t="s">
        <v>163</v>
      </c>
    </row>
    <row r="325" spans="2:20" x14ac:dyDescent="0.3">
      <c r="B325" s="77" t="s">
        <v>4</v>
      </c>
      <c r="C325" s="78"/>
      <c r="D325" s="79"/>
      <c r="E325" s="78"/>
      <c r="F325" s="81"/>
      <c r="G325" s="81"/>
      <c r="I325" s="81" t="s">
        <v>5</v>
      </c>
      <c r="J325" s="86">
        <v>1.4999999999999999E-2</v>
      </c>
      <c r="L325" s="77" t="s">
        <v>4</v>
      </c>
      <c r="M325" s="78"/>
      <c r="N325" s="79"/>
      <c r="O325" s="78"/>
      <c r="P325" s="81"/>
      <c r="Q325" s="81"/>
      <c r="S325" s="81" t="s">
        <v>5</v>
      </c>
      <c r="T325" s="86">
        <v>1.4999999999999999E-2</v>
      </c>
    </row>
    <row r="326" spans="2:20" ht="15" thickBot="1" x14ac:dyDescent="0.35">
      <c r="B326" s="77" t="s">
        <v>6</v>
      </c>
      <c r="C326" s="87"/>
      <c r="D326" s="87"/>
      <c r="E326" s="88"/>
      <c r="F326" s="88"/>
      <c r="G326" s="88"/>
      <c r="I326" s="88" t="s">
        <v>7</v>
      </c>
      <c r="J326" s="78">
        <v>12</v>
      </c>
      <c r="L326" s="77" t="s">
        <v>6</v>
      </c>
      <c r="M326" s="87"/>
      <c r="N326" s="87"/>
      <c r="O326" s="88"/>
      <c r="P326" s="88"/>
      <c r="Q326" s="88"/>
      <c r="S326" s="88" t="s">
        <v>7</v>
      </c>
      <c r="T326" s="78">
        <v>12</v>
      </c>
    </row>
    <row r="327" spans="2:20" ht="41.4" thickBot="1" x14ac:dyDescent="0.35">
      <c r="B327" s="89" t="s">
        <v>8</v>
      </c>
      <c r="C327" s="89" t="s">
        <v>9</v>
      </c>
      <c r="D327" s="89" t="s">
        <v>10</v>
      </c>
      <c r="E327" s="90" t="s">
        <v>11</v>
      </c>
      <c r="F327" s="91" t="s">
        <v>12</v>
      </c>
      <c r="G327" s="92" t="s">
        <v>13</v>
      </c>
      <c r="H327" s="92" t="s">
        <v>14</v>
      </c>
      <c r="I327" s="92" t="s">
        <v>15</v>
      </c>
      <c r="J327" s="93" t="s">
        <v>16</v>
      </c>
      <c r="L327" s="89" t="s">
        <v>8</v>
      </c>
      <c r="M327" s="89" t="s">
        <v>9</v>
      </c>
      <c r="N327" s="89" t="s">
        <v>10</v>
      </c>
      <c r="O327" s="90" t="s">
        <v>11</v>
      </c>
      <c r="P327" s="91" t="s">
        <v>12</v>
      </c>
      <c r="Q327" s="92" t="s">
        <v>13</v>
      </c>
      <c r="R327" s="92" t="s">
        <v>14</v>
      </c>
      <c r="S327" s="92" t="s">
        <v>15</v>
      </c>
      <c r="T327" s="93" t="s">
        <v>16</v>
      </c>
    </row>
    <row r="328" spans="2:20" x14ac:dyDescent="0.3">
      <c r="B328" s="94" t="s">
        <v>17</v>
      </c>
      <c r="C328" s="95">
        <f>J323</f>
        <v>5000</v>
      </c>
      <c r="D328" s="95">
        <f>J323/J326</f>
        <v>416.66666666666669</v>
      </c>
      <c r="E328" s="95">
        <f t="shared" ref="E328:E339" si="63">(C328*0.015)</f>
        <v>75</v>
      </c>
      <c r="F328" s="95">
        <f t="shared" ref="F328:F339" si="64">SUM(D328:E328)</f>
        <v>491.66666666666669</v>
      </c>
      <c r="G328" s="95"/>
      <c r="H328" s="95"/>
      <c r="I328" s="96"/>
      <c r="J328" s="97"/>
      <c r="L328" s="94" t="s">
        <v>17</v>
      </c>
      <c r="M328" s="95">
        <f>T323</f>
        <v>5000</v>
      </c>
      <c r="N328" s="95">
        <f>T323/T326</f>
        <v>416.66666666666669</v>
      </c>
      <c r="O328" s="95">
        <f t="shared" ref="O328:O339" si="65">(M328*0.015)</f>
        <v>75</v>
      </c>
      <c r="P328" s="95">
        <f t="shared" ref="P328:P339" si="66">SUM(N328:O328)</f>
        <v>491.66666666666669</v>
      </c>
      <c r="Q328" s="95"/>
      <c r="R328" s="95"/>
      <c r="S328" s="96"/>
      <c r="T328" s="97"/>
    </row>
    <row r="329" spans="2:20" x14ac:dyDescent="0.3">
      <c r="B329" s="98" t="s">
        <v>18</v>
      </c>
      <c r="C329" s="99">
        <v>4587</v>
      </c>
      <c r="D329" s="99">
        <v>417</v>
      </c>
      <c r="E329" s="99">
        <f t="shared" si="63"/>
        <v>68.804999999999993</v>
      </c>
      <c r="F329" s="99">
        <f t="shared" si="64"/>
        <v>485.80500000000001</v>
      </c>
      <c r="G329" s="99"/>
      <c r="H329" s="99"/>
      <c r="I329" s="100"/>
      <c r="J329" s="101"/>
      <c r="L329" s="98" t="s">
        <v>18</v>
      </c>
      <c r="M329" s="99">
        <v>4587</v>
      </c>
      <c r="N329" s="99">
        <v>417</v>
      </c>
      <c r="O329" s="99">
        <f t="shared" si="65"/>
        <v>68.804999999999993</v>
      </c>
      <c r="P329" s="99">
        <f t="shared" si="66"/>
        <v>485.80500000000001</v>
      </c>
      <c r="Q329" s="99"/>
      <c r="R329" s="99"/>
      <c r="S329" s="100"/>
      <c r="T329" s="101"/>
    </row>
    <row r="330" spans="2:20" x14ac:dyDescent="0.3">
      <c r="B330" s="98" t="s">
        <v>19</v>
      </c>
      <c r="C330" s="99">
        <v>4170</v>
      </c>
      <c r="D330" s="99">
        <v>417</v>
      </c>
      <c r="E330" s="99">
        <f t="shared" si="63"/>
        <v>62.55</v>
      </c>
      <c r="F330" s="99">
        <f t="shared" si="64"/>
        <v>479.55</v>
      </c>
      <c r="G330" s="99"/>
      <c r="H330" s="99"/>
      <c r="I330" s="100"/>
      <c r="J330" s="101"/>
      <c r="L330" s="98" t="s">
        <v>19</v>
      </c>
      <c r="M330" s="99">
        <v>4170</v>
      </c>
      <c r="N330" s="99">
        <v>417</v>
      </c>
      <c r="O330" s="99">
        <f t="shared" si="65"/>
        <v>62.55</v>
      </c>
      <c r="P330" s="99">
        <f t="shared" si="66"/>
        <v>479.55</v>
      </c>
      <c r="Q330" s="99"/>
      <c r="R330" s="99"/>
      <c r="S330" s="100"/>
      <c r="T330" s="101"/>
    </row>
    <row r="331" spans="2:20" x14ac:dyDescent="0.3">
      <c r="B331" s="98" t="s">
        <v>20</v>
      </c>
      <c r="C331" s="99">
        <v>3753</v>
      </c>
      <c r="D331" s="99">
        <v>417</v>
      </c>
      <c r="E331" s="99">
        <f t="shared" si="63"/>
        <v>56.294999999999995</v>
      </c>
      <c r="F331" s="99">
        <f t="shared" si="64"/>
        <v>473.29500000000002</v>
      </c>
      <c r="G331" s="99"/>
      <c r="H331" s="99"/>
      <c r="I331" s="100"/>
      <c r="J331" s="101"/>
      <c r="L331" s="98" t="s">
        <v>20</v>
      </c>
      <c r="M331" s="99">
        <v>3753</v>
      </c>
      <c r="N331" s="99">
        <v>417</v>
      </c>
      <c r="O331" s="99">
        <f t="shared" si="65"/>
        <v>56.294999999999995</v>
      </c>
      <c r="P331" s="99">
        <f t="shared" si="66"/>
        <v>473.29500000000002</v>
      </c>
      <c r="Q331" s="99"/>
      <c r="R331" s="99"/>
      <c r="S331" s="100"/>
      <c r="T331" s="101"/>
    </row>
    <row r="332" spans="2:20" x14ac:dyDescent="0.3">
      <c r="B332" s="98" t="s">
        <v>21</v>
      </c>
      <c r="C332" s="99">
        <v>3336</v>
      </c>
      <c r="D332" s="99">
        <v>417</v>
      </c>
      <c r="E332" s="99">
        <f t="shared" si="63"/>
        <v>50.04</v>
      </c>
      <c r="F332" s="99">
        <f t="shared" si="64"/>
        <v>467.04</v>
      </c>
      <c r="G332" s="99"/>
      <c r="H332" s="99"/>
      <c r="I332" s="100"/>
      <c r="J332" s="101"/>
      <c r="L332" s="98" t="s">
        <v>21</v>
      </c>
      <c r="M332" s="99">
        <v>3336</v>
      </c>
      <c r="N332" s="99">
        <v>417</v>
      </c>
      <c r="O332" s="99">
        <f t="shared" si="65"/>
        <v>50.04</v>
      </c>
      <c r="P332" s="99">
        <f t="shared" si="66"/>
        <v>467.04</v>
      </c>
      <c r="Q332" s="99"/>
      <c r="R332" s="99"/>
      <c r="S332" s="100"/>
      <c r="T332" s="101"/>
    </row>
    <row r="333" spans="2:20" ht="15" thickBot="1" x14ac:dyDescent="0.35">
      <c r="B333" s="98" t="s">
        <v>23</v>
      </c>
      <c r="C333" s="99">
        <v>2919</v>
      </c>
      <c r="D333" s="99">
        <v>417</v>
      </c>
      <c r="E333" s="99">
        <f t="shared" si="63"/>
        <v>43.784999999999997</v>
      </c>
      <c r="F333" s="99">
        <f t="shared" si="64"/>
        <v>460.78499999999997</v>
      </c>
      <c r="G333" s="99"/>
      <c r="H333" s="99"/>
      <c r="I333" s="100"/>
      <c r="J333" s="101"/>
      <c r="L333" s="98" t="s">
        <v>23</v>
      </c>
      <c r="M333" s="99">
        <v>2919</v>
      </c>
      <c r="N333" s="99">
        <v>417</v>
      </c>
      <c r="O333" s="99">
        <f t="shared" si="65"/>
        <v>43.784999999999997</v>
      </c>
      <c r="P333" s="99">
        <f t="shared" si="66"/>
        <v>460.78499999999997</v>
      </c>
      <c r="Q333" s="99"/>
      <c r="R333" s="99"/>
      <c r="S333" s="100"/>
      <c r="T333" s="101"/>
    </row>
    <row r="334" spans="2:20" x14ac:dyDescent="0.3">
      <c r="B334" s="98" t="s">
        <v>24</v>
      </c>
      <c r="C334" s="99">
        <v>2502</v>
      </c>
      <c r="D334" s="95">
        <v>417</v>
      </c>
      <c r="E334" s="99">
        <f t="shared" si="63"/>
        <v>37.53</v>
      </c>
      <c r="F334" s="99">
        <f t="shared" si="64"/>
        <v>454.53</v>
      </c>
      <c r="G334" s="99"/>
      <c r="H334" s="99"/>
      <c r="I334" s="100"/>
      <c r="J334" s="101"/>
      <c r="L334" s="98" t="s">
        <v>24</v>
      </c>
      <c r="M334" s="99">
        <v>2502</v>
      </c>
      <c r="N334" s="95">
        <v>417</v>
      </c>
      <c r="O334" s="99">
        <f t="shared" si="65"/>
        <v>37.53</v>
      </c>
      <c r="P334" s="99">
        <f t="shared" si="66"/>
        <v>454.53</v>
      </c>
      <c r="Q334" s="99"/>
      <c r="R334" s="99"/>
      <c r="S334" s="100"/>
      <c r="T334" s="101"/>
    </row>
    <row r="335" spans="2:20" x14ac:dyDescent="0.3">
      <c r="B335" s="98" t="s">
        <v>25</v>
      </c>
      <c r="C335" s="99">
        <v>2085</v>
      </c>
      <c r="D335" s="99">
        <v>417</v>
      </c>
      <c r="E335" s="99">
        <f t="shared" si="63"/>
        <v>31.274999999999999</v>
      </c>
      <c r="F335" s="99">
        <f t="shared" si="64"/>
        <v>448.27499999999998</v>
      </c>
      <c r="G335" s="99"/>
      <c r="H335" s="99"/>
      <c r="I335" s="100"/>
      <c r="J335" s="101"/>
      <c r="L335" s="98" t="s">
        <v>25</v>
      </c>
      <c r="M335" s="99">
        <v>2085</v>
      </c>
      <c r="N335" s="99">
        <v>417</v>
      </c>
      <c r="O335" s="99">
        <f t="shared" si="65"/>
        <v>31.274999999999999</v>
      </c>
      <c r="P335" s="99">
        <f t="shared" si="66"/>
        <v>448.27499999999998</v>
      </c>
      <c r="Q335" s="99"/>
      <c r="R335" s="99"/>
      <c r="S335" s="100"/>
      <c r="T335" s="101"/>
    </row>
    <row r="336" spans="2:20" x14ac:dyDescent="0.3">
      <c r="B336" s="98" t="s">
        <v>26</v>
      </c>
      <c r="C336" s="99">
        <v>1668</v>
      </c>
      <c r="D336" s="99">
        <v>417</v>
      </c>
      <c r="E336" s="99">
        <f t="shared" si="63"/>
        <v>25.02</v>
      </c>
      <c r="F336" s="99">
        <f t="shared" si="64"/>
        <v>442.02</v>
      </c>
      <c r="G336" s="99"/>
      <c r="H336" s="99"/>
      <c r="I336" s="100"/>
      <c r="J336" s="101"/>
      <c r="L336" s="98" t="s">
        <v>26</v>
      </c>
      <c r="M336" s="99">
        <v>1668</v>
      </c>
      <c r="N336" s="99">
        <v>417</v>
      </c>
      <c r="O336" s="99">
        <f t="shared" si="65"/>
        <v>25.02</v>
      </c>
      <c r="P336" s="99">
        <f t="shared" si="66"/>
        <v>442.02</v>
      </c>
      <c r="Q336" s="99"/>
      <c r="R336" s="99"/>
      <c r="S336" s="100"/>
      <c r="T336" s="101"/>
    </row>
    <row r="337" spans="1:20" x14ac:dyDescent="0.3">
      <c r="B337" s="98" t="s">
        <v>27</v>
      </c>
      <c r="C337" s="99">
        <v>1251</v>
      </c>
      <c r="D337" s="99">
        <v>417</v>
      </c>
      <c r="E337" s="99">
        <f t="shared" si="63"/>
        <v>18.765000000000001</v>
      </c>
      <c r="F337" s="99">
        <f t="shared" si="64"/>
        <v>435.76499999999999</v>
      </c>
      <c r="G337" s="99"/>
      <c r="H337" s="99"/>
      <c r="I337" s="100"/>
      <c r="J337" s="101"/>
      <c r="L337" s="98" t="s">
        <v>27</v>
      </c>
      <c r="M337" s="99">
        <v>1251</v>
      </c>
      <c r="N337" s="99">
        <v>417</v>
      </c>
      <c r="O337" s="99">
        <f t="shared" si="65"/>
        <v>18.765000000000001</v>
      </c>
      <c r="P337" s="99">
        <f t="shared" si="66"/>
        <v>435.76499999999999</v>
      </c>
      <c r="Q337" s="99"/>
      <c r="R337" s="99"/>
      <c r="S337" s="100"/>
      <c r="T337" s="101"/>
    </row>
    <row r="338" spans="1:20" x14ac:dyDescent="0.3">
      <c r="B338" s="98" t="s">
        <v>28</v>
      </c>
      <c r="C338" s="99">
        <v>834</v>
      </c>
      <c r="D338" s="99">
        <v>417</v>
      </c>
      <c r="E338" s="99">
        <f t="shared" si="63"/>
        <v>12.51</v>
      </c>
      <c r="F338" s="99">
        <f t="shared" si="64"/>
        <v>429.51</v>
      </c>
      <c r="G338" s="99"/>
      <c r="H338" s="99"/>
      <c r="I338" s="100"/>
      <c r="J338" s="101"/>
      <c r="L338" s="98" t="s">
        <v>28</v>
      </c>
      <c r="M338" s="99">
        <v>834</v>
      </c>
      <c r="N338" s="99">
        <v>417</v>
      </c>
      <c r="O338" s="99">
        <f t="shared" si="65"/>
        <v>12.51</v>
      </c>
      <c r="P338" s="99">
        <f t="shared" si="66"/>
        <v>429.51</v>
      </c>
      <c r="Q338" s="99"/>
      <c r="R338" s="99"/>
      <c r="S338" s="100"/>
      <c r="T338" s="101"/>
    </row>
    <row r="339" spans="1:20" x14ac:dyDescent="0.3">
      <c r="B339" s="98" t="s">
        <v>29</v>
      </c>
      <c r="C339" s="99">
        <v>417</v>
      </c>
      <c r="D339" s="99">
        <v>417</v>
      </c>
      <c r="E339" s="99">
        <f t="shared" si="63"/>
        <v>6.2549999999999999</v>
      </c>
      <c r="F339" s="99">
        <f t="shared" si="64"/>
        <v>423.255</v>
      </c>
      <c r="G339" s="99"/>
      <c r="H339" s="99"/>
      <c r="I339" s="100"/>
      <c r="J339" s="101" t="s">
        <v>42</v>
      </c>
      <c r="L339" s="98" t="s">
        <v>29</v>
      </c>
      <c r="M339" s="99">
        <v>417</v>
      </c>
      <c r="N339" s="99">
        <v>417</v>
      </c>
      <c r="O339" s="99">
        <f t="shared" si="65"/>
        <v>6.2549999999999999</v>
      </c>
      <c r="P339" s="99">
        <f t="shared" si="66"/>
        <v>423.255</v>
      </c>
      <c r="Q339" s="99"/>
      <c r="R339" s="99"/>
      <c r="S339" s="100"/>
      <c r="T339" s="101" t="s">
        <v>42</v>
      </c>
    </row>
    <row r="342" spans="1:20" x14ac:dyDescent="0.3">
      <c r="A342" s="40"/>
      <c r="B342" s="81" t="s">
        <v>0</v>
      </c>
      <c r="C342" s="77" t="s">
        <v>97</v>
      </c>
      <c r="D342" s="112"/>
      <c r="E342" s="112"/>
      <c r="F342" s="79"/>
      <c r="G342" s="80"/>
      <c r="I342" s="81" t="s">
        <v>1</v>
      </c>
      <c r="J342" s="82">
        <v>30000</v>
      </c>
      <c r="K342" s="40"/>
      <c r="L342" s="81" t="s">
        <v>0</v>
      </c>
      <c r="M342" s="77" t="s">
        <v>97</v>
      </c>
      <c r="N342" s="112"/>
      <c r="O342" s="112"/>
      <c r="P342" s="79"/>
      <c r="Q342" s="80"/>
      <c r="S342" s="81" t="s">
        <v>1</v>
      </c>
      <c r="T342" s="82">
        <v>30000</v>
      </c>
    </row>
    <row r="343" spans="1:20" x14ac:dyDescent="0.3">
      <c r="A343" s="40"/>
      <c r="B343" s="81" t="s">
        <v>2</v>
      </c>
      <c r="C343" s="83"/>
      <c r="D343" s="79"/>
      <c r="E343" s="83"/>
      <c r="F343" s="81"/>
      <c r="G343" s="81"/>
      <c r="I343" s="81" t="s">
        <v>3</v>
      </c>
      <c r="J343" s="85" t="s">
        <v>62</v>
      </c>
      <c r="K343" s="40"/>
      <c r="L343" s="81" t="s">
        <v>2</v>
      </c>
      <c r="M343" s="83"/>
      <c r="N343" s="79"/>
      <c r="O343" s="83"/>
      <c r="P343" s="81"/>
      <c r="Q343" s="81"/>
      <c r="S343" s="81" t="s">
        <v>3</v>
      </c>
      <c r="T343" s="85" t="s">
        <v>62</v>
      </c>
    </row>
    <row r="344" spans="1:20" x14ac:dyDescent="0.3">
      <c r="A344" s="40"/>
      <c r="B344" s="81" t="s">
        <v>4</v>
      </c>
      <c r="C344" s="78"/>
      <c r="D344" s="79"/>
      <c r="E344" s="78"/>
      <c r="F344" s="81"/>
      <c r="G344" s="81"/>
      <c r="I344" s="81" t="s">
        <v>5</v>
      </c>
      <c r="J344" s="86">
        <v>1.4999999999999999E-2</v>
      </c>
      <c r="K344" s="40"/>
      <c r="L344" s="81" t="s">
        <v>4</v>
      </c>
      <c r="M344" s="78"/>
      <c r="N344" s="79"/>
      <c r="O344" s="78"/>
      <c r="P344" s="81"/>
      <c r="Q344" s="81"/>
      <c r="S344" s="81" t="s">
        <v>5</v>
      </c>
      <c r="T344" s="86">
        <v>1.4999999999999999E-2</v>
      </c>
    </row>
    <row r="345" spans="1:20" ht="15" thickBot="1" x14ac:dyDescent="0.35">
      <c r="A345" s="44"/>
      <c r="B345" s="81" t="s">
        <v>6</v>
      </c>
      <c r="C345" s="87"/>
      <c r="D345" s="87"/>
      <c r="E345" s="88"/>
      <c r="F345" s="88"/>
      <c r="G345" s="88"/>
      <c r="I345" s="88" t="s">
        <v>7</v>
      </c>
      <c r="J345" s="78">
        <v>12</v>
      </c>
      <c r="K345" s="44"/>
      <c r="L345" s="81" t="s">
        <v>6</v>
      </c>
      <c r="M345" s="87"/>
      <c r="N345" s="87"/>
      <c r="O345" s="88"/>
      <c r="P345" s="88"/>
      <c r="Q345" s="88"/>
      <c r="S345" s="88" t="s">
        <v>7</v>
      </c>
      <c r="T345" s="78">
        <v>12</v>
      </c>
    </row>
    <row r="346" spans="1:20" ht="41.4" thickBot="1" x14ac:dyDescent="0.35">
      <c r="A346" s="1"/>
      <c r="B346" s="89" t="s">
        <v>8</v>
      </c>
      <c r="C346" s="89" t="s">
        <v>9</v>
      </c>
      <c r="D346" s="89" t="s">
        <v>10</v>
      </c>
      <c r="E346" s="90" t="s">
        <v>11</v>
      </c>
      <c r="F346" s="91" t="s">
        <v>12</v>
      </c>
      <c r="G346" s="92" t="s">
        <v>13</v>
      </c>
      <c r="H346" s="92" t="s">
        <v>14</v>
      </c>
      <c r="I346" s="92" t="s">
        <v>15</v>
      </c>
      <c r="J346" s="93" t="s">
        <v>16</v>
      </c>
      <c r="K346" s="1"/>
      <c r="L346" s="89" t="s">
        <v>8</v>
      </c>
      <c r="M346" s="89" t="s">
        <v>9</v>
      </c>
      <c r="N346" s="89" t="s">
        <v>10</v>
      </c>
      <c r="O346" s="90" t="s">
        <v>11</v>
      </c>
      <c r="P346" s="91" t="s">
        <v>12</v>
      </c>
      <c r="Q346" s="92" t="s">
        <v>13</v>
      </c>
      <c r="R346" s="92" t="s">
        <v>14</v>
      </c>
      <c r="S346" s="92" t="s">
        <v>15</v>
      </c>
      <c r="T346" s="93" t="s">
        <v>16</v>
      </c>
    </row>
    <row r="347" spans="1:20" x14ac:dyDescent="0.3">
      <c r="A347" s="1"/>
      <c r="B347" s="94" t="s">
        <v>17</v>
      </c>
      <c r="C347" s="95">
        <f>J342</f>
        <v>30000</v>
      </c>
      <c r="D347" s="95">
        <f>J342/J345</f>
        <v>2500</v>
      </c>
      <c r="E347" s="95">
        <f t="shared" ref="E347:E358" si="67">(C347*0.015)</f>
        <v>450</v>
      </c>
      <c r="F347" s="95">
        <f>'30-12'!$C$6+E347</f>
        <v>2950</v>
      </c>
      <c r="G347" s="95"/>
      <c r="H347" s="95"/>
      <c r="I347" s="96"/>
      <c r="J347" s="97"/>
      <c r="K347" s="1"/>
      <c r="L347" s="94" t="s">
        <v>17</v>
      </c>
      <c r="M347" s="95">
        <f>T342</f>
        <v>30000</v>
      </c>
      <c r="N347" s="95">
        <f>T342/T345</f>
        <v>2500</v>
      </c>
      <c r="O347" s="95">
        <f t="shared" ref="O347:O358" si="68">(M347*0.015)</f>
        <v>450</v>
      </c>
      <c r="P347" s="95">
        <f>'30-12'!$C$6+O347</f>
        <v>2950</v>
      </c>
      <c r="Q347" s="95"/>
      <c r="R347" s="95"/>
      <c r="S347" s="96"/>
      <c r="T347" s="97"/>
    </row>
    <row r="348" spans="1:20" x14ac:dyDescent="0.3">
      <c r="A348" s="1"/>
      <c r="B348" s="98" t="s">
        <v>18</v>
      </c>
      <c r="C348" s="99">
        <v>27500</v>
      </c>
      <c r="D348" s="99">
        <f>'30-12'!$C$6</f>
        <v>2500</v>
      </c>
      <c r="E348" s="99">
        <f t="shared" si="67"/>
        <v>412.5</v>
      </c>
      <c r="F348" s="99">
        <f>'30-12'!$C$6+E348</f>
        <v>2912.5</v>
      </c>
      <c r="G348" s="99"/>
      <c r="H348" s="99"/>
      <c r="I348" s="100"/>
      <c r="J348" s="101"/>
      <c r="K348" s="1"/>
      <c r="L348" s="98" t="s">
        <v>18</v>
      </c>
      <c r="M348" s="99">
        <v>27500</v>
      </c>
      <c r="N348" s="99">
        <f>'30-12'!$C$6</f>
        <v>2500</v>
      </c>
      <c r="O348" s="99">
        <f t="shared" si="68"/>
        <v>412.5</v>
      </c>
      <c r="P348" s="99">
        <f>'30-12'!$C$6+O348</f>
        <v>2912.5</v>
      </c>
      <c r="Q348" s="99"/>
      <c r="R348" s="99"/>
      <c r="S348" s="100"/>
      <c r="T348" s="101"/>
    </row>
    <row r="349" spans="1:20" x14ac:dyDescent="0.3">
      <c r="A349" s="1"/>
      <c r="B349" s="98" t="s">
        <v>19</v>
      </c>
      <c r="C349" s="99">
        <v>2500</v>
      </c>
      <c r="D349" s="99">
        <f>'30-12'!$C$6</f>
        <v>2500</v>
      </c>
      <c r="E349" s="99">
        <f t="shared" si="67"/>
        <v>37.5</v>
      </c>
      <c r="F349" s="99">
        <f>'30-12'!$C$6+E349</f>
        <v>2537.5</v>
      </c>
      <c r="G349" s="99"/>
      <c r="H349" s="99"/>
      <c r="I349" s="100"/>
      <c r="J349" s="101"/>
      <c r="K349" s="1"/>
      <c r="L349" s="98" t="s">
        <v>19</v>
      </c>
      <c r="M349" s="99">
        <v>2500</v>
      </c>
      <c r="N349" s="99">
        <f>'30-12'!$C$6</f>
        <v>2500</v>
      </c>
      <c r="O349" s="99">
        <f t="shared" si="68"/>
        <v>37.5</v>
      </c>
      <c r="P349" s="99">
        <f>'30-12'!$C$6+O349</f>
        <v>2537.5</v>
      </c>
      <c r="Q349" s="99"/>
      <c r="R349" s="99"/>
      <c r="S349" s="100"/>
      <c r="T349" s="101"/>
    </row>
    <row r="350" spans="1:20" x14ac:dyDescent="0.3">
      <c r="A350" s="1"/>
      <c r="B350" s="98" t="s">
        <v>20</v>
      </c>
      <c r="C350" s="99">
        <v>22500</v>
      </c>
      <c r="D350" s="99">
        <f>'30-12'!$C$6</f>
        <v>2500</v>
      </c>
      <c r="E350" s="99">
        <f t="shared" si="67"/>
        <v>337.5</v>
      </c>
      <c r="F350" s="99">
        <f>'30-12'!$C$6+E350</f>
        <v>2837.5</v>
      </c>
      <c r="G350" s="99"/>
      <c r="H350" s="99"/>
      <c r="I350" s="100"/>
      <c r="J350" s="101"/>
      <c r="K350" s="1"/>
      <c r="L350" s="98" t="s">
        <v>20</v>
      </c>
      <c r="M350" s="99">
        <v>22500</v>
      </c>
      <c r="N350" s="99">
        <f>'30-12'!$C$6</f>
        <v>2500</v>
      </c>
      <c r="O350" s="99">
        <f t="shared" si="68"/>
        <v>337.5</v>
      </c>
      <c r="P350" s="99">
        <f>'30-12'!$C$6+O350</f>
        <v>2837.5</v>
      </c>
      <c r="Q350" s="99"/>
      <c r="R350" s="99"/>
      <c r="S350" s="100"/>
      <c r="T350" s="101"/>
    </row>
    <row r="351" spans="1:20" x14ac:dyDescent="0.3">
      <c r="A351" s="1"/>
      <c r="B351" s="98" t="s">
        <v>21</v>
      </c>
      <c r="C351" s="99">
        <v>20000</v>
      </c>
      <c r="D351" s="99">
        <f>'30-12'!$C$6</f>
        <v>2500</v>
      </c>
      <c r="E351" s="99">
        <f t="shared" si="67"/>
        <v>300</v>
      </c>
      <c r="F351" s="99">
        <f>'30-12'!$C$6+E351</f>
        <v>2800</v>
      </c>
      <c r="G351" s="99"/>
      <c r="H351" s="99"/>
      <c r="I351" s="100"/>
      <c r="J351" s="101"/>
      <c r="K351" s="1"/>
      <c r="L351" s="98" t="s">
        <v>21</v>
      </c>
      <c r="M351" s="99">
        <v>20000</v>
      </c>
      <c r="N351" s="99">
        <f>'30-12'!$C$6</f>
        <v>2500</v>
      </c>
      <c r="O351" s="99">
        <f t="shared" si="68"/>
        <v>300</v>
      </c>
      <c r="P351" s="99">
        <f>'30-12'!$C$6+O351</f>
        <v>2800</v>
      </c>
      <c r="Q351" s="99"/>
      <c r="R351" s="99"/>
      <c r="S351" s="100"/>
      <c r="T351" s="101"/>
    </row>
    <row r="352" spans="1:20" x14ac:dyDescent="0.3">
      <c r="A352" s="1"/>
      <c r="B352" s="98" t="s">
        <v>23</v>
      </c>
      <c r="C352" s="99">
        <v>17500</v>
      </c>
      <c r="D352" s="99">
        <f>'30-12'!$C$6</f>
        <v>2500</v>
      </c>
      <c r="E352" s="99">
        <f t="shared" si="67"/>
        <v>262.5</v>
      </c>
      <c r="F352" s="99">
        <f>'30-12'!$C$6+E352</f>
        <v>2762.5</v>
      </c>
      <c r="G352" s="99"/>
      <c r="H352" s="99"/>
      <c r="I352" s="100"/>
      <c r="J352" s="101"/>
      <c r="K352" s="1"/>
      <c r="L352" s="98" t="s">
        <v>23</v>
      </c>
      <c r="M352" s="99">
        <v>17500</v>
      </c>
      <c r="N352" s="99">
        <f>'30-12'!$C$6</f>
        <v>2500</v>
      </c>
      <c r="O352" s="99">
        <f t="shared" si="68"/>
        <v>262.5</v>
      </c>
      <c r="P352" s="99">
        <f>'30-12'!$C$6+O352</f>
        <v>2762.5</v>
      </c>
      <c r="Q352" s="99"/>
      <c r="R352" s="99"/>
      <c r="S352" s="100"/>
      <c r="T352" s="101"/>
    </row>
    <row r="353" spans="1:20" x14ac:dyDescent="0.3">
      <c r="A353" s="1"/>
      <c r="B353" s="98" t="s">
        <v>24</v>
      </c>
      <c r="C353" s="99">
        <v>15000</v>
      </c>
      <c r="D353" s="99">
        <f>'30-12'!$C$6</f>
        <v>2500</v>
      </c>
      <c r="E353" s="99">
        <f t="shared" si="67"/>
        <v>225</v>
      </c>
      <c r="F353" s="99">
        <f>'30-12'!$C$6+E353</f>
        <v>2725</v>
      </c>
      <c r="G353" s="99"/>
      <c r="H353" s="99"/>
      <c r="I353" s="100"/>
      <c r="J353" s="101"/>
      <c r="K353" s="1"/>
      <c r="L353" s="98" t="s">
        <v>24</v>
      </c>
      <c r="M353" s="99">
        <v>15000</v>
      </c>
      <c r="N353" s="99">
        <f>'30-12'!$C$6</f>
        <v>2500</v>
      </c>
      <c r="O353" s="99">
        <f t="shared" si="68"/>
        <v>225</v>
      </c>
      <c r="P353" s="99">
        <f>'30-12'!$C$6+O353</f>
        <v>2725</v>
      </c>
      <c r="Q353" s="99"/>
      <c r="R353" s="99"/>
      <c r="S353" s="100"/>
      <c r="T353" s="101"/>
    </row>
    <row r="354" spans="1:20" x14ac:dyDescent="0.3">
      <c r="A354" s="1"/>
      <c r="B354" s="98" t="s">
        <v>25</v>
      </c>
      <c r="C354" s="99">
        <v>12500</v>
      </c>
      <c r="D354" s="99">
        <f>'30-12'!$C$6</f>
        <v>2500</v>
      </c>
      <c r="E354" s="99">
        <f t="shared" si="67"/>
        <v>187.5</v>
      </c>
      <c r="F354" s="99">
        <f>'30-12'!$C$6+E354</f>
        <v>2687.5</v>
      </c>
      <c r="G354" s="99"/>
      <c r="H354" s="99"/>
      <c r="I354" s="100"/>
      <c r="J354" s="101"/>
      <c r="K354" s="1"/>
      <c r="L354" s="98" t="s">
        <v>25</v>
      </c>
      <c r="M354" s="99">
        <v>12500</v>
      </c>
      <c r="N354" s="99">
        <f>'30-12'!$C$6</f>
        <v>2500</v>
      </c>
      <c r="O354" s="99">
        <f t="shared" si="68"/>
        <v>187.5</v>
      </c>
      <c r="P354" s="99">
        <f>'30-12'!$C$6+O354</f>
        <v>2687.5</v>
      </c>
      <c r="Q354" s="99"/>
      <c r="R354" s="99"/>
      <c r="S354" s="100"/>
      <c r="T354" s="101"/>
    </row>
    <row r="355" spans="1:20" x14ac:dyDescent="0.3">
      <c r="A355" s="1"/>
      <c r="B355" s="98" t="s">
        <v>26</v>
      </c>
      <c r="C355" s="99">
        <v>10000</v>
      </c>
      <c r="D355" s="99">
        <f>'30-12'!$C$6</f>
        <v>2500</v>
      </c>
      <c r="E355" s="99">
        <f t="shared" si="67"/>
        <v>150</v>
      </c>
      <c r="F355" s="99">
        <f>'30-12'!$C$6+E355</f>
        <v>2650</v>
      </c>
      <c r="G355" s="99"/>
      <c r="H355" s="99"/>
      <c r="I355" s="100"/>
      <c r="J355" s="101"/>
      <c r="K355" s="1"/>
      <c r="L355" s="98" t="s">
        <v>26</v>
      </c>
      <c r="M355" s="99">
        <v>10000</v>
      </c>
      <c r="N355" s="99">
        <f>'30-12'!$C$6</f>
        <v>2500</v>
      </c>
      <c r="O355" s="99">
        <f t="shared" si="68"/>
        <v>150</v>
      </c>
      <c r="P355" s="99">
        <f>'30-12'!$C$6+O355</f>
        <v>2650</v>
      </c>
      <c r="Q355" s="99"/>
      <c r="R355" s="99"/>
      <c r="S355" s="100"/>
      <c r="T355" s="101"/>
    </row>
    <row r="356" spans="1:20" x14ac:dyDescent="0.3">
      <c r="A356" s="1"/>
      <c r="B356" s="98" t="s">
        <v>27</v>
      </c>
      <c r="C356" s="99">
        <v>7500</v>
      </c>
      <c r="D356" s="99">
        <f>'30-12'!$C$6</f>
        <v>2500</v>
      </c>
      <c r="E356" s="99">
        <f t="shared" si="67"/>
        <v>112.5</v>
      </c>
      <c r="F356" s="99">
        <f>'30-12'!$C$6+E356</f>
        <v>2612.5</v>
      </c>
      <c r="G356" s="99"/>
      <c r="H356" s="99"/>
      <c r="I356" s="100"/>
      <c r="J356" s="101"/>
      <c r="K356" s="1"/>
      <c r="L356" s="98" t="s">
        <v>27</v>
      </c>
      <c r="M356" s="99">
        <v>7500</v>
      </c>
      <c r="N356" s="99">
        <f>'30-12'!$C$6</f>
        <v>2500</v>
      </c>
      <c r="O356" s="99">
        <f t="shared" si="68"/>
        <v>112.5</v>
      </c>
      <c r="P356" s="99">
        <f>'30-12'!$C$6+O356</f>
        <v>2612.5</v>
      </c>
      <c r="Q356" s="99"/>
      <c r="R356" s="99"/>
      <c r="S356" s="100"/>
      <c r="T356" s="101"/>
    </row>
    <row r="357" spans="1:20" x14ac:dyDescent="0.3">
      <c r="A357" s="1"/>
      <c r="B357" s="98" t="s">
        <v>28</v>
      </c>
      <c r="C357" s="99">
        <v>5000</v>
      </c>
      <c r="D357" s="99">
        <f>'30-12'!$C$6</f>
        <v>2500</v>
      </c>
      <c r="E357" s="99">
        <f t="shared" si="67"/>
        <v>75</v>
      </c>
      <c r="F357" s="99">
        <f>'30-12'!$C$6+E357</f>
        <v>2575</v>
      </c>
      <c r="G357" s="99"/>
      <c r="H357" s="99"/>
      <c r="I357" s="100"/>
      <c r="J357" s="101"/>
      <c r="K357" s="1"/>
      <c r="L357" s="98" t="s">
        <v>28</v>
      </c>
      <c r="M357" s="99">
        <v>5000</v>
      </c>
      <c r="N357" s="99">
        <f>'30-12'!$C$6</f>
        <v>2500</v>
      </c>
      <c r="O357" s="99">
        <f t="shared" si="68"/>
        <v>75</v>
      </c>
      <c r="P357" s="99">
        <f>'30-12'!$C$6+O357</f>
        <v>2575</v>
      </c>
      <c r="Q357" s="99"/>
      <c r="R357" s="99"/>
      <c r="S357" s="100"/>
      <c r="T357" s="101"/>
    </row>
    <row r="358" spans="1:20" x14ac:dyDescent="0.3">
      <c r="B358" s="98" t="s">
        <v>29</v>
      </c>
      <c r="C358" s="99">
        <v>2500</v>
      </c>
      <c r="D358" s="99">
        <f>'30-12'!$C$6</f>
        <v>2500</v>
      </c>
      <c r="E358" s="99">
        <f t="shared" si="67"/>
        <v>37.5</v>
      </c>
      <c r="F358" s="99">
        <f>'30-12'!$C$6+E358</f>
        <v>2537.5</v>
      </c>
      <c r="G358" s="99"/>
      <c r="H358" s="99"/>
      <c r="I358" s="100"/>
      <c r="J358" s="101" t="s">
        <v>42</v>
      </c>
      <c r="L358" s="98" t="s">
        <v>29</v>
      </c>
      <c r="M358" s="99">
        <v>2500</v>
      </c>
      <c r="N358" s="99">
        <f>'30-12'!$C$6</f>
        <v>2500</v>
      </c>
      <c r="O358" s="99">
        <f t="shared" si="68"/>
        <v>37.5</v>
      </c>
      <c r="P358" s="99">
        <f>'30-12'!$C$6+O358</f>
        <v>2537.5</v>
      </c>
      <c r="Q358" s="99"/>
      <c r="R358" s="99"/>
      <c r="S358" s="100"/>
      <c r="T358" s="101" t="s">
        <v>42</v>
      </c>
    </row>
    <row r="361" spans="1:20" x14ac:dyDescent="0.3">
      <c r="B361" s="77" t="s">
        <v>0</v>
      </c>
      <c r="C361" s="229" t="s">
        <v>74</v>
      </c>
      <c r="D361" s="229"/>
      <c r="E361" s="229"/>
      <c r="F361" s="79"/>
      <c r="G361" s="80"/>
      <c r="H361" s="231" t="s">
        <v>1</v>
      </c>
      <c r="I361" s="231"/>
      <c r="J361" s="82">
        <v>25000</v>
      </c>
      <c r="L361" s="77" t="s">
        <v>0</v>
      </c>
      <c r="M361" s="229" t="s">
        <v>74</v>
      </c>
      <c r="N361" s="229"/>
      <c r="O361" s="229"/>
      <c r="P361" s="79"/>
      <c r="Q361" s="80"/>
      <c r="R361" s="231" t="s">
        <v>1</v>
      </c>
      <c r="S361" s="231"/>
      <c r="T361" s="82">
        <v>25000</v>
      </c>
    </row>
    <row r="362" spans="1:20" x14ac:dyDescent="0.3">
      <c r="B362" s="77" t="s">
        <v>2</v>
      </c>
      <c r="C362" s="83"/>
      <c r="D362" s="79"/>
      <c r="E362" s="83"/>
      <c r="F362" s="81"/>
      <c r="G362" s="81"/>
      <c r="H362" s="84"/>
      <c r="I362" s="81" t="s">
        <v>3</v>
      </c>
      <c r="J362" s="85" t="s">
        <v>75</v>
      </c>
      <c r="L362" s="77" t="s">
        <v>2</v>
      </c>
      <c r="M362" s="83"/>
      <c r="N362" s="79"/>
      <c r="O362" s="83"/>
      <c r="P362" s="81"/>
      <c r="Q362" s="81"/>
      <c r="R362" s="84"/>
      <c r="S362" s="81" t="s">
        <v>3</v>
      </c>
      <c r="T362" s="85" t="s">
        <v>75</v>
      </c>
    </row>
    <row r="363" spans="1:20" x14ac:dyDescent="0.3">
      <c r="B363" s="77" t="s">
        <v>4</v>
      </c>
      <c r="C363" s="78"/>
      <c r="D363" s="79"/>
      <c r="E363" s="78"/>
      <c r="F363" s="231" t="s">
        <v>5</v>
      </c>
      <c r="G363" s="231"/>
      <c r="H363" s="231"/>
      <c r="I363" s="231"/>
      <c r="J363" s="86">
        <v>1.4999999999999999E-2</v>
      </c>
      <c r="L363" s="77" t="s">
        <v>4</v>
      </c>
      <c r="M363" s="78"/>
      <c r="N363" s="79"/>
      <c r="O363" s="78"/>
      <c r="P363" s="231" t="s">
        <v>5</v>
      </c>
      <c r="Q363" s="231"/>
      <c r="R363" s="231"/>
      <c r="S363" s="231"/>
      <c r="T363" s="86">
        <v>1.4999999999999999E-2</v>
      </c>
    </row>
    <row r="364" spans="1:20" ht="15" thickBot="1" x14ac:dyDescent="0.35">
      <c r="B364" s="77" t="s">
        <v>6</v>
      </c>
      <c r="C364" s="232"/>
      <c r="D364" s="232"/>
      <c r="E364" s="233" t="s">
        <v>7</v>
      </c>
      <c r="F364" s="233"/>
      <c r="G364" s="233"/>
      <c r="H364" s="233"/>
      <c r="I364" s="233"/>
      <c r="J364" s="78">
        <v>12</v>
      </c>
      <c r="L364" s="77" t="s">
        <v>6</v>
      </c>
      <c r="M364" s="232"/>
      <c r="N364" s="232"/>
      <c r="O364" s="233" t="s">
        <v>7</v>
      </c>
      <c r="P364" s="233"/>
      <c r="Q364" s="233"/>
      <c r="R364" s="233"/>
      <c r="S364" s="233"/>
      <c r="T364" s="78">
        <v>12</v>
      </c>
    </row>
    <row r="365" spans="1:20" ht="41.4" thickBot="1" x14ac:dyDescent="0.35">
      <c r="B365" s="89" t="s">
        <v>8</v>
      </c>
      <c r="C365" s="89" t="s">
        <v>9</v>
      </c>
      <c r="D365" s="89" t="s">
        <v>10</v>
      </c>
      <c r="E365" s="90" t="s">
        <v>11</v>
      </c>
      <c r="F365" s="91" t="s">
        <v>12</v>
      </c>
      <c r="G365" s="92" t="s">
        <v>13</v>
      </c>
      <c r="H365" s="92" t="s">
        <v>14</v>
      </c>
      <c r="I365" s="92" t="s">
        <v>15</v>
      </c>
      <c r="J365" s="93" t="s">
        <v>16</v>
      </c>
      <c r="L365" s="89" t="s">
        <v>8</v>
      </c>
      <c r="M365" s="89" t="s">
        <v>9</v>
      </c>
      <c r="N365" s="89" t="s">
        <v>10</v>
      </c>
      <c r="O365" s="90" t="s">
        <v>11</v>
      </c>
      <c r="P365" s="91" t="s">
        <v>12</v>
      </c>
      <c r="Q365" s="92" t="s">
        <v>13</v>
      </c>
      <c r="R365" s="92" t="s">
        <v>14</v>
      </c>
      <c r="S365" s="92" t="s">
        <v>15</v>
      </c>
      <c r="T365" s="93" t="s">
        <v>16</v>
      </c>
    </row>
    <row r="366" spans="1:20" x14ac:dyDescent="0.3">
      <c r="B366" s="94" t="s">
        <v>17</v>
      </c>
      <c r="C366" s="95">
        <f>J361</f>
        <v>25000</v>
      </c>
      <c r="D366" s="95">
        <f>J361/J364</f>
        <v>2083.3333333333335</v>
      </c>
      <c r="E366" s="95">
        <f t="shared" ref="E366:E377" si="69">(C366*0.015)</f>
        <v>375</v>
      </c>
      <c r="F366" s="95">
        <f t="shared" ref="F366:F377" si="70">SUM(D366:E366)</f>
        <v>2458.3333333333335</v>
      </c>
      <c r="G366" s="95"/>
      <c r="H366" s="95"/>
      <c r="I366" s="96"/>
      <c r="J366" s="97"/>
      <c r="L366" s="94" t="s">
        <v>17</v>
      </c>
      <c r="M366" s="95">
        <f>T361</f>
        <v>25000</v>
      </c>
      <c r="N366" s="95">
        <f>T361/T364</f>
        <v>2083.3333333333335</v>
      </c>
      <c r="O366" s="95">
        <f t="shared" ref="O366:O377" si="71">(M366*0.015)</f>
        <v>375</v>
      </c>
      <c r="P366" s="95">
        <f t="shared" ref="P366:P377" si="72">SUM(N366:O366)</f>
        <v>2458.3333333333335</v>
      </c>
      <c r="Q366" s="95"/>
      <c r="R366" s="95"/>
      <c r="S366" s="96"/>
      <c r="T366" s="97"/>
    </row>
    <row r="367" spans="1:20" ht="15" thickBot="1" x14ac:dyDescent="0.35">
      <c r="B367" s="98" t="s">
        <v>18</v>
      </c>
      <c r="C367" s="121">
        <v>22917</v>
      </c>
      <c r="D367" s="99">
        <v>2083</v>
      </c>
      <c r="E367" s="99">
        <f t="shared" si="69"/>
        <v>343.755</v>
      </c>
      <c r="F367" s="99">
        <f t="shared" si="70"/>
        <v>2426.7550000000001</v>
      </c>
      <c r="G367" s="99"/>
      <c r="H367" s="99"/>
      <c r="I367" s="100"/>
      <c r="J367" s="101"/>
      <c r="L367" s="98" t="s">
        <v>18</v>
      </c>
      <c r="M367" s="121">
        <v>22917</v>
      </c>
      <c r="N367" s="99">
        <v>2083</v>
      </c>
      <c r="O367" s="99">
        <f t="shared" si="71"/>
        <v>343.755</v>
      </c>
      <c r="P367" s="99">
        <f t="shared" si="72"/>
        <v>2426.7550000000001</v>
      </c>
      <c r="Q367" s="99"/>
      <c r="R367" s="99"/>
      <c r="S367" s="100"/>
      <c r="T367" s="101"/>
    </row>
    <row r="368" spans="1:20" x14ac:dyDescent="0.3">
      <c r="B368" s="98" t="s">
        <v>19</v>
      </c>
      <c r="C368" s="121">
        <v>20833.669999999998</v>
      </c>
      <c r="D368" s="95">
        <v>2083</v>
      </c>
      <c r="E368" s="99">
        <f t="shared" si="69"/>
        <v>312.50504999999998</v>
      </c>
      <c r="F368" s="99">
        <f t="shared" si="70"/>
        <v>2395.5050499999998</v>
      </c>
      <c r="G368" s="99"/>
      <c r="H368" s="99"/>
      <c r="I368" s="100"/>
      <c r="J368" s="101"/>
      <c r="L368" s="98" t="s">
        <v>19</v>
      </c>
      <c r="M368" s="121">
        <v>20833.669999999998</v>
      </c>
      <c r="N368" s="95">
        <v>2083</v>
      </c>
      <c r="O368" s="99">
        <f t="shared" si="71"/>
        <v>312.50504999999998</v>
      </c>
      <c r="P368" s="99">
        <f t="shared" si="72"/>
        <v>2395.5050499999998</v>
      </c>
      <c r="Q368" s="99"/>
      <c r="R368" s="99"/>
      <c r="S368" s="100"/>
      <c r="T368" s="101"/>
    </row>
    <row r="369" spans="2:20" x14ac:dyDescent="0.3">
      <c r="B369" s="98" t="s">
        <v>20</v>
      </c>
      <c r="C369" s="121">
        <v>18750.34</v>
      </c>
      <c r="D369" s="99">
        <v>2083</v>
      </c>
      <c r="E369" s="99">
        <f t="shared" si="69"/>
        <v>281.25509999999997</v>
      </c>
      <c r="F369" s="99">
        <f t="shared" si="70"/>
        <v>2364.2550999999999</v>
      </c>
      <c r="G369" s="99"/>
      <c r="H369" s="99"/>
      <c r="I369" s="100"/>
      <c r="J369" s="101"/>
      <c r="L369" s="98" t="s">
        <v>20</v>
      </c>
      <c r="M369" s="121">
        <v>18750.34</v>
      </c>
      <c r="N369" s="99">
        <v>2083</v>
      </c>
      <c r="O369" s="99">
        <f t="shared" si="71"/>
        <v>281.25509999999997</v>
      </c>
      <c r="P369" s="99">
        <f t="shared" si="72"/>
        <v>2364.2550999999999</v>
      </c>
      <c r="Q369" s="99"/>
      <c r="R369" s="99"/>
      <c r="S369" s="100"/>
      <c r="T369" s="101"/>
    </row>
    <row r="370" spans="2:20" x14ac:dyDescent="0.3">
      <c r="B370" s="98" t="s">
        <v>21</v>
      </c>
      <c r="C370" s="122">
        <v>16667.009999999998</v>
      </c>
      <c r="D370" s="99">
        <v>2083</v>
      </c>
      <c r="E370" s="99">
        <f t="shared" si="69"/>
        <v>250.00514999999996</v>
      </c>
      <c r="F370" s="99">
        <f t="shared" si="70"/>
        <v>2333.00515</v>
      </c>
      <c r="G370" s="99"/>
      <c r="H370" s="99"/>
      <c r="I370" s="100"/>
      <c r="J370" s="101"/>
      <c r="L370" s="98" t="s">
        <v>21</v>
      </c>
      <c r="M370" s="122">
        <v>16667.009999999998</v>
      </c>
      <c r="N370" s="99">
        <v>2083</v>
      </c>
      <c r="O370" s="99">
        <f t="shared" si="71"/>
        <v>250.00514999999996</v>
      </c>
      <c r="P370" s="99">
        <f t="shared" si="72"/>
        <v>2333.00515</v>
      </c>
      <c r="Q370" s="99"/>
      <c r="R370" s="99"/>
      <c r="S370" s="100"/>
      <c r="T370" s="101"/>
    </row>
    <row r="371" spans="2:20" x14ac:dyDescent="0.3">
      <c r="B371" s="98" t="s">
        <v>23</v>
      </c>
      <c r="C371" s="121">
        <v>14583.68</v>
      </c>
      <c r="D371" s="99">
        <v>2083</v>
      </c>
      <c r="E371" s="99">
        <f t="shared" si="69"/>
        <v>218.7552</v>
      </c>
      <c r="F371" s="99">
        <f t="shared" si="70"/>
        <v>2301.7552000000001</v>
      </c>
      <c r="G371" s="99"/>
      <c r="H371" s="99"/>
      <c r="I371" s="100"/>
      <c r="J371" s="101"/>
      <c r="L371" s="98" t="s">
        <v>23</v>
      </c>
      <c r="M371" s="121">
        <v>14583.68</v>
      </c>
      <c r="N371" s="99">
        <v>2083</v>
      </c>
      <c r="O371" s="99">
        <f t="shared" si="71"/>
        <v>218.7552</v>
      </c>
      <c r="P371" s="99">
        <f t="shared" si="72"/>
        <v>2301.7552000000001</v>
      </c>
      <c r="Q371" s="99"/>
      <c r="R371" s="99"/>
      <c r="S371" s="100"/>
      <c r="T371" s="101"/>
    </row>
    <row r="372" spans="2:20" x14ac:dyDescent="0.3">
      <c r="B372" s="98" t="s">
        <v>24</v>
      </c>
      <c r="C372" s="121">
        <v>12500.35</v>
      </c>
      <c r="D372" s="99">
        <v>2083</v>
      </c>
      <c r="E372" s="99">
        <f t="shared" si="69"/>
        <v>187.50524999999999</v>
      </c>
      <c r="F372" s="99">
        <f t="shared" si="70"/>
        <v>2270.5052500000002</v>
      </c>
      <c r="G372" s="99"/>
      <c r="H372" s="99"/>
      <c r="I372" s="100"/>
      <c r="J372" s="101"/>
      <c r="L372" s="98" t="s">
        <v>24</v>
      </c>
      <c r="M372" s="121">
        <v>12500.35</v>
      </c>
      <c r="N372" s="99">
        <v>2083</v>
      </c>
      <c r="O372" s="99">
        <f t="shared" si="71"/>
        <v>187.50524999999999</v>
      </c>
      <c r="P372" s="99">
        <f t="shared" si="72"/>
        <v>2270.5052500000002</v>
      </c>
      <c r="Q372" s="99"/>
      <c r="R372" s="99"/>
      <c r="S372" s="100"/>
      <c r="T372" s="101"/>
    </row>
    <row r="373" spans="2:20" x14ac:dyDescent="0.3">
      <c r="B373" s="98" t="s">
        <v>25</v>
      </c>
      <c r="C373" s="121">
        <v>10417.02</v>
      </c>
      <c r="D373" s="99">
        <v>2083</v>
      </c>
      <c r="E373" s="99">
        <f t="shared" si="69"/>
        <v>156.25530000000001</v>
      </c>
      <c r="F373" s="99">
        <f t="shared" si="70"/>
        <v>2239.2552999999998</v>
      </c>
      <c r="G373" s="99"/>
      <c r="H373" s="99"/>
      <c r="I373" s="100"/>
      <c r="J373" s="101"/>
      <c r="L373" s="98" t="s">
        <v>25</v>
      </c>
      <c r="M373" s="121">
        <v>10417.02</v>
      </c>
      <c r="N373" s="99">
        <v>2083</v>
      </c>
      <c r="O373" s="99">
        <f t="shared" si="71"/>
        <v>156.25530000000001</v>
      </c>
      <c r="P373" s="99">
        <f t="shared" si="72"/>
        <v>2239.2552999999998</v>
      </c>
      <c r="Q373" s="99"/>
      <c r="R373" s="99"/>
      <c r="S373" s="100"/>
      <c r="T373" s="101"/>
    </row>
    <row r="374" spans="2:20" x14ac:dyDescent="0.3">
      <c r="B374" s="98" t="s">
        <v>26</v>
      </c>
      <c r="C374" s="121">
        <v>8333.69</v>
      </c>
      <c r="D374" s="99">
        <v>2083</v>
      </c>
      <c r="E374" s="99">
        <f t="shared" si="69"/>
        <v>125.00535000000001</v>
      </c>
      <c r="F374" s="99">
        <f t="shared" si="70"/>
        <v>2208.0053499999999</v>
      </c>
      <c r="G374" s="99"/>
      <c r="H374" s="99"/>
      <c r="I374" s="100"/>
      <c r="J374" s="101"/>
      <c r="L374" s="98" t="s">
        <v>26</v>
      </c>
      <c r="M374" s="121">
        <v>8333.69</v>
      </c>
      <c r="N374" s="99">
        <v>2083</v>
      </c>
      <c r="O374" s="99">
        <f t="shared" si="71"/>
        <v>125.00535000000001</v>
      </c>
      <c r="P374" s="99">
        <f t="shared" si="72"/>
        <v>2208.0053499999999</v>
      </c>
      <c r="Q374" s="99"/>
      <c r="R374" s="99"/>
      <c r="S374" s="100"/>
      <c r="T374" s="101"/>
    </row>
    <row r="375" spans="2:20" x14ac:dyDescent="0.3">
      <c r="B375" s="98" t="s">
        <v>27</v>
      </c>
      <c r="C375" s="121">
        <v>6250.36</v>
      </c>
      <c r="D375" s="99">
        <v>2083</v>
      </c>
      <c r="E375" s="99">
        <f t="shared" si="69"/>
        <v>93.755399999999995</v>
      </c>
      <c r="F375" s="99">
        <f t="shared" si="70"/>
        <v>2176.7554</v>
      </c>
      <c r="G375" s="99"/>
      <c r="H375" s="99"/>
      <c r="I375" s="100"/>
      <c r="J375" s="101"/>
      <c r="L375" s="98" t="s">
        <v>27</v>
      </c>
      <c r="M375" s="121">
        <v>6250.36</v>
      </c>
      <c r="N375" s="99">
        <v>2083</v>
      </c>
      <c r="O375" s="99">
        <f t="shared" si="71"/>
        <v>93.755399999999995</v>
      </c>
      <c r="P375" s="99">
        <f t="shared" si="72"/>
        <v>2176.7554</v>
      </c>
      <c r="Q375" s="99"/>
      <c r="R375" s="99"/>
      <c r="S375" s="100"/>
      <c r="T375" s="101"/>
    </row>
    <row r="376" spans="2:20" x14ac:dyDescent="0.3">
      <c r="B376" s="98" t="s">
        <v>28</v>
      </c>
      <c r="C376" s="121">
        <v>4167.3599999999997</v>
      </c>
      <c r="D376" s="99">
        <v>2083</v>
      </c>
      <c r="E376" s="99">
        <f t="shared" si="69"/>
        <v>62.51039999999999</v>
      </c>
      <c r="F376" s="99">
        <f t="shared" si="70"/>
        <v>2145.5104000000001</v>
      </c>
      <c r="G376" s="99"/>
      <c r="H376" s="99"/>
      <c r="I376" s="100"/>
      <c r="J376" s="101"/>
      <c r="L376" s="98" t="s">
        <v>28</v>
      </c>
      <c r="M376" s="121">
        <v>4167.3599999999997</v>
      </c>
      <c r="N376" s="99">
        <v>2083</v>
      </c>
      <c r="O376" s="99">
        <f t="shared" si="71"/>
        <v>62.51039999999999</v>
      </c>
      <c r="P376" s="99">
        <f t="shared" si="72"/>
        <v>2145.5104000000001</v>
      </c>
      <c r="Q376" s="99"/>
      <c r="R376" s="99"/>
      <c r="S376" s="100"/>
      <c r="T376" s="101"/>
    </row>
    <row r="377" spans="2:20" x14ac:dyDescent="0.3">
      <c r="B377" s="98" t="s">
        <v>29</v>
      </c>
      <c r="C377" s="121">
        <v>2083</v>
      </c>
      <c r="D377" s="99">
        <v>2083</v>
      </c>
      <c r="E377" s="99">
        <f t="shared" si="69"/>
        <v>31.244999999999997</v>
      </c>
      <c r="F377" s="99">
        <f t="shared" si="70"/>
        <v>2114.2449999999999</v>
      </c>
      <c r="G377" s="99"/>
      <c r="H377" s="99"/>
      <c r="I377" s="100"/>
      <c r="J377" s="101" t="s">
        <v>42</v>
      </c>
      <c r="L377" s="98" t="s">
        <v>29</v>
      </c>
      <c r="M377" s="121">
        <v>2083</v>
      </c>
      <c r="N377" s="99">
        <v>2083</v>
      </c>
      <c r="O377" s="99">
        <f t="shared" si="71"/>
        <v>31.244999999999997</v>
      </c>
      <c r="P377" s="99">
        <f t="shared" si="72"/>
        <v>2114.2449999999999</v>
      </c>
      <c r="Q377" s="99"/>
      <c r="R377" s="99"/>
      <c r="S377" s="100"/>
      <c r="T377" s="101" t="s">
        <v>42</v>
      </c>
    </row>
    <row r="380" spans="2:20" x14ac:dyDescent="0.3">
      <c r="B380" s="77" t="s">
        <v>0</v>
      </c>
      <c r="C380" s="229" t="s">
        <v>95</v>
      </c>
      <c r="D380" s="229"/>
      <c r="E380" s="229"/>
      <c r="F380" s="79"/>
      <c r="G380" s="80"/>
      <c r="H380" s="231" t="s">
        <v>1</v>
      </c>
      <c r="I380" s="231"/>
      <c r="J380" s="82">
        <v>25000</v>
      </c>
      <c r="L380" s="77" t="s">
        <v>0</v>
      </c>
      <c r="M380" s="229" t="s">
        <v>95</v>
      </c>
      <c r="N380" s="229"/>
      <c r="O380" s="229"/>
      <c r="P380" s="79"/>
      <c r="Q380" s="80"/>
      <c r="R380" s="231" t="s">
        <v>1</v>
      </c>
      <c r="S380" s="231"/>
      <c r="T380" s="82">
        <v>25000</v>
      </c>
    </row>
    <row r="381" spans="2:20" x14ac:dyDescent="0.3">
      <c r="B381" s="77" t="s">
        <v>2</v>
      </c>
      <c r="C381" s="83"/>
      <c r="D381" s="79"/>
      <c r="E381" s="83"/>
      <c r="F381" s="81"/>
      <c r="G381" s="81"/>
      <c r="H381" s="84"/>
      <c r="I381" s="81" t="s">
        <v>3</v>
      </c>
      <c r="J381" s="85" t="s">
        <v>157</v>
      </c>
      <c r="L381" s="77" t="s">
        <v>2</v>
      </c>
      <c r="M381" s="83"/>
      <c r="N381" s="79"/>
      <c r="O381" s="83"/>
      <c r="P381" s="81"/>
      <c r="Q381" s="81"/>
      <c r="R381" s="84"/>
      <c r="S381" s="81" t="s">
        <v>3</v>
      </c>
      <c r="T381" s="85" t="s">
        <v>157</v>
      </c>
    </row>
    <row r="382" spans="2:20" x14ac:dyDescent="0.3">
      <c r="B382" s="77" t="s">
        <v>4</v>
      </c>
      <c r="C382" s="78"/>
      <c r="D382" s="79"/>
      <c r="E382" s="78"/>
      <c r="F382" s="231" t="s">
        <v>5</v>
      </c>
      <c r="G382" s="231"/>
      <c r="H382" s="231"/>
      <c r="I382" s="231"/>
      <c r="J382" s="86">
        <v>1.4999999999999999E-2</v>
      </c>
      <c r="L382" s="77" t="s">
        <v>4</v>
      </c>
      <c r="M382" s="78"/>
      <c r="N382" s="79"/>
      <c r="O382" s="78"/>
      <c r="P382" s="231" t="s">
        <v>5</v>
      </c>
      <c r="Q382" s="231"/>
      <c r="R382" s="231"/>
      <c r="S382" s="231"/>
      <c r="T382" s="86">
        <v>1.4999999999999999E-2</v>
      </c>
    </row>
    <row r="383" spans="2:20" ht="15" thickBot="1" x14ac:dyDescent="0.35">
      <c r="B383" s="77" t="s">
        <v>6</v>
      </c>
      <c r="C383" s="232"/>
      <c r="D383" s="232"/>
      <c r="E383" s="233" t="s">
        <v>7</v>
      </c>
      <c r="F383" s="233"/>
      <c r="G383" s="233"/>
      <c r="H383" s="233"/>
      <c r="I383" s="233"/>
      <c r="J383" s="78">
        <v>12</v>
      </c>
      <c r="L383" s="77" t="s">
        <v>6</v>
      </c>
      <c r="M383" s="232"/>
      <c r="N383" s="232"/>
      <c r="O383" s="233" t="s">
        <v>7</v>
      </c>
      <c r="P383" s="233"/>
      <c r="Q383" s="233"/>
      <c r="R383" s="233"/>
      <c r="S383" s="233"/>
      <c r="T383" s="78">
        <v>12</v>
      </c>
    </row>
    <row r="384" spans="2:20" ht="41.4" thickBot="1" x14ac:dyDescent="0.35">
      <c r="B384" s="89" t="s">
        <v>8</v>
      </c>
      <c r="C384" s="89" t="s">
        <v>9</v>
      </c>
      <c r="D384" s="89" t="s">
        <v>10</v>
      </c>
      <c r="E384" s="90" t="s">
        <v>11</v>
      </c>
      <c r="F384" s="91" t="s">
        <v>12</v>
      </c>
      <c r="G384" s="92" t="s">
        <v>13</v>
      </c>
      <c r="H384" s="92" t="s">
        <v>14</v>
      </c>
      <c r="I384" s="92" t="s">
        <v>15</v>
      </c>
      <c r="J384" s="93" t="s">
        <v>16</v>
      </c>
      <c r="L384" s="89" t="s">
        <v>8</v>
      </c>
      <c r="M384" s="89" t="s">
        <v>9</v>
      </c>
      <c r="N384" s="89" t="s">
        <v>10</v>
      </c>
      <c r="O384" s="90" t="s">
        <v>11</v>
      </c>
      <c r="P384" s="91" t="s">
        <v>12</v>
      </c>
      <c r="Q384" s="92" t="s">
        <v>13</v>
      </c>
      <c r="R384" s="92" t="s">
        <v>14</v>
      </c>
      <c r="S384" s="92" t="s">
        <v>15</v>
      </c>
      <c r="T384" s="93" t="s">
        <v>16</v>
      </c>
    </row>
    <row r="385" spans="2:20" x14ac:dyDescent="0.3">
      <c r="B385" s="94" t="s">
        <v>17</v>
      </c>
      <c r="C385" s="95">
        <f>J380</f>
        <v>25000</v>
      </c>
      <c r="D385" s="95">
        <f>J380/J383</f>
        <v>2083.3333333333335</v>
      </c>
      <c r="E385" s="95">
        <f t="shared" ref="E385:E396" si="73">(C385*0.015)</f>
        <v>375</v>
      </c>
      <c r="F385" s="95">
        <f t="shared" ref="F385:F396" si="74">SUM(D385:E385)</f>
        <v>2458.3333333333335</v>
      </c>
      <c r="G385" s="95"/>
      <c r="H385" s="95"/>
      <c r="I385" s="96"/>
      <c r="J385" s="97"/>
      <c r="L385" s="94" t="s">
        <v>17</v>
      </c>
      <c r="M385" s="95">
        <f>T380</f>
        <v>25000</v>
      </c>
      <c r="N385" s="95">
        <f>T380/T383</f>
        <v>2083.3333333333335</v>
      </c>
      <c r="O385" s="95">
        <f t="shared" ref="O385:O396" si="75">(M385*0.015)</f>
        <v>375</v>
      </c>
      <c r="P385" s="95">
        <f t="shared" ref="P385:P396" si="76">SUM(N385:O385)</f>
        <v>2458.3333333333335</v>
      </c>
      <c r="Q385" s="95"/>
      <c r="R385" s="95"/>
      <c r="S385" s="96"/>
      <c r="T385" s="97"/>
    </row>
    <row r="386" spans="2:20" x14ac:dyDescent="0.3">
      <c r="B386" s="98" t="s">
        <v>18</v>
      </c>
      <c r="C386" s="99">
        <v>22913</v>
      </c>
      <c r="D386" s="99">
        <v>2083</v>
      </c>
      <c r="E386" s="99">
        <f t="shared" si="73"/>
        <v>343.69499999999999</v>
      </c>
      <c r="F386" s="99">
        <f t="shared" si="74"/>
        <v>2426.6950000000002</v>
      </c>
      <c r="G386" s="99"/>
      <c r="H386" s="99"/>
      <c r="I386" s="100"/>
      <c r="J386" s="101"/>
      <c r="L386" s="98" t="s">
        <v>18</v>
      </c>
      <c r="M386" s="99">
        <v>22913</v>
      </c>
      <c r="N386" s="99">
        <v>2083</v>
      </c>
      <c r="O386" s="99">
        <f t="shared" si="75"/>
        <v>343.69499999999999</v>
      </c>
      <c r="P386" s="99">
        <f t="shared" si="76"/>
        <v>2426.6950000000002</v>
      </c>
      <c r="Q386" s="99"/>
      <c r="R386" s="99"/>
      <c r="S386" s="100"/>
      <c r="T386" s="101"/>
    </row>
    <row r="387" spans="2:20" x14ac:dyDescent="0.3">
      <c r="B387" s="98" t="s">
        <v>19</v>
      </c>
      <c r="C387" s="99">
        <v>20830</v>
      </c>
      <c r="D387" s="99">
        <v>2083</v>
      </c>
      <c r="E387" s="99">
        <f t="shared" si="73"/>
        <v>312.45</v>
      </c>
      <c r="F387" s="99">
        <f t="shared" si="74"/>
        <v>2395.4499999999998</v>
      </c>
      <c r="G387" s="99"/>
      <c r="H387" s="99"/>
      <c r="I387" s="100"/>
      <c r="J387" s="101"/>
      <c r="L387" s="98" t="s">
        <v>19</v>
      </c>
      <c r="M387" s="99">
        <v>20830</v>
      </c>
      <c r="N387" s="99">
        <v>2083</v>
      </c>
      <c r="O387" s="99">
        <f t="shared" si="75"/>
        <v>312.45</v>
      </c>
      <c r="P387" s="99">
        <f t="shared" si="76"/>
        <v>2395.4499999999998</v>
      </c>
      <c r="Q387" s="99"/>
      <c r="R387" s="99"/>
      <c r="S387" s="100"/>
      <c r="T387" s="101"/>
    </row>
    <row r="388" spans="2:20" x14ac:dyDescent="0.3">
      <c r="B388" s="98" t="s">
        <v>20</v>
      </c>
      <c r="C388" s="99">
        <v>18747</v>
      </c>
      <c r="D388" s="99">
        <v>2083</v>
      </c>
      <c r="E388" s="99">
        <f t="shared" si="73"/>
        <v>281.20499999999998</v>
      </c>
      <c r="F388" s="99">
        <f t="shared" si="74"/>
        <v>2364.2049999999999</v>
      </c>
      <c r="G388" s="99"/>
      <c r="H388" s="99"/>
      <c r="I388" s="100"/>
      <c r="J388" s="101"/>
      <c r="L388" s="98" t="s">
        <v>20</v>
      </c>
      <c r="M388" s="99">
        <v>18747</v>
      </c>
      <c r="N388" s="99">
        <v>2083</v>
      </c>
      <c r="O388" s="99">
        <f t="shared" si="75"/>
        <v>281.20499999999998</v>
      </c>
      <c r="P388" s="99">
        <f t="shared" si="76"/>
        <v>2364.2049999999999</v>
      </c>
      <c r="Q388" s="99"/>
      <c r="R388" s="99"/>
      <c r="S388" s="100"/>
      <c r="T388" s="101"/>
    </row>
    <row r="389" spans="2:20" x14ac:dyDescent="0.3">
      <c r="B389" s="98" t="s">
        <v>21</v>
      </c>
      <c r="C389" s="99">
        <v>16664</v>
      </c>
      <c r="D389" s="99">
        <v>2083</v>
      </c>
      <c r="E389" s="99">
        <f t="shared" si="73"/>
        <v>249.95999999999998</v>
      </c>
      <c r="F389" s="99">
        <f t="shared" si="74"/>
        <v>2332.96</v>
      </c>
      <c r="G389" s="99"/>
      <c r="H389" s="99"/>
      <c r="I389" s="100"/>
      <c r="J389" s="101"/>
      <c r="L389" s="98" t="s">
        <v>21</v>
      </c>
      <c r="M389" s="99">
        <v>16664</v>
      </c>
      <c r="N389" s="99">
        <v>2083</v>
      </c>
      <c r="O389" s="99">
        <f t="shared" si="75"/>
        <v>249.95999999999998</v>
      </c>
      <c r="P389" s="99">
        <f t="shared" si="76"/>
        <v>2332.96</v>
      </c>
      <c r="Q389" s="99"/>
      <c r="R389" s="99"/>
      <c r="S389" s="100"/>
      <c r="T389" s="101"/>
    </row>
    <row r="390" spans="2:20" x14ac:dyDescent="0.3">
      <c r="B390" s="98" t="s">
        <v>23</v>
      </c>
      <c r="C390" s="99">
        <v>14581</v>
      </c>
      <c r="D390" s="99">
        <v>2083</v>
      </c>
      <c r="E390" s="99">
        <f t="shared" si="73"/>
        <v>218.715</v>
      </c>
      <c r="F390" s="99">
        <f t="shared" si="74"/>
        <v>2301.7150000000001</v>
      </c>
      <c r="G390" s="99"/>
      <c r="H390" s="99"/>
      <c r="I390" s="100"/>
      <c r="J390" s="101"/>
      <c r="L390" s="98" t="s">
        <v>23</v>
      </c>
      <c r="M390" s="99">
        <v>14581</v>
      </c>
      <c r="N390" s="99">
        <v>2083</v>
      </c>
      <c r="O390" s="99">
        <f t="shared" si="75"/>
        <v>218.715</v>
      </c>
      <c r="P390" s="99">
        <f t="shared" si="76"/>
        <v>2301.7150000000001</v>
      </c>
      <c r="Q390" s="99"/>
      <c r="R390" s="99"/>
      <c r="S390" s="100"/>
      <c r="T390" s="101"/>
    </row>
    <row r="391" spans="2:20" x14ac:dyDescent="0.3">
      <c r="B391" s="98" t="s">
        <v>24</v>
      </c>
      <c r="C391" s="99">
        <v>12498</v>
      </c>
      <c r="D391" s="99">
        <v>2083</v>
      </c>
      <c r="E391" s="99">
        <f t="shared" si="73"/>
        <v>187.47</v>
      </c>
      <c r="F391" s="99">
        <f t="shared" si="74"/>
        <v>2270.4699999999998</v>
      </c>
      <c r="G391" s="99"/>
      <c r="H391" s="99"/>
      <c r="I391" s="100"/>
      <c r="J391" s="101"/>
      <c r="L391" s="98" t="s">
        <v>24</v>
      </c>
      <c r="M391" s="99">
        <v>12498</v>
      </c>
      <c r="N391" s="99">
        <v>2083</v>
      </c>
      <c r="O391" s="99">
        <f t="shared" si="75"/>
        <v>187.47</v>
      </c>
      <c r="P391" s="99">
        <f t="shared" si="76"/>
        <v>2270.4699999999998</v>
      </c>
      <c r="Q391" s="99"/>
      <c r="R391" s="99"/>
      <c r="S391" s="100"/>
      <c r="T391" s="101"/>
    </row>
    <row r="392" spans="2:20" x14ac:dyDescent="0.3">
      <c r="B392" s="98" t="s">
        <v>25</v>
      </c>
      <c r="C392" s="99">
        <v>10415</v>
      </c>
      <c r="D392" s="99">
        <v>2083</v>
      </c>
      <c r="E392" s="99">
        <f t="shared" si="73"/>
        <v>156.22499999999999</v>
      </c>
      <c r="F392" s="99">
        <f t="shared" si="74"/>
        <v>2239.2249999999999</v>
      </c>
      <c r="G392" s="99"/>
      <c r="H392" s="99"/>
      <c r="I392" s="100"/>
      <c r="J392" s="101"/>
      <c r="L392" s="98" t="s">
        <v>25</v>
      </c>
      <c r="M392" s="99">
        <v>10415</v>
      </c>
      <c r="N392" s="99">
        <v>2083</v>
      </c>
      <c r="O392" s="99">
        <f t="shared" si="75"/>
        <v>156.22499999999999</v>
      </c>
      <c r="P392" s="99">
        <f t="shared" si="76"/>
        <v>2239.2249999999999</v>
      </c>
      <c r="Q392" s="99"/>
      <c r="R392" s="99"/>
      <c r="S392" s="100"/>
      <c r="T392" s="101"/>
    </row>
    <row r="393" spans="2:20" x14ac:dyDescent="0.3">
      <c r="B393" s="98" t="s">
        <v>26</v>
      </c>
      <c r="C393" s="99">
        <v>8332</v>
      </c>
      <c r="D393" s="99">
        <v>2083</v>
      </c>
      <c r="E393" s="99">
        <f t="shared" si="73"/>
        <v>124.97999999999999</v>
      </c>
      <c r="F393" s="99">
        <f t="shared" si="74"/>
        <v>2207.98</v>
      </c>
      <c r="G393" s="99"/>
      <c r="H393" s="99"/>
      <c r="I393" s="100"/>
      <c r="J393" s="101"/>
      <c r="L393" s="98" t="s">
        <v>26</v>
      </c>
      <c r="M393" s="99">
        <v>8332</v>
      </c>
      <c r="N393" s="99">
        <v>2083</v>
      </c>
      <c r="O393" s="99">
        <f t="shared" si="75"/>
        <v>124.97999999999999</v>
      </c>
      <c r="P393" s="99">
        <f t="shared" si="76"/>
        <v>2207.98</v>
      </c>
      <c r="Q393" s="99"/>
      <c r="R393" s="99"/>
      <c r="S393" s="100"/>
      <c r="T393" s="101"/>
    </row>
    <row r="394" spans="2:20" x14ac:dyDescent="0.3">
      <c r="B394" s="98" t="s">
        <v>27</v>
      </c>
      <c r="C394" s="99">
        <v>6249</v>
      </c>
      <c r="D394" s="99">
        <v>2083</v>
      </c>
      <c r="E394" s="99">
        <f t="shared" si="73"/>
        <v>93.734999999999999</v>
      </c>
      <c r="F394" s="99">
        <f t="shared" si="74"/>
        <v>2176.7350000000001</v>
      </c>
      <c r="G394" s="99"/>
      <c r="H394" s="99"/>
      <c r="I394" s="100"/>
      <c r="J394" s="101"/>
      <c r="L394" s="98" t="s">
        <v>27</v>
      </c>
      <c r="M394" s="99">
        <v>6249</v>
      </c>
      <c r="N394" s="99">
        <v>2083</v>
      </c>
      <c r="O394" s="99">
        <f t="shared" si="75"/>
        <v>93.734999999999999</v>
      </c>
      <c r="P394" s="99">
        <f t="shared" si="76"/>
        <v>2176.7350000000001</v>
      </c>
      <c r="Q394" s="99"/>
      <c r="R394" s="99"/>
      <c r="S394" s="100"/>
      <c r="T394" s="101"/>
    </row>
    <row r="395" spans="2:20" x14ac:dyDescent="0.3">
      <c r="B395" s="98" t="s">
        <v>28</v>
      </c>
      <c r="C395" s="99">
        <v>4166</v>
      </c>
      <c r="D395" s="99">
        <v>2083</v>
      </c>
      <c r="E395" s="99">
        <f t="shared" si="73"/>
        <v>62.489999999999995</v>
      </c>
      <c r="F395" s="99">
        <f t="shared" si="74"/>
        <v>2145.4899999999998</v>
      </c>
      <c r="G395" s="99"/>
      <c r="H395" s="99"/>
      <c r="I395" s="100"/>
      <c r="J395" s="101"/>
      <c r="L395" s="98" t="s">
        <v>28</v>
      </c>
      <c r="M395" s="99">
        <v>4166</v>
      </c>
      <c r="N395" s="99">
        <v>2083</v>
      </c>
      <c r="O395" s="99">
        <f t="shared" si="75"/>
        <v>62.489999999999995</v>
      </c>
      <c r="P395" s="99">
        <f t="shared" si="76"/>
        <v>2145.4899999999998</v>
      </c>
      <c r="Q395" s="99"/>
      <c r="R395" s="99"/>
      <c r="S395" s="100"/>
      <c r="T395" s="101"/>
    </row>
    <row r="396" spans="2:20" x14ac:dyDescent="0.3">
      <c r="B396" s="98" t="s">
        <v>29</v>
      </c>
      <c r="C396" s="99">
        <v>2083</v>
      </c>
      <c r="D396" s="99">
        <v>2083</v>
      </c>
      <c r="E396" s="99">
        <f t="shared" si="73"/>
        <v>31.244999999999997</v>
      </c>
      <c r="F396" s="99">
        <f t="shared" si="74"/>
        <v>2114.2449999999999</v>
      </c>
      <c r="G396" s="99"/>
      <c r="H396" s="99"/>
      <c r="I396" s="100"/>
      <c r="J396" s="101" t="s">
        <v>42</v>
      </c>
      <c r="L396" s="98" t="s">
        <v>29</v>
      </c>
      <c r="M396" s="99">
        <v>2083</v>
      </c>
      <c r="N396" s="99">
        <v>2083</v>
      </c>
      <c r="O396" s="99">
        <f t="shared" si="75"/>
        <v>31.244999999999997</v>
      </c>
      <c r="P396" s="99">
        <f t="shared" si="76"/>
        <v>2114.2449999999999</v>
      </c>
      <c r="Q396" s="99"/>
      <c r="R396" s="99"/>
      <c r="S396" s="100"/>
      <c r="T396" s="101" t="s">
        <v>42</v>
      </c>
    </row>
    <row r="399" spans="2:20" x14ac:dyDescent="0.3">
      <c r="B399" s="77" t="s">
        <v>0</v>
      </c>
      <c r="C399" s="229" t="s">
        <v>126</v>
      </c>
      <c r="D399" s="230"/>
      <c r="E399" s="230"/>
      <c r="F399" s="79"/>
      <c r="G399" s="80"/>
      <c r="H399" s="231" t="s">
        <v>1</v>
      </c>
      <c r="I399" s="231"/>
      <c r="J399" s="82">
        <v>20000</v>
      </c>
      <c r="L399" s="77" t="s">
        <v>0</v>
      </c>
      <c r="M399" s="229" t="s">
        <v>126</v>
      </c>
      <c r="N399" s="230"/>
      <c r="O399" s="230"/>
      <c r="P399" s="79"/>
      <c r="Q399" s="80"/>
      <c r="R399" s="231" t="s">
        <v>1</v>
      </c>
      <c r="S399" s="231"/>
      <c r="T399" s="82">
        <v>20000</v>
      </c>
    </row>
    <row r="400" spans="2:20" x14ac:dyDescent="0.3">
      <c r="B400" s="77" t="s">
        <v>2</v>
      </c>
      <c r="C400" s="83"/>
      <c r="D400" s="79"/>
      <c r="E400" s="83"/>
      <c r="F400" s="81"/>
      <c r="G400" s="81"/>
      <c r="H400" s="84"/>
      <c r="I400" s="81" t="s">
        <v>3</v>
      </c>
      <c r="J400" s="113" t="s">
        <v>183</v>
      </c>
      <c r="L400" s="77" t="s">
        <v>2</v>
      </c>
      <c r="M400" s="83"/>
      <c r="N400" s="79"/>
      <c r="O400" s="83"/>
      <c r="P400" s="81"/>
      <c r="Q400" s="81"/>
      <c r="R400" s="84"/>
      <c r="S400" s="81" t="s">
        <v>3</v>
      </c>
      <c r="T400" s="113" t="s">
        <v>183</v>
      </c>
    </row>
    <row r="401" spans="2:20" x14ac:dyDescent="0.3">
      <c r="B401" s="77" t="s">
        <v>4</v>
      </c>
      <c r="C401" s="78"/>
      <c r="D401" s="79"/>
      <c r="E401" s="78"/>
      <c r="F401" s="231" t="s">
        <v>5</v>
      </c>
      <c r="G401" s="231"/>
      <c r="H401" s="231"/>
      <c r="I401" s="231"/>
      <c r="J401" s="86">
        <v>1.4999999999999999E-2</v>
      </c>
      <c r="L401" s="77" t="s">
        <v>4</v>
      </c>
      <c r="M401" s="78"/>
      <c r="N401" s="79"/>
      <c r="O401" s="78"/>
      <c r="P401" s="231" t="s">
        <v>5</v>
      </c>
      <c r="Q401" s="231"/>
      <c r="R401" s="231"/>
      <c r="S401" s="231"/>
      <c r="T401" s="86">
        <v>1.4999999999999999E-2</v>
      </c>
    </row>
    <row r="402" spans="2:20" ht="15" thickBot="1" x14ac:dyDescent="0.35">
      <c r="B402" s="77" t="s">
        <v>6</v>
      </c>
      <c r="C402" s="232"/>
      <c r="D402" s="232"/>
      <c r="E402" s="233" t="s">
        <v>7</v>
      </c>
      <c r="F402" s="233"/>
      <c r="G402" s="233"/>
      <c r="H402" s="233"/>
      <c r="I402" s="233"/>
      <c r="J402" s="78">
        <v>12</v>
      </c>
      <c r="L402" s="77" t="s">
        <v>6</v>
      </c>
      <c r="M402" s="232"/>
      <c r="N402" s="232"/>
      <c r="O402" s="233" t="s">
        <v>7</v>
      </c>
      <c r="P402" s="233"/>
      <c r="Q402" s="233"/>
      <c r="R402" s="233"/>
      <c r="S402" s="233"/>
      <c r="T402" s="78">
        <v>12</v>
      </c>
    </row>
    <row r="403" spans="2:20" ht="41.4" thickBot="1" x14ac:dyDescent="0.35">
      <c r="B403" s="89" t="s">
        <v>8</v>
      </c>
      <c r="C403" s="89" t="s">
        <v>9</v>
      </c>
      <c r="D403" s="89" t="s">
        <v>10</v>
      </c>
      <c r="E403" s="90" t="s">
        <v>11</v>
      </c>
      <c r="F403" s="91" t="s">
        <v>12</v>
      </c>
      <c r="G403" s="92" t="s">
        <v>13</v>
      </c>
      <c r="H403" s="92" t="s">
        <v>14</v>
      </c>
      <c r="I403" s="92" t="s">
        <v>15</v>
      </c>
      <c r="J403" s="93" t="s">
        <v>16</v>
      </c>
      <c r="L403" s="89" t="s">
        <v>8</v>
      </c>
      <c r="M403" s="89" t="s">
        <v>9</v>
      </c>
      <c r="N403" s="89" t="s">
        <v>10</v>
      </c>
      <c r="O403" s="90" t="s">
        <v>11</v>
      </c>
      <c r="P403" s="91" t="s">
        <v>12</v>
      </c>
      <c r="Q403" s="92" t="s">
        <v>13</v>
      </c>
      <c r="R403" s="92" t="s">
        <v>14</v>
      </c>
      <c r="S403" s="92" t="s">
        <v>15</v>
      </c>
      <c r="T403" s="93" t="s">
        <v>16</v>
      </c>
    </row>
    <row r="404" spans="2:20" x14ac:dyDescent="0.3">
      <c r="B404" s="94" t="s">
        <v>17</v>
      </c>
      <c r="C404" s="95">
        <f>J399</f>
        <v>20000</v>
      </c>
      <c r="D404" s="95">
        <f>J399/J402</f>
        <v>1666.6666666666667</v>
      </c>
      <c r="E404" s="95">
        <f t="shared" ref="E404:E415" si="77">(C404*0.015)</f>
        <v>300</v>
      </c>
      <c r="F404" s="95">
        <f>'10 mos'!$D$9+E404</f>
        <v>1800</v>
      </c>
      <c r="G404" s="95"/>
      <c r="H404" s="95"/>
      <c r="I404" s="96"/>
      <c r="J404" s="97"/>
      <c r="L404" s="94" t="s">
        <v>17</v>
      </c>
      <c r="M404" s="95">
        <f>T399</f>
        <v>20000</v>
      </c>
      <c r="N404" s="95">
        <f>T399/T402</f>
        <v>1666.6666666666667</v>
      </c>
      <c r="O404" s="95">
        <f t="shared" ref="O404:O415" si="78">(M404*0.015)</f>
        <v>300</v>
      </c>
      <c r="P404" s="95">
        <f>'10 mos'!$D$9+O404</f>
        <v>1800</v>
      </c>
      <c r="Q404" s="95"/>
      <c r="R404" s="95"/>
      <c r="S404" s="96"/>
      <c r="T404" s="97"/>
    </row>
    <row r="405" spans="2:20" x14ac:dyDescent="0.3">
      <c r="B405" s="98" t="s">
        <v>18</v>
      </c>
      <c r="C405" s="99">
        <v>18333</v>
      </c>
      <c r="D405" s="99">
        <f>'10 mos'!$D$9</f>
        <v>1500</v>
      </c>
      <c r="E405" s="99">
        <f t="shared" si="77"/>
        <v>274.995</v>
      </c>
      <c r="F405" s="99">
        <f>'10 mos'!$D$9+E405</f>
        <v>1774.9949999999999</v>
      </c>
      <c r="G405" s="99"/>
      <c r="H405" s="99"/>
      <c r="I405" s="100"/>
      <c r="J405" s="101"/>
      <c r="L405" s="98" t="s">
        <v>18</v>
      </c>
      <c r="M405" s="99">
        <v>18333</v>
      </c>
      <c r="N405" s="99">
        <f>'10 mos'!$D$9</f>
        <v>1500</v>
      </c>
      <c r="O405" s="99">
        <f t="shared" si="78"/>
        <v>274.995</v>
      </c>
      <c r="P405" s="99">
        <f>'10 mos'!$D$9+O405</f>
        <v>1774.9949999999999</v>
      </c>
      <c r="Q405" s="99"/>
      <c r="R405" s="99"/>
      <c r="S405" s="100"/>
      <c r="T405" s="101"/>
    </row>
    <row r="406" spans="2:20" x14ac:dyDescent="0.3">
      <c r="B406" s="98" t="s">
        <v>19</v>
      </c>
      <c r="C406" s="99">
        <v>16667</v>
      </c>
      <c r="D406" s="99">
        <f>'10 mos'!$D$9</f>
        <v>1500</v>
      </c>
      <c r="E406" s="99">
        <f t="shared" si="77"/>
        <v>250.005</v>
      </c>
      <c r="F406" s="99">
        <f>'10 mos'!$D$9+E406</f>
        <v>1750.0050000000001</v>
      </c>
      <c r="G406" s="99"/>
      <c r="H406" s="99"/>
      <c r="I406" s="100"/>
      <c r="J406" s="101"/>
      <c r="L406" s="98" t="s">
        <v>19</v>
      </c>
      <c r="M406" s="99">
        <v>16667</v>
      </c>
      <c r="N406" s="99">
        <f>'10 mos'!$D$9</f>
        <v>1500</v>
      </c>
      <c r="O406" s="99">
        <f t="shared" si="78"/>
        <v>250.005</v>
      </c>
      <c r="P406" s="99">
        <f>'10 mos'!$D$9+O406</f>
        <v>1750.0050000000001</v>
      </c>
      <c r="Q406" s="99"/>
      <c r="R406" s="99"/>
      <c r="S406" s="100"/>
      <c r="T406" s="101"/>
    </row>
    <row r="407" spans="2:20" x14ac:dyDescent="0.3">
      <c r="B407" s="98" t="s">
        <v>20</v>
      </c>
      <c r="C407" s="99">
        <v>14999</v>
      </c>
      <c r="D407" s="99">
        <f>'10 mos'!$D$9</f>
        <v>1500</v>
      </c>
      <c r="E407" s="99">
        <f t="shared" si="77"/>
        <v>224.98499999999999</v>
      </c>
      <c r="F407" s="99">
        <f>'10 mos'!$D$9+E407</f>
        <v>1724.9849999999999</v>
      </c>
      <c r="G407" s="99"/>
      <c r="H407" s="99"/>
      <c r="I407" s="100"/>
      <c r="J407" s="101"/>
      <c r="L407" s="98" t="s">
        <v>20</v>
      </c>
      <c r="M407" s="99">
        <v>14999</v>
      </c>
      <c r="N407" s="99">
        <f>'10 mos'!$D$9</f>
        <v>1500</v>
      </c>
      <c r="O407" s="99">
        <f t="shared" si="78"/>
        <v>224.98499999999999</v>
      </c>
      <c r="P407" s="99">
        <f>'10 mos'!$D$9+O407</f>
        <v>1724.9849999999999</v>
      </c>
      <c r="Q407" s="99"/>
      <c r="R407" s="99"/>
      <c r="S407" s="100"/>
      <c r="T407" s="101"/>
    </row>
    <row r="408" spans="2:20" x14ac:dyDescent="0.3">
      <c r="B408" s="98" t="s">
        <v>21</v>
      </c>
      <c r="C408" s="99">
        <v>13333</v>
      </c>
      <c r="D408" s="99">
        <f>'10 mos'!$D$9</f>
        <v>1500</v>
      </c>
      <c r="E408" s="99">
        <f t="shared" si="77"/>
        <v>199.995</v>
      </c>
      <c r="F408" s="99">
        <f>'10 mos'!$D$9+E408</f>
        <v>1699.9949999999999</v>
      </c>
      <c r="G408" s="99"/>
      <c r="H408" s="99"/>
      <c r="I408" s="100"/>
      <c r="J408" s="101"/>
      <c r="L408" s="98" t="s">
        <v>21</v>
      </c>
      <c r="M408" s="99">
        <v>13333</v>
      </c>
      <c r="N408" s="99">
        <f>'10 mos'!$D$9</f>
        <v>1500</v>
      </c>
      <c r="O408" s="99">
        <f t="shared" si="78"/>
        <v>199.995</v>
      </c>
      <c r="P408" s="99">
        <f>'10 mos'!$D$9+O408</f>
        <v>1699.9949999999999</v>
      </c>
      <c r="Q408" s="99"/>
      <c r="R408" s="99"/>
      <c r="S408" s="100"/>
      <c r="T408" s="101"/>
    </row>
    <row r="409" spans="2:20" x14ac:dyDescent="0.3">
      <c r="B409" s="98" t="s">
        <v>23</v>
      </c>
      <c r="C409" s="99">
        <v>11665</v>
      </c>
      <c r="D409" s="99">
        <f>'10 mos'!$D$9</f>
        <v>1500</v>
      </c>
      <c r="E409" s="99">
        <f t="shared" si="77"/>
        <v>174.97499999999999</v>
      </c>
      <c r="F409" s="99">
        <f>'10 mos'!$D$9+E409</f>
        <v>1674.9749999999999</v>
      </c>
      <c r="G409" s="99"/>
      <c r="H409" s="99"/>
      <c r="I409" s="100"/>
      <c r="J409" s="101"/>
      <c r="L409" s="98" t="s">
        <v>23</v>
      </c>
      <c r="M409" s="99">
        <v>11665</v>
      </c>
      <c r="N409" s="99">
        <f>'10 mos'!$D$9</f>
        <v>1500</v>
      </c>
      <c r="O409" s="99">
        <f t="shared" si="78"/>
        <v>174.97499999999999</v>
      </c>
      <c r="P409" s="99">
        <f>'10 mos'!$D$9+O409</f>
        <v>1674.9749999999999</v>
      </c>
      <c r="Q409" s="99"/>
      <c r="R409" s="99"/>
      <c r="S409" s="100"/>
      <c r="T409" s="101"/>
    </row>
    <row r="410" spans="2:20" x14ac:dyDescent="0.3">
      <c r="B410" s="98" t="s">
        <v>24</v>
      </c>
      <c r="C410" s="99">
        <v>9999</v>
      </c>
      <c r="D410" s="99">
        <f>'10 mos'!$D$9</f>
        <v>1500</v>
      </c>
      <c r="E410" s="99">
        <f t="shared" si="77"/>
        <v>149.98499999999999</v>
      </c>
      <c r="F410" s="99">
        <f>'10 mos'!$D$9+E410</f>
        <v>1649.9849999999999</v>
      </c>
      <c r="G410" s="99"/>
      <c r="H410" s="99"/>
      <c r="I410" s="100"/>
      <c r="J410" s="101"/>
      <c r="L410" s="98" t="s">
        <v>24</v>
      </c>
      <c r="M410" s="99">
        <v>9999</v>
      </c>
      <c r="N410" s="99">
        <f>'10 mos'!$D$9</f>
        <v>1500</v>
      </c>
      <c r="O410" s="99">
        <f t="shared" si="78"/>
        <v>149.98499999999999</v>
      </c>
      <c r="P410" s="99">
        <f>'10 mos'!$D$9+O410</f>
        <v>1649.9849999999999</v>
      </c>
      <c r="Q410" s="99"/>
      <c r="R410" s="99"/>
      <c r="S410" s="100"/>
      <c r="T410" s="101"/>
    </row>
    <row r="411" spans="2:20" x14ac:dyDescent="0.3">
      <c r="B411" s="98" t="s">
        <v>25</v>
      </c>
      <c r="C411" s="99">
        <v>8332</v>
      </c>
      <c r="D411" s="99">
        <f>'10 mos'!$D$9</f>
        <v>1500</v>
      </c>
      <c r="E411" s="99">
        <f t="shared" si="77"/>
        <v>124.97999999999999</v>
      </c>
      <c r="F411" s="99">
        <f>'10 mos'!$D$9+E411</f>
        <v>1624.98</v>
      </c>
      <c r="G411" s="99"/>
      <c r="H411" s="99"/>
      <c r="I411" s="100"/>
      <c r="J411" s="101"/>
      <c r="L411" s="98" t="s">
        <v>25</v>
      </c>
      <c r="M411" s="99">
        <v>8332</v>
      </c>
      <c r="N411" s="99">
        <f>'10 mos'!$D$9</f>
        <v>1500</v>
      </c>
      <c r="O411" s="99">
        <f t="shared" si="78"/>
        <v>124.97999999999999</v>
      </c>
      <c r="P411" s="99">
        <f>'10 mos'!$D$9+O411</f>
        <v>1624.98</v>
      </c>
      <c r="Q411" s="99"/>
      <c r="R411" s="99"/>
      <c r="S411" s="100"/>
      <c r="T411" s="101"/>
    </row>
    <row r="412" spans="2:20" x14ac:dyDescent="0.3">
      <c r="B412" s="98" t="s">
        <v>26</v>
      </c>
      <c r="C412" s="99">
        <v>6664</v>
      </c>
      <c r="D412" s="99">
        <f>'10 mos'!$D$9</f>
        <v>1500</v>
      </c>
      <c r="E412" s="99">
        <f t="shared" si="77"/>
        <v>99.96</v>
      </c>
      <c r="F412" s="99">
        <f>'10 mos'!$D$9+E412</f>
        <v>1599.96</v>
      </c>
      <c r="G412" s="99"/>
      <c r="H412" s="99"/>
      <c r="I412" s="100"/>
      <c r="J412" s="101"/>
      <c r="L412" s="98" t="s">
        <v>26</v>
      </c>
      <c r="M412" s="99">
        <v>6664</v>
      </c>
      <c r="N412" s="99">
        <f>'10 mos'!$D$9</f>
        <v>1500</v>
      </c>
      <c r="O412" s="99">
        <f t="shared" si="78"/>
        <v>99.96</v>
      </c>
      <c r="P412" s="99">
        <f>'10 mos'!$D$9+O412</f>
        <v>1599.96</v>
      </c>
      <c r="Q412" s="99"/>
      <c r="R412" s="99"/>
      <c r="S412" s="100"/>
      <c r="T412" s="101"/>
    </row>
    <row r="413" spans="2:20" x14ac:dyDescent="0.3">
      <c r="B413" s="98" t="s">
        <v>27</v>
      </c>
      <c r="C413" s="99">
        <v>4997</v>
      </c>
      <c r="D413" s="99">
        <f>'10 mos'!$D$9</f>
        <v>1500</v>
      </c>
      <c r="E413" s="99">
        <f t="shared" si="77"/>
        <v>74.954999999999998</v>
      </c>
      <c r="F413" s="99">
        <f>'10 mos'!$D$9+E413</f>
        <v>1574.9549999999999</v>
      </c>
      <c r="G413" s="99"/>
      <c r="H413" s="99"/>
      <c r="I413" s="100"/>
      <c r="J413" s="101"/>
      <c r="L413" s="98" t="s">
        <v>27</v>
      </c>
      <c r="M413" s="99">
        <v>4997</v>
      </c>
      <c r="N413" s="99">
        <f>'10 mos'!$D$9</f>
        <v>1500</v>
      </c>
      <c r="O413" s="99">
        <f t="shared" si="78"/>
        <v>74.954999999999998</v>
      </c>
      <c r="P413" s="99">
        <f>'10 mos'!$D$9+O413</f>
        <v>1574.9549999999999</v>
      </c>
      <c r="Q413" s="99"/>
      <c r="R413" s="99"/>
      <c r="S413" s="100"/>
      <c r="T413" s="101"/>
    </row>
    <row r="414" spans="2:20" x14ac:dyDescent="0.3">
      <c r="B414" s="98" t="s">
        <v>28</v>
      </c>
      <c r="C414" s="99">
        <v>3330</v>
      </c>
      <c r="D414" s="99">
        <f>'10 mos'!$D$9</f>
        <v>1500</v>
      </c>
      <c r="E414" s="99">
        <f t="shared" si="77"/>
        <v>49.949999999999996</v>
      </c>
      <c r="F414" s="99">
        <f>'10 mos'!$D$9+E414</f>
        <v>1549.95</v>
      </c>
      <c r="G414" s="99"/>
      <c r="H414" s="99"/>
      <c r="I414" s="100"/>
      <c r="J414" s="101"/>
      <c r="L414" s="98" t="s">
        <v>28</v>
      </c>
      <c r="M414" s="99">
        <v>3330</v>
      </c>
      <c r="N414" s="99">
        <f>'10 mos'!$D$9</f>
        <v>1500</v>
      </c>
      <c r="O414" s="99">
        <f t="shared" si="78"/>
        <v>49.949999999999996</v>
      </c>
      <c r="P414" s="99">
        <f>'10 mos'!$D$9+O414</f>
        <v>1549.95</v>
      </c>
      <c r="Q414" s="99"/>
      <c r="R414" s="99"/>
      <c r="S414" s="100"/>
      <c r="T414" s="101"/>
    </row>
    <row r="415" spans="2:20" x14ac:dyDescent="0.3">
      <c r="B415" s="98" t="s">
        <v>29</v>
      </c>
      <c r="C415" s="99">
        <v>1667</v>
      </c>
      <c r="D415" s="99">
        <f>'10 mos'!$D$9</f>
        <v>1500</v>
      </c>
      <c r="E415" s="99">
        <f t="shared" si="77"/>
        <v>25.004999999999999</v>
      </c>
      <c r="F415" s="99">
        <f>'10 mos'!$D$9+E415</f>
        <v>1525.0050000000001</v>
      </c>
      <c r="G415" s="99"/>
      <c r="H415" s="99"/>
      <c r="I415" s="100"/>
      <c r="J415" s="101" t="s">
        <v>42</v>
      </c>
      <c r="L415" s="98" t="s">
        <v>29</v>
      </c>
      <c r="M415" s="99">
        <v>1667</v>
      </c>
      <c r="N415" s="99">
        <f>'10 mos'!$D$9</f>
        <v>1500</v>
      </c>
      <c r="O415" s="99">
        <f t="shared" si="78"/>
        <v>25.004999999999999</v>
      </c>
      <c r="P415" s="99">
        <f>'10 mos'!$D$9+O415</f>
        <v>1525.0050000000001</v>
      </c>
      <c r="Q415" s="99"/>
      <c r="R415" s="99"/>
      <c r="S415" s="100"/>
      <c r="T415" s="101" t="s">
        <v>42</v>
      </c>
    </row>
    <row r="418" spans="2:20" x14ac:dyDescent="0.3">
      <c r="B418" s="77" t="s">
        <v>0</v>
      </c>
      <c r="C418" s="77" t="s">
        <v>166</v>
      </c>
      <c r="D418" s="112"/>
      <c r="E418" s="112"/>
      <c r="F418" s="79"/>
      <c r="G418" s="80"/>
      <c r="H418" s="79"/>
      <c r="I418" s="81" t="s">
        <v>1</v>
      </c>
      <c r="J418" s="82">
        <v>11000</v>
      </c>
      <c r="L418" s="77" t="s">
        <v>0</v>
      </c>
      <c r="M418" s="77" t="s">
        <v>166</v>
      </c>
      <c r="N418" s="77"/>
      <c r="O418" s="112"/>
      <c r="P418" s="79"/>
      <c r="Q418" s="80"/>
      <c r="S418" s="81" t="s">
        <v>1</v>
      </c>
      <c r="T418" s="82">
        <v>11000</v>
      </c>
    </row>
    <row r="419" spans="2:20" x14ac:dyDescent="0.3">
      <c r="B419" s="77" t="s">
        <v>2</v>
      </c>
      <c r="C419" s="83"/>
      <c r="D419" s="79"/>
      <c r="E419" s="83"/>
      <c r="F419" s="81"/>
      <c r="G419" s="81"/>
      <c r="H419" s="84"/>
      <c r="I419" s="81" t="s">
        <v>3</v>
      </c>
      <c r="J419" s="85" t="s">
        <v>165</v>
      </c>
      <c r="L419" s="77" t="s">
        <v>2</v>
      </c>
      <c r="M419" s="131"/>
      <c r="N419" s="79"/>
      <c r="O419" s="83"/>
      <c r="P419" s="81"/>
      <c r="Q419" s="81"/>
      <c r="R419" s="84"/>
      <c r="S419" s="81" t="s">
        <v>3</v>
      </c>
      <c r="T419" s="113" t="s">
        <v>161</v>
      </c>
    </row>
    <row r="420" spans="2:20" x14ac:dyDescent="0.3">
      <c r="B420" s="77" t="s">
        <v>4</v>
      </c>
      <c r="C420" s="78"/>
      <c r="D420" s="79"/>
      <c r="E420" s="78"/>
      <c r="F420" s="79"/>
      <c r="G420" s="81"/>
      <c r="H420" s="79"/>
      <c r="I420" s="81" t="s">
        <v>5</v>
      </c>
      <c r="J420" s="86">
        <v>1.4999999999999999E-2</v>
      </c>
      <c r="L420" s="77" t="s">
        <v>4</v>
      </c>
      <c r="M420" s="112"/>
      <c r="N420" s="79"/>
      <c r="O420" s="78"/>
      <c r="Q420" s="81"/>
      <c r="R420" s="81"/>
      <c r="S420" s="81" t="s">
        <v>5</v>
      </c>
      <c r="T420" s="86">
        <v>1.4999999999999999E-2</v>
      </c>
    </row>
    <row r="421" spans="2:20" ht="15" thickBot="1" x14ac:dyDescent="0.35">
      <c r="B421" s="77" t="s">
        <v>6</v>
      </c>
      <c r="C421" s="87"/>
      <c r="D421" s="87"/>
      <c r="E421" s="79"/>
      <c r="F421" s="88"/>
      <c r="G421" s="88"/>
      <c r="I421" s="88" t="s">
        <v>7</v>
      </c>
      <c r="J421" s="78">
        <v>10</v>
      </c>
      <c r="L421" s="77" t="s">
        <v>6</v>
      </c>
      <c r="M421" s="133"/>
      <c r="N421" s="87"/>
      <c r="P421" s="88"/>
      <c r="Q421" s="88"/>
      <c r="R421" s="88"/>
      <c r="S421" s="88" t="s">
        <v>7</v>
      </c>
      <c r="T421" s="78">
        <v>12</v>
      </c>
    </row>
    <row r="422" spans="2:20" ht="41.4" thickBot="1" x14ac:dyDescent="0.35">
      <c r="B422" s="89" t="s">
        <v>8</v>
      </c>
      <c r="C422" s="89" t="s">
        <v>9</v>
      </c>
      <c r="D422" s="89" t="s">
        <v>10</v>
      </c>
      <c r="E422" s="90" t="s">
        <v>11</v>
      </c>
      <c r="F422" s="91" t="s">
        <v>12</v>
      </c>
      <c r="G422" s="92" t="s">
        <v>13</v>
      </c>
      <c r="H422" s="92" t="s">
        <v>14</v>
      </c>
      <c r="I422" s="92" t="s">
        <v>15</v>
      </c>
      <c r="J422" s="93" t="s">
        <v>16</v>
      </c>
      <c r="L422" s="89" t="s">
        <v>8</v>
      </c>
      <c r="M422" s="89" t="s">
        <v>9</v>
      </c>
      <c r="N422" s="89" t="s">
        <v>10</v>
      </c>
      <c r="O422" s="90" t="s">
        <v>11</v>
      </c>
      <c r="P422" s="91" t="s">
        <v>12</v>
      </c>
      <c r="Q422" s="92" t="s">
        <v>13</v>
      </c>
      <c r="R422" s="92" t="s">
        <v>14</v>
      </c>
      <c r="S422" s="92" t="s">
        <v>15</v>
      </c>
      <c r="T422" s="93" t="s">
        <v>16</v>
      </c>
    </row>
    <row r="423" spans="2:20" x14ac:dyDescent="0.3">
      <c r="B423" s="94" t="s">
        <v>17</v>
      </c>
      <c r="C423" s="95">
        <f>J418</f>
        <v>11000</v>
      </c>
      <c r="D423" s="95">
        <f>J418/J421</f>
        <v>1100</v>
      </c>
      <c r="E423" s="95">
        <f t="shared" ref="E423:E434" si="79">(C423*0.015)</f>
        <v>165</v>
      </c>
      <c r="F423" s="95">
        <f t="shared" ref="F423:F434" si="80">SUM(D423:E423)</f>
        <v>1265</v>
      </c>
      <c r="G423" s="95"/>
      <c r="H423" s="95"/>
      <c r="I423" s="96"/>
      <c r="J423" s="97"/>
      <c r="L423" s="94" t="s">
        <v>17</v>
      </c>
      <c r="M423" s="95">
        <f>T418</f>
        <v>11000</v>
      </c>
      <c r="N423" s="95">
        <f>T418/T421</f>
        <v>916.66666666666663</v>
      </c>
      <c r="O423" s="95">
        <f t="shared" ref="O423:O434" si="81">(M423*0.015)</f>
        <v>165</v>
      </c>
      <c r="P423" s="95">
        <f>'24 mos'!$D$131+O423</f>
        <v>998.33333333333337</v>
      </c>
      <c r="Q423" s="95"/>
      <c r="R423" s="95"/>
      <c r="S423" s="96"/>
      <c r="T423" s="97"/>
    </row>
    <row r="424" spans="2:20" x14ac:dyDescent="0.3">
      <c r="B424" s="98" t="s">
        <v>18</v>
      </c>
      <c r="C424" s="99">
        <v>9163</v>
      </c>
      <c r="D424" s="99">
        <v>917</v>
      </c>
      <c r="E424" s="99">
        <f t="shared" si="79"/>
        <v>137.44499999999999</v>
      </c>
      <c r="F424" s="99">
        <f t="shared" si="80"/>
        <v>1054.4449999999999</v>
      </c>
      <c r="G424" s="99"/>
      <c r="H424" s="99"/>
      <c r="I424" s="100"/>
      <c r="J424" s="101"/>
      <c r="L424" s="98" t="s">
        <v>18</v>
      </c>
      <c r="M424" s="99">
        <v>18333</v>
      </c>
      <c r="N424" s="99">
        <f>'24 mos'!$D$131</f>
        <v>833.33333333333337</v>
      </c>
      <c r="O424" s="99">
        <f t="shared" si="81"/>
        <v>274.995</v>
      </c>
      <c r="P424" s="99">
        <f>'24 mos'!$D$131+O424</f>
        <v>1108.3283333333334</v>
      </c>
      <c r="Q424" s="99"/>
      <c r="R424" s="99"/>
      <c r="S424" s="100"/>
      <c r="T424" s="101"/>
    </row>
    <row r="425" spans="2:20" x14ac:dyDescent="0.3">
      <c r="B425" s="98" t="s">
        <v>19</v>
      </c>
      <c r="C425" s="99">
        <v>8330</v>
      </c>
      <c r="D425" s="99">
        <v>917</v>
      </c>
      <c r="E425" s="99">
        <f t="shared" si="79"/>
        <v>124.94999999999999</v>
      </c>
      <c r="F425" s="99">
        <f t="shared" si="80"/>
        <v>1041.95</v>
      </c>
      <c r="G425" s="99"/>
      <c r="H425" s="99"/>
      <c r="I425" s="100"/>
      <c r="J425" s="101"/>
      <c r="L425" s="98" t="s">
        <v>19</v>
      </c>
      <c r="M425" s="99">
        <v>16667</v>
      </c>
      <c r="N425" s="99">
        <f>'24 mos'!$D$131</f>
        <v>833.33333333333337</v>
      </c>
      <c r="O425" s="99">
        <f t="shared" si="81"/>
        <v>250.005</v>
      </c>
      <c r="P425" s="99">
        <f>'24 mos'!$D$131+O425</f>
        <v>1083.3383333333334</v>
      </c>
      <c r="Q425" s="99"/>
      <c r="R425" s="99"/>
      <c r="S425" s="100"/>
      <c r="T425" s="101"/>
    </row>
    <row r="426" spans="2:20" x14ac:dyDescent="0.3">
      <c r="B426" s="98" t="s">
        <v>20</v>
      </c>
      <c r="C426" s="99">
        <v>7497</v>
      </c>
      <c r="D426" s="99">
        <v>917</v>
      </c>
      <c r="E426" s="99">
        <f t="shared" si="79"/>
        <v>112.455</v>
      </c>
      <c r="F426" s="99">
        <f t="shared" si="80"/>
        <v>1029.4549999999999</v>
      </c>
      <c r="G426" s="99"/>
      <c r="H426" s="99"/>
      <c r="I426" s="100"/>
      <c r="J426" s="101"/>
      <c r="L426" s="98" t="s">
        <v>20</v>
      </c>
      <c r="M426" s="99">
        <v>14999</v>
      </c>
      <c r="N426" s="99">
        <f>'24 mos'!$D$131</f>
        <v>833.33333333333337</v>
      </c>
      <c r="O426" s="99">
        <f t="shared" si="81"/>
        <v>224.98499999999999</v>
      </c>
      <c r="P426" s="99">
        <f>'24 mos'!$D$131+O426</f>
        <v>1058.3183333333334</v>
      </c>
      <c r="Q426" s="99"/>
      <c r="R426" s="99"/>
      <c r="S426" s="100"/>
      <c r="T426" s="101"/>
    </row>
    <row r="427" spans="2:20" x14ac:dyDescent="0.3">
      <c r="B427" s="98" t="s">
        <v>21</v>
      </c>
      <c r="C427" s="99">
        <v>6664</v>
      </c>
      <c r="D427" s="99">
        <v>917</v>
      </c>
      <c r="E427" s="99">
        <f t="shared" si="79"/>
        <v>99.96</v>
      </c>
      <c r="F427" s="99">
        <f t="shared" si="80"/>
        <v>1016.96</v>
      </c>
      <c r="G427" s="99"/>
      <c r="H427" s="99"/>
      <c r="I427" s="100"/>
      <c r="J427" s="101"/>
      <c r="L427" s="98" t="s">
        <v>21</v>
      </c>
      <c r="M427" s="99">
        <v>13333</v>
      </c>
      <c r="N427" s="99">
        <f>'24 mos'!$D$131</f>
        <v>833.33333333333337</v>
      </c>
      <c r="O427" s="99">
        <f t="shared" si="81"/>
        <v>199.995</v>
      </c>
      <c r="P427" s="99">
        <f>'24 mos'!$D$131+O427</f>
        <v>1033.3283333333334</v>
      </c>
      <c r="Q427" s="99"/>
      <c r="R427" s="99"/>
      <c r="S427" s="100"/>
      <c r="T427" s="101"/>
    </row>
    <row r="428" spans="2:20" x14ac:dyDescent="0.3">
      <c r="B428" s="98" t="s">
        <v>23</v>
      </c>
      <c r="C428" s="99">
        <v>5831</v>
      </c>
      <c r="D428" s="99">
        <v>917</v>
      </c>
      <c r="E428" s="99">
        <f t="shared" si="79"/>
        <v>87.465000000000003</v>
      </c>
      <c r="F428" s="99">
        <f t="shared" si="80"/>
        <v>1004.465</v>
      </c>
      <c r="G428" s="99"/>
      <c r="H428" s="99"/>
      <c r="I428" s="100"/>
      <c r="J428" s="101"/>
      <c r="L428" s="98" t="s">
        <v>23</v>
      </c>
      <c r="M428" s="99">
        <v>11665</v>
      </c>
      <c r="N428" s="99">
        <f>'24 mos'!$D$131</f>
        <v>833.33333333333337</v>
      </c>
      <c r="O428" s="99">
        <f t="shared" si="81"/>
        <v>174.97499999999999</v>
      </c>
      <c r="P428" s="99">
        <f>'24 mos'!$D$131+O428</f>
        <v>1008.3083333333334</v>
      </c>
      <c r="Q428" s="99"/>
      <c r="R428" s="99"/>
      <c r="S428" s="100"/>
      <c r="T428" s="101"/>
    </row>
    <row r="429" spans="2:20" x14ac:dyDescent="0.3">
      <c r="B429" s="98" t="s">
        <v>24</v>
      </c>
      <c r="C429" s="99">
        <v>4998</v>
      </c>
      <c r="D429" s="99">
        <v>917</v>
      </c>
      <c r="E429" s="99">
        <f t="shared" si="79"/>
        <v>74.97</v>
      </c>
      <c r="F429" s="99">
        <f t="shared" si="80"/>
        <v>991.97</v>
      </c>
      <c r="G429" s="99"/>
      <c r="H429" s="99"/>
      <c r="I429" s="100"/>
      <c r="J429" s="101"/>
      <c r="L429" s="98" t="s">
        <v>24</v>
      </c>
      <c r="M429" s="99">
        <v>9999</v>
      </c>
      <c r="N429" s="99">
        <f>'24 mos'!$D$131</f>
        <v>833.33333333333337</v>
      </c>
      <c r="O429" s="99">
        <f t="shared" si="81"/>
        <v>149.98499999999999</v>
      </c>
      <c r="P429" s="99">
        <f>'24 mos'!$D$131+O429</f>
        <v>983.31833333333338</v>
      </c>
      <c r="Q429" s="99"/>
      <c r="R429" s="99"/>
      <c r="S429" s="100"/>
      <c r="T429" s="101"/>
    </row>
    <row r="430" spans="2:20" x14ac:dyDescent="0.3">
      <c r="B430" s="98" t="s">
        <v>25</v>
      </c>
      <c r="C430" s="99">
        <v>4165</v>
      </c>
      <c r="D430" s="99">
        <v>917</v>
      </c>
      <c r="E430" s="99">
        <f t="shared" si="79"/>
        <v>62.474999999999994</v>
      </c>
      <c r="F430" s="99">
        <f t="shared" si="80"/>
        <v>979.47500000000002</v>
      </c>
      <c r="G430" s="99"/>
      <c r="H430" s="99"/>
      <c r="I430" s="100"/>
      <c r="J430" s="101"/>
      <c r="L430" s="98" t="s">
        <v>25</v>
      </c>
      <c r="M430" s="99">
        <v>8332</v>
      </c>
      <c r="N430" s="99">
        <f>'24 mos'!$D$131</f>
        <v>833.33333333333337</v>
      </c>
      <c r="O430" s="99">
        <f t="shared" si="81"/>
        <v>124.97999999999999</v>
      </c>
      <c r="P430" s="99">
        <f>'24 mos'!$D$131+O430</f>
        <v>958.31333333333339</v>
      </c>
      <c r="Q430" s="99"/>
      <c r="R430" s="99"/>
      <c r="S430" s="100"/>
      <c r="T430" s="101"/>
    </row>
    <row r="431" spans="2:20" x14ac:dyDescent="0.3">
      <c r="B431" s="98" t="s">
        <v>26</v>
      </c>
      <c r="C431" s="99">
        <v>3332</v>
      </c>
      <c r="D431" s="99">
        <v>917</v>
      </c>
      <c r="E431" s="99">
        <f t="shared" si="79"/>
        <v>49.98</v>
      </c>
      <c r="F431" s="99">
        <f t="shared" si="80"/>
        <v>966.98</v>
      </c>
      <c r="G431" s="99"/>
      <c r="H431" s="99"/>
      <c r="I431" s="100"/>
      <c r="J431" s="101"/>
      <c r="L431" s="98" t="s">
        <v>26</v>
      </c>
      <c r="M431" s="99">
        <v>6664</v>
      </c>
      <c r="N431" s="99">
        <f>'24 mos'!$D$131</f>
        <v>833.33333333333337</v>
      </c>
      <c r="O431" s="99">
        <f t="shared" si="81"/>
        <v>99.96</v>
      </c>
      <c r="P431" s="99">
        <f>'24 mos'!$D$131+O431</f>
        <v>933.29333333333341</v>
      </c>
      <c r="Q431" s="99"/>
      <c r="R431" s="99"/>
      <c r="S431" s="100"/>
      <c r="T431" s="101"/>
    </row>
    <row r="432" spans="2:20" x14ac:dyDescent="0.3">
      <c r="B432" s="98" t="s">
        <v>27</v>
      </c>
      <c r="C432" s="99">
        <v>2499</v>
      </c>
      <c r="D432" s="99">
        <v>917</v>
      </c>
      <c r="E432" s="99">
        <f t="shared" si="79"/>
        <v>37.484999999999999</v>
      </c>
      <c r="F432" s="99">
        <f t="shared" si="80"/>
        <v>954.48500000000001</v>
      </c>
      <c r="G432" s="99"/>
      <c r="H432" s="99"/>
      <c r="I432" s="100"/>
      <c r="J432" s="101"/>
      <c r="L432" s="98" t="s">
        <v>27</v>
      </c>
      <c r="M432" s="99">
        <v>4997</v>
      </c>
      <c r="N432" s="99">
        <f>'24 mos'!$D$131</f>
        <v>833.33333333333337</v>
      </c>
      <c r="O432" s="99">
        <f t="shared" si="81"/>
        <v>74.954999999999998</v>
      </c>
      <c r="P432" s="99">
        <f>'24 mos'!$D$131+O432</f>
        <v>908.28833333333341</v>
      </c>
      <c r="Q432" s="99"/>
      <c r="R432" s="99"/>
      <c r="S432" s="100"/>
      <c r="T432" s="101"/>
    </row>
    <row r="433" spans="2:20" x14ac:dyDescent="0.3">
      <c r="B433" s="98" t="s">
        <v>28</v>
      </c>
      <c r="C433" s="99">
        <v>1834</v>
      </c>
      <c r="D433" s="99">
        <v>917</v>
      </c>
      <c r="E433" s="99">
        <f t="shared" si="79"/>
        <v>27.509999999999998</v>
      </c>
      <c r="F433" s="99">
        <f t="shared" si="80"/>
        <v>944.51</v>
      </c>
      <c r="G433" s="99"/>
      <c r="H433" s="99"/>
      <c r="I433" s="100"/>
      <c r="J433" s="101"/>
      <c r="L433" s="98" t="s">
        <v>28</v>
      </c>
      <c r="M433" s="99">
        <v>3330</v>
      </c>
      <c r="N433" s="99">
        <f>'24 mos'!$D$131</f>
        <v>833.33333333333337</v>
      </c>
      <c r="O433" s="99">
        <f t="shared" si="81"/>
        <v>49.949999999999996</v>
      </c>
      <c r="P433" s="99">
        <f>'24 mos'!$D$131+O433</f>
        <v>883.28333333333342</v>
      </c>
      <c r="Q433" s="99"/>
      <c r="R433" s="99"/>
      <c r="S433" s="100"/>
      <c r="T433" s="101"/>
    </row>
    <row r="434" spans="2:20" x14ac:dyDescent="0.3">
      <c r="B434" s="98" t="s">
        <v>29</v>
      </c>
      <c r="C434" s="99">
        <v>917</v>
      </c>
      <c r="D434" s="99">
        <v>917</v>
      </c>
      <c r="E434" s="99">
        <f t="shared" si="79"/>
        <v>13.754999999999999</v>
      </c>
      <c r="F434" s="99">
        <f t="shared" si="80"/>
        <v>930.755</v>
      </c>
      <c r="G434" s="99"/>
      <c r="H434" s="99"/>
      <c r="I434" s="100"/>
      <c r="J434" s="101" t="s">
        <v>42</v>
      </c>
      <c r="L434" s="98" t="s">
        <v>29</v>
      </c>
      <c r="M434" s="99">
        <v>1667</v>
      </c>
      <c r="N434" s="99">
        <f>'24 mos'!$D$131</f>
        <v>833.33333333333337</v>
      </c>
      <c r="O434" s="99">
        <f t="shared" si="81"/>
        <v>25.004999999999999</v>
      </c>
      <c r="P434" s="99">
        <f>'24 mos'!$D$131+O434</f>
        <v>858.33833333333337</v>
      </c>
      <c r="Q434" s="99"/>
      <c r="R434" s="99"/>
      <c r="S434" s="100"/>
      <c r="T434" s="101" t="s">
        <v>42</v>
      </c>
    </row>
    <row r="437" spans="2:20" x14ac:dyDescent="0.3">
      <c r="B437" s="77" t="s">
        <v>0</v>
      </c>
      <c r="C437" s="77" t="s">
        <v>95</v>
      </c>
      <c r="D437" s="112"/>
      <c r="E437" s="112"/>
      <c r="F437" s="79"/>
      <c r="G437" s="80"/>
      <c r="I437" s="77" t="s">
        <v>1</v>
      </c>
      <c r="J437" s="82">
        <v>25000</v>
      </c>
      <c r="L437" s="77" t="s">
        <v>0</v>
      </c>
      <c r="M437" s="77" t="s">
        <v>95</v>
      </c>
      <c r="N437" s="112"/>
      <c r="O437" s="112"/>
      <c r="P437" s="79"/>
      <c r="Q437" s="80"/>
      <c r="S437" s="77" t="s">
        <v>1</v>
      </c>
      <c r="T437" s="82">
        <v>25000</v>
      </c>
    </row>
    <row r="438" spans="2:20" x14ac:dyDescent="0.3">
      <c r="B438" s="77" t="s">
        <v>2</v>
      </c>
      <c r="C438" s="83"/>
      <c r="D438" s="79"/>
      <c r="E438" s="83"/>
      <c r="F438" s="81"/>
      <c r="G438" s="81"/>
      <c r="H438" s="134"/>
      <c r="I438" s="77" t="s">
        <v>3</v>
      </c>
      <c r="J438" s="113" t="s">
        <v>182</v>
      </c>
      <c r="L438" s="77" t="s">
        <v>2</v>
      </c>
      <c r="M438" s="83"/>
      <c r="N438" s="79"/>
      <c r="O438" s="83"/>
      <c r="P438" s="81"/>
      <c r="Q438" s="81"/>
      <c r="R438" s="134"/>
      <c r="S438" s="77" t="s">
        <v>3</v>
      </c>
      <c r="T438" s="113" t="s">
        <v>182</v>
      </c>
    </row>
    <row r="439" spans="2:20" x14ac:dyDescent="0.3">
      <c r="B439" s="77" t="s">
        <v>4</v>
      </c>
      <c r="C439" s="78"/>
      <c r="D439" s="79"/>
      <c r="E439" s="78"/>
      <c r="G439" s="81"/>
      <c r="H439" s="77"/>
      <c r="I439" s="77" t="s">
        <v>5</v>
      </c>
      <c r="J439" s="86">
        <v>1.4999999999999999E-2</v>
      </c>
      <c r="L439" s="77" t="s">
        <v>4</v>
      </c>
      <c r="M439" s="78"/>
      <c r="N439" s="79"/>
      <c r="O439" s="78"/>
      <c r="Q439" s="81"/>
      <c r="R439" s="77"/>
      <c r="S439" s="77" t="s">
        <v>5</v>
      </c>
      <c r="T439" s="86">
        <v>1.4999999999999999E-2</v>
      </c>
    </row>
    <row r="440" spans="2:20" ht="15" thickBot="1" x14ac:dyDescent="0.35">
      <c r="B440" s="77" t="s">
        <v>6</v>
      </c>
      <c r="C440" s="87"/>
      <c r="F440" s="88"/>
      <c r="G440" s="88"/>
      <c r="H440" s="42"/>
      <c r="I440" s="114" t="s">
        <v>7</v>
      </c>
      <c r="J440" s="78">
        <v>12</v>
      </c>
      <c r="L440" s="77" t="s">
        <v>6</v>
      </c>
      <c r="M440" s="87"/>
      <c r="P440" s="88"/>
      <c r="Q440" s="88"/>
      <c r="R440" s="42"/>
      <c r="S440" s="114" t="s">
        <v>7</v>
      </c>
      <c r="T440" s="78">
        <v>12</v>
      </c>
    </row>
    <row r="441" spans="2:20" ht="41.4" thickBot="1" x14ac:dyDescent="0.35">
      <c r="B441" s="89" t="s">
        <v>8</v>
      </c>
      <c r="C441" s="89" t="s">
        <v>9</v>
      </c>
      <c r="D441" s="89" t="s">
        <v>10</v>
      </c>
      <c r="E441" s="90" t="s">
        <v>11</v>
      </c>
      <c r="F441" s="91" t="s">
        <v>12</v>
      </c>
      <c r="G441" s="92" t="s">
        <v>13</v>
      </c>
      <c r="H441" s="92" t="s">
        <v>14</v>
      </c>
      <c r="I441" s="92" t="s">
        <v>15</v>
      </c>
      <c r="J441" s="93" t="s">
        <v>16</v>
      </c>
      <c r="L441" s="89" t="s">
        <v>8</v>
      </c>
      <c r="M441" s="89" t="s">
        <v>9</v>
      </c>
      <c r="N441" s="89" t="s">
        <v>10</v>
      </c>
      <c r="O441" s="90" t="s">
        <v>11</v>
      </c>
      <c r="P441" s="91" t="s">
        <v>12</v>
      </c>
      <c r="Q441" s="92" t="s">
        <v>13</v>
      </c>
      <c r="R441" s="92" t="s">
        <v>14</v>
      </c>
      <c r="S441" s="92" t="s">
        <v>15</v>
      </c>
      <c r="T441" s="93" t="s">
        <v>16</v>
      </c>
    </row>
    <row r="442" spans="2:20" x14ac:dyDescent="0.3">
      <c r="B442" s="94" t="s">
        <v>17</v>
      </c>
      <c r="C442" s="95">
        <f>J437</f>
        <v>25000</v>
      </c>
      <c r="D442" s="95">
        <f>J437/J440</f>
        <v>2083.3333333333335</v>
      </c>
      <c r="E442" s="95">
        <f t="shared" ref="E442:E453" si="82">(C442*0.015)</f>
        <v>375</v>
      </c>
      <c r="F442" s="95">
        <f>'10 mos'!$D$9+E442</f>
        <v>1875</v>
      </c>
      <c r="G442" s="95"/>
      <c r="H442" s="95"/>
      <c r="I442" s="96"/>
      <c r="J442" s="97"/>
      <c r="L442" s="94" t="s">
        <v>17</v>
      </c>
      <c r="M442" s="95">
        <f>T437</f>
        <v>25000</v>
      </c>
      <c r="N442" s="95">
        <f>T437/T440</f>
        <v>2083.3333333333335</v>
      </c>
      <c r="O442" s="95">
        <f t="shared" ref="O442:O453" si="83">(M442*0.015)</f>
        <v>375</v>
      </c>
      <c r="P442" s="95">
        <f>'10 mos'!$D$9+O442</f>
        <v>1875</v>
      </c>
      <c r="Q442" s="95"/>
      <c r="R442" s="95"/>
      <c r="S442" s="96"/>
      <c r="T442" s="97"/>
    </row>
    <row r="443" spans="2:20" x14ac:dyDescent="0.3">
      <c r="B443" s="98" t="s">
        <v>18</v>
      </c>
      <c r="C443" s="99">
        <v>22913</v>
      </c>
      <c r="D443" s="99">
        <v>2083</v>
      </c>
      <c r="E443" s="99">
        <f t="shared" si="82"/>
        <v>343.69499999999999</v>
      </c>
      <c r="F443" s="99">
        <f>'10 mos'!$D$9+E443</f>
        <v>1843.6949999999999</v>
      </c>
      <c r="G443" s="99"/>
      <c r="H443" s="99"/>
      <c r="I443" s="100"/>
      <c r="J443" s="101"/>
      <c r="L443" s="98" t="s">
        <v>18</v>
      </c>
      <c r="M443" s="99">
        <v>22913</v>
      </c>
      <c r="N443" s="99">
        <v>2083</v>
      </c>
      <c r="O443" s="99">
        <f t="shared" si="83"/>
        <v>343.69499999999999</v>
      </c>
      <c r="P443" s="99">
        <f>'10 mos'!$D$9+O443</f>
        <v>1843.6949999999999</v>
      </c>
      <c r="Q443" s="99"/>
      <c r="R443" s="99"/>
      <c r="S443" s="100"/>
      <c r="T443" s="101"/>
    </row>
    <row r="444" spans="2:20" x14ac:dyDescent="0.3">
      <c r="B444" s="98" t="s">
        <v>19</v>
      </c>
      <c r="C444" s="99">
        <v>20830</v>
      </c>
      <c r="D444" s="99">
        <v>2083</v>
      </c>
      <c r="E444" s="99">
        <f t="shared" si="82"/>
        <v>312.45</v>
      </c>
      <c r="F444" s="99">
        <f>'10 mos'!$D$9+E444</f>
        <v>1812.45</v>
      </c>
      <c r="G444" s="99"/>
      <c r="H444" s="99"/>
      <c r="I444" s="100"/>
      <c r="J444" s="101"/>
      <c r="L444" s="98" t="s">
        <v>19</v>
      </c>
      <c r="M444" s="99">
        <v>20830</v>
      </c>
      <c r="N444" s="99">
        <v>2083</v>
      </c>
      <c r="O444" s="99">
        <f t="shared" si="83"/>
        <v>312.45</v>
      </c>
      <c r="P444" s="99">
        <f>'10 mos'!$D$9+O444</f>
        <v>1812.45</v>
      </c>
      <c r="Q444" s="99"/>
      <c r="R444" s="99"/>
      <c r="S444" s="100"/>
      <c r="T444" s="101"/>
    </row>
    <row r="445" spans="2:20" x14ac:dyDescent="0.3">
      <c r="B445" s="98" t="s">
        <v>20</v>
      </c>
      <c r="C445" s="99">
        <v>18747</v>
      </c>
      <c r="D445" s="99">
        <v>2083</v>
      </c>
      <c r="E445" s="99">
        <f t="shared" si="82"/>
        <v>281.20499999999998</v>
      </c>
      <c r="F445" s="99">
        <f>'10 mos'!$D$9+E445</f>
        <v>1781.2049999999999</v>
      </c>
      <c r="G445" s="99"/>
      <c r="H445" s="99"/>
      <c r="I445" s="100"/>
      <c r="J445" s="101"/>
      <c r="L445" s="98" t="s">
        <v>20</v>
      </c>
      <c r="M445" s="99">
        <v>18747</v>
      </c>
      <c r="N445" s="99">
        <v>2083</v>
      </c>
      <c r="O445" s="99">
        <f t="shared" si="83"/>
        <v>281.20499999999998</v>
      </c>
      <c r="P445" s="99">
        <f>'10 mos'!$D$9+O445</f>
        <v>1781.2049999999999</v>
      </c>
      <c r="Q445" s="99"/>
      <c r="R445" s="99"/>
      <c r="S445" s="100"/>
      <c r="T445" s="101"/>
    </row>
    <row r="446" spans="2:20" x14ac:dyDescent="0.3">
      <c r="B446" s="98" t="s">
        <v>21</v>
      </c>
      <c r="C446" s="99">
        <v>16664</v>
      </c>
      <c r="D446" s="99">
        <v>2083</v>
      </c>
      <c r="E446" s="99">
        <f t="shared" si="82"/>
        <v>249.95999999999998</v>
      </c>
      <c r="F446" s="99">
        <f>'10 mos'!$D$9+E446</f>
        <v>1749.96</v>
      </c>
      <c r="G446" s="99"/>
      <c r="H446" s="99"/>
      <c r="I446" s="100"/>
      <c r="J446" s="101"/>
      <c r="L446" s="98" t="s">
        <v>21</v>
      </c>
      <c r="M446" s="99">
        <v>16664</v>
      </c>
      <c r="N446" s="99">
        <v>2083</v>
      </c>
      <c r="O446" s="99">
        <f t="shared" si="83"/>
        <v>249.95999999999998</v>
      </c>
      <c r="P446" s="99">
        <f>'10 mos'!$D$9+O446</f>
        <v>1749.96</v>
      </c>
      <c r="Q446" s="99"/>
      <c r="R446" s="99"/>
      <c r="S446" s="100"/>
      <c r="T446" s="101"/>
    </row>
    <row r="447" spans="2:20" x14ac:dyDescent="0.3">
      <c r="B447" s="98" t="s">
        <v>23</v>
      </c>
      <c r="C447" s="99">
        <v>14581</v>
      </c>
      <c r="D447" s="99">
        <v>2083</v>
      </c>
      <c r="E447" s="99">
        <f t="shared" si="82"/>
        <v>218.715</v>
      </c>
      <c r="F447" s="99">
        <f>'10 mos'!$D$9+E447</f>
        <v>1718.7149999999999</v>
      </c>
      <c r="G447" s="99"/>
      <c r="H447" s="99"/>
      <c r="I447" s="100"/>
      <c r="J447" s="101"/>
      <c r="L447" s="98" t="s">
        <v>23</v>
      </c>
      <c r="M447" s="99">
        <v>14581</v>
      </c>
      <c r="N447" s="99">
        <v>2083</v>
      </c>
      <c r="O447" s="99">
        <f t="shared" si="83"/>
        <v>218.715</v>
      </c>
      <c r="P447" s="99">
        <f>'10 mos'!$D$9+O447</f>
        <v>1718.7149999999999</v>
      </c>
      <c r="Q447" s="99"/>
      <c r="R447" s="99"/>
      <c r="S447" s="100"/>
      <c r="T447" s="101"/>
    </row>
    <row r="448" spans="2:20" x14ac:dyDescent="0.3">
      <c r="B448" s="98" t="s">
        <v>24</v>
      </c>
      <c r="C448" s="99">
        <v>12498</v>
      </c>
      <c r="D448" s="99">
        <v>2083</v>
      </c>
      <c r="E448" s="99">
        <f t="shared" si="82"/>
        <v>187.47</v>
      </c>
      <c r="F448" s="99">
        <f>'10 mos'!$D$9+E448</f>
        <v>1687.47</v>
      </c>
      <c r="G448" s="99"/>
      <c r="H448" s="99"/>
      <c r="I448" s="100"/>
      <c r="J448" s="101"/>
      <c r="L448" s="98" t="s">
        <v>24</v>
      </c>
      <c r="M448" s="99">
        <v>12498</v>
      </c>
      <c r="N448" s="99">
        <v>2083</v>
      </c>
      <c r="O448" s="99">
        <f t="shared" si="83"/>
        <v>187.47</v>
      </c>
      <c r="P448" s="99">
        <f>'10 mos'!$D$9+O448</f>
        <v>1687.47</v>
      </c>
      <c r="Q448" s="99"/>
      <c r="R448" s="99"/>
      <c r="S448" s="100"/>
      <c r="T448" s="101"/>
    </row>
    <row r="449" spans="2:20" x14ac:dyDescent="0.3">
      <c r="B449" s="98" t="s">
        <v>25</v>
      </c>
      <c r="C449" s="99">
        <v>10415</v>
      </c>
      <c r="D449" s="99">
        <v>2083</v>
      </c>
      <c r="E449" s="99">
        <f t="shared" si="82"/>
        <v>156.22499999999999</v>
      </c>
      <c r="F449" s="99">
        <f>'10 mos'!$D$9+E449</f>
        <v>1656.2249999999999</v>
      </c>
      <c r="G449" s="99"/>
      <c r="H449" s="99"/>
      <c r="I449" s="100"/>
      <c r="J449" s="101"/>
      <c r="L449" s="98" t="s">
        <v>25</v>
      </c>
      <c r="M449" s="99">
        <v>10415</v>
      </c>
      <c r="N449" s="99">
        <v>2083</v>
      </c>
      <c r="O449" s="99">
        <f t="shared" si="83"/>
        <v>156.22499999999999</v>
      </c>
      <c r="P449" s="99">
        <f>'10 mos'!$D$9+O449</f>
        <v>1656.2249999999999</v>
      </c>
      <c r="Q449" s="99"/>
      <c r="R449" s="99"/>
      <c r="S449" s="100"/>
      <c r="T449" s="101"/>
    </row>
    <row r="450" spans="2:20" x14ac:dyDescent="0.3">
      <c r="B450" s="98" t="s">
        <v>26</v>
      </c>
      <c r="C450" s="99">
        <v>8332</v>
      </c>
      <c r="D450" s="99">
        <v>2083</v>
      </c>
      <c r="E450" s="99">
        <f t="shared" si="82"/>
        <v>124.97999999999999</v>
      </c>
      <c r="F450" s="99">
        <f>'10 mos'!$D$9+E450</f>
        <v>1624.98</v>
      </c>
      <c r="G450" s="99"/>
      <c r="H450" s="99"/>
      <c r="I450" s="100"/>
      <c r="J450" s="101"/>
      <c r="L450" s="98" t="s">
        <v>26</v>
      </c>
      <c r="M450" s="99">
        <v>8332</v>
      </c>
      <c r="N450" s="99">
        <v>2083</v>
      </c>
      <c r="O450" s="99">
        <f t="shared" si="83"/>
        <v>124.97999999999999</v>
      </c>
      <c r="P450" s="99">
        <f>'10 mos'!$D$9+O450</f>
        <v>1624.98</v>
      </c>
      <c r="Q450" s="99"/>
      <c r="R450" s="99"/>
      <c r="S450" s="100"/>
      <c r="T450" s="101"/>
    </row>
    <row r="451" spans="2:20" x14ac:dyDescent="0.3">
      <c r="B451" s="98" t="s">
        <v>27</v>
      </c>
      <c r="C451" s="99">
        <v>6249</v>
      </c>
      <c r="D451" s="99">
        <v>2083</v>
      </c>
      <c r="E451" s="99">
        <f t="shared" si="82"/>
        <v>93.734999999999999</v>
      </c>
      <c r="F451" s="99">
        <f>'10 mos'!$D$9+E451</f>
        <v>1593.7349999999999</v>
      </c>
      <c r="G451" s="99"/>
      <c r="H451" s="99"/>
      <c r="I451" s="100"/>
      <c r="J451" s="101"/>
      <c r="L451" s="98" t="s">
        <v>27</v>
      </c>
      <c r="M451" s="99">
        <v>6249</v>
      </c>
      <c r="N451" s="99">
        <v>2083</v>
      </c>
      <c r="O451" s="99">
        <f t="shared" si="83"/>
        <v>93.734999999999999</v>
      </c>
      <c r="P451" s="99">
        <f>'10 mos'!$D$9+O451</f>
        <v>1593.7349999999999</v>
      </c>
      <c r="Q451" s="99"/>
      <c r="R451" s="99"/>
      <c r="S451" s="100"/>
      <c r="T451" s="101"/>
    </row>
    <row r="452" spans="2:20" x14ac:dyDescent="0.3">
      <c r="B452" s="98" t="s">
        <v>28</v>
      </c>
      <c r="C452" s="99">
        <v>4166</v>
      </c>
      <c r="D452" s="99">
        <v>2083</v>
      </c>
      <c r="E452" s="99">
        <f t="shared" si="82"/>
        <v>62.489999999999995</v>
      </c>
      <c r="F452" s="99">
        <f>'10 mos'!$D$9+E452</f>
        <v>1562.49</v>
      </c>
      <c r="G452" s="99"/>
      <c r="H452" s="99"/>
      <c r="I452" s="100"/>
      <c r="J452" s="101"/>
      <c r="L452" s="98" t="s">
        <v>28</v>
      </c>
      <c r="M452" s="99">
        <v>4166</v>
      </c>
      <c r="N452" s="99">
        <v>2083</v>
      </c>
      <c r="O452" s="99">
        <f t="shared" si="83"/>
        <v>62.489999999999995</v>
      </c>
      <c r="P452" s="99">
        <f>'10 mos'!$D$9+O452</f>
        <v>1562.49</v>
      </c>
      <c r="Q452" s="99"/>
      <c r="R452" s="99"/>
      <c r="S452" s="100"/>
      <c r="T452" s="101"/>
    </row>
    <row r="453" spans="2:20" x14ac:dyDescent="0.3">
      <c r="B453" s="98" t="s">
        <v>29</v>
      </c>
      <c r="C453" s="99">
        <v>2083</v>
      </c>
      <c r="D453" s="99">
        <v>2083</v>
      </c>
      <c r="E453" s="99">
        <f t="shared" si="82"/>
        <v>31.244999999999997</v>
      </c>
      <c r="F453" s="99">
        <f>'10 mos'!$D$9+E453</f>
        <v>1531.2449999999999</v>
      </c>
      <c r="G453" s="99"/>
      <c r="H453" s="99"/>
      <c r="I453" s="100"/>
      <c r="J453" s="101" t="s">
        <v>42</v>
      </c>
      <c r="L453" s="98" t="s">
        <v>29</v>
      </c>
      <c r="M453" s="99">
        <v>2083</v>
      </c>
      <c r="N453" s="99">
        <v>2083</v>
      </c>
      <c r="O453" s="99">
        <f t="shared" si="83"/>
        <v>31.244999999999997</v>
      </c>
      <c r="P453" s="99">
        <f>'10 mos'!$D$9+O453</f>
        <v>1531.2449999999999</v>
      </c>
      <c r="Q453" s="99"/>
      <c r="R453" s="99"/>
      <c r="S453" s="100"/>
      <c r="T453" s="101" t="s">
        <v>42</v>
      </c>
    </row>
    <row r="469" spans="2:20" x14ac:dyDescent="0.3">
      <c r="B469" s="77" t="s">
        <v>0</v>
      </c>
      <c r="C469" s="77" t="s">
        <v>226</v>
      </c>
      <c r="D469" s="112"/>
      <c r="E469" s="112"/>
      <c r="F469" s="79"/>
      <c r="G469" s="80"/>
      <c r="I469" s="81" t="s">
        <v>1</v>
      </c>
      <c r="J469" s="82">
        <v>30000</v>
      </c>
      <c r="L469" s="77" t="s">
        <v>0</v>
      </c>
      <c r="M469" s="77" t="s">
        <v>226</v>
      </c>
      <c r="N469" s="112"/>
      <c r="O469" s="112"/>
      <c r="P469" s="79"/>
      <c r="Q469" s="80"/>
      <c r="S469" s="81" t="s">
        <v>1</v>
      </c>
      <c r="T469" s="82">
        <v>30000</v>
      </c>
    </row>
    <row r="470" spans="2:20" x14ac:dyDescent="0.3">
      <c r="B470" s="77" t="s">
        <v>2</v>
      </c>
      <c r="C470" s="83"/>
      <c r="D470" s="79"/>
      <c r="E470" s="83"/>
      <c r="F470" s="81"/>
      <c r="G470" s="81"/>
      <c r="I470" s="81" t="s">
        <v>3</v>
      </c>
      <c r="J470" s="85" t="s">
        <v>225</v>
      </c>
      <c r="L470" s="77" t="s">
        <v>2</v>
      </c>
      <c r="M470" s="83"/>
      <c r="N470" s="79"/>
      <c r="O470" s="83"/>
      <c r="P470" s="81"/>
      <c r="Q470" s="81"/>
      <c r="S470" s="81" t="s">
        <v>3</v>
      </c>
      <c r="T470" s="85" t="s">
        <v>225</v>
      </c>
    </row>
    <row r="471" spans="2:20" x14ac:dyDescent="0.3">
      <c r="B471" s="77" t="s">
        <v>4</v>
      </c>
      <c r="C471" s="78"/>
      <c r="D471" s="79"/>
      <c r="E471" s="78"/>
      <c r="F471" s="81"/>
      <c r="G471" s="81"/>
      <c r="I471" s="81" t="s">
        <v>5</v>
      </c>
      <c r="J471" s="86">
        <v>1.4999999999999999E-2</v>
      </c>
      <c r="L471" s="77" t="s">
        <v>4</v>
      </c>
      <c r="M471" s="78"/>
      <c r="N471" s="79"/>
      <c r="O471" s="78"/>
      <c r="P471" s="81"/>
      <c r="Q471" s="81"/>
      <c r="S471" s="81" t="s">
        <v>5</v>
      </c>
      <c r="T471" s="86">
        <v>1.4999999999999999E-2</v>
      </c>
    </row>
    <row r="472" spans="2:20" ht="15" thickBot="1" x14ac:dyDescent="0.35">
      <c r="B472" s="77" t="s">
        <v>6</v>
      </c>
      <c r="C472" s="87"/>
      <c r="D472" s="87"/>
      <c r="E472" s="88"/>
      <c r="F472" s="88"/>
      <c r="G472" s="88"/>
      <c r="I472" s="88" t="s">
        <v>7</v>
      </c>
      <c r="J472" s="78">
        <v>12</v>
      </c>
      <c r="L472" s="77" t="s">
        <v>6</v>
      </c>
      <c r="M472" s="87"/>
      <c r="N472" s="87"/>
      <c r="O472" s="88"/>
      <c r="P472" s="88"/>
      <c r="Q472" s="88"/>
      <c r="S472" s="88" t="s">
        <v>7</v>
      </c>
      <c r="T472" s="78">
        <v>12</v>
      </c>
    </row>
    <row r="473" spans="2:20" ht="41.4" thickBot="1" x14ac:dyDescent="0.35">
      <c r="B473" s="89" t="s">
        <v>8</v>
      </c>
      <c r="C473" s="89" t="s">
        <v>9</v>
      </c>
      <c r="D473" s="89" t="s">
        <v>10</v>
      </c>
      <c r="E473" s="90" t="s">
        <v>11</v>
      </c>
      <c r="F473" s="91" t="s">
        <v>12</v>
      </c>
      <c r="G473" s="92" t="s">
        <v>13</v>
      </c>
      <c r="H473" s="92" t="s">
        <v>14</v>
      </c>
      <c r="I473" s="92" t="s">
        <v>15</v>
      </c>
      <c r="J473" s="93" t="s">
        <v>16</v>
      </c>
      <c r="L473" s="89" t="s">
        <v>8</v>
      </c>
      <c r="M473" s="89" t="s">
        <v>9</v>
      </c>
      <c r="N473" s="89" t="s">
        <v>10</v>
      </c>
      <c r="O473" s="90" t="s">
        <v>11</v>
      </c>
      <c r="P473" s="91" t="s">
        <v>12</v>
      </c>
      <c r="Q473" s="92" t="s">
        <v>13</v>
      </c>
      <c r="R473" s="92" t="s">
        <v>14</v>
      </c>
      <c r="S473" s="92" t="s">
        <v>15</v>
      </c>
      <c r="T473" s="93" t="s">
        <v>16</v>
      </c>
    </row>
    <row r="474" spans="2:20" x14ac:dyDescent="0.3">
      <c r="B474" s="94" t="s">
        <v>17</v>
      </c>
      <c r="C474" s="95">
        <f>J469</f>
        <v>30000</v>
      </c>
      <c r="D474" s="95">
        <f>J469/J472</f>
        <v>2500</v>
      </c>
      <c r="E474" s="95">
        <f t="shared" ref="E474:E485" si="84">(C474*0.015)</f>
        <v>450</v>
      </c>
      <c r="F474" s="95">
        <f>'30-12'!$C$6+E474</f>
        <v>2950</v>
      </c>
      <c r="G474" s="95"/>
      <c r="H474" s="95"/>
      <c r="I474" s="96"/>
      <c r="J474" s="97"/>
      <c r="L474" s="94" t="s">
        <v>17</v>
      </c>
      <c r="M474" s="95">
        <f>T469</f>
        <v>30000</v>
      </c>
      <c r="N474" s="95">
        <f>T469/T472</f>
        <v>2500</v>
      </c>
      <c r="O474" s="95">
        <f t="shared" ref="O474:O485" si="85">(M474*0.015)</f>
        <v>450</v>
      </c>
      <c r="P474" s="95">
        <f>'30-12'!$C$6+O474</f>
        <v>2950</v>
      </c>
      <c r="Q474" s="95"/>
      <c r="R474" s="95"/>
      <c r="S474" s="96"/>
      <c r="T474" s="97"/>
    </row>
    <row r="475" spans="2:20" x14ac:dyDescent="0.3">
      <c r="B475" s="98" t="s">
        <v>18</v>
      </c>
      <c r="C475" s="99">
        <v>27500</v>
      </c>
      <c r="D475" s="99">
        <f>'30-12'!$C$6</f>
        <v>2500</v>
      </c>
      <c r="E475" s="99">
        <f t="shared" si="84"/>
        <v>412.5</v>
      </c>
      <c r="F475" s="99">
        <f>'30-12'!$C$6+E475</f>
        <v>2912.5</v>
      </c>
      <c r="G475" s="99"/>
      <c r="H475" s="99"/>
      <c r="I475" s="100"/>
      <c r="J475" s="101"/>
      <c r="L475" s="98" t="s">
        <v>18</v>
      </c>
      <c r="M475" s="99">
        <v>27500</v>
      </c>
      <c r="N475" s="99">
        <f>'30-12'!$C$6</f>
        <v>2500</v>
      </c>
      <c r="O475" s="99">
        <f t="shared" si="85"/>
        <v>412.5</v>
      </c>
      <c r="P475" s="99">
        <f>'30-12'!$C$6+O475</f>
        <v>2912.5</v>
      </c>
      <c r="Q475" s="99"/>
      <c r="R475" s="99"/>
      <c r="S475" s="100"/>
      <c r="T475" s="101"/>
    </row>
    <row r="476" spans="2:20" x14ac:dyDescent="0.3">
      <c r="B476" s="98" t="s">
        <v>19</v>
      </c>
      <c r="C476" s="99">
        <v>25000</v>
      </c>
      <c r="D476" s="99">
        <f>'30-12'!$C$6</f>
        <v>2500</v>
      </c>
      <c r="E476" s="99">
        <f t="shared" si="84"/>
        <v>375</v>
      </c>
      <c r="F476" s="99">
        <f>'30-12'!$C$6+E476</f>
        <v>2875</v>
      </c>
      <c r="G476" s="99"/>
      <c r="H476" s="99"/>
      <c r="I476" s="100"/>
      <c r="J476" s="101"/>
      <c r="L476" s="98" t="s">
        <v>19</v>
      </c>
      <c r="M476" s="99">
        <v>25000</v>
      </c>
      <c r="N476" s="99">
        <f>'30-12'!$C$6</f>
        <v>2500</v>
      </c>
      <c r="O476" s="99">
        <f t="shared" si="85"/>
        <v>375</v>
      </c>
      <c r="P476" s="99">
        <f>'30-12'!$C$6+O476</f>
        <v>2875</v>
      </c>
      <c r="Q476" s="99"/>
      <c r="R476" s="99"/>
      <c r="S476" s="100"/>
      <c r="T476" s="101"/>
    </row>
    <row r="477" spans="2:20" x14ac:dyDescent="0.3">
      <c r="B477" s="98" t="s">
        <v>20</v>
      </c>
      <c r="C477" s="99">
        <v>22500</v>
      </c>
      <c r="D477" s="99">
        <f>'30-12'!$C$6</f>
        <v>2500</v>
      </c>
      <c r="E477" s="99">
        <f t="shared" si="84"/>
        <v>337.5</v>
      </c>
      <c r="F477" s="99">
        <f>'30-12'!$C$6+E477</f>
        <v>2837.5</v>
      </c>
      <c r="G477" s="99"/>
      <c r="H477" s="99"/>
      <c r="I477" s="100"/>
      <c r="J477" s="101"/>
      <c r="L477" s="98" t="s">
        <v>20</v>
      </c>
      <c r="M477" s="99">
        <v>22500</v>
      </c>
      <c r="N477" s="99">
        <f>'30-12'!$C$6</f>
        <v>2500</v>
      </c>
      <c r="O477" s="99">
        <f t="shared" si="85"/>
        <v>337.5</v>
      </c>
      <c r="P477" s="99">
        <f>'30-12'!$C$6+O477</f>
        <v>2837.5</v>
      </c>
      <c r="Q477" s="99"/>
      <c r="R477" s="99"/>
      <c r="S477" s="100"/>
      <c r="T477" s="101"/>
    </row>
    <row r="478" spans="2:20" x14ac:dyDescent="0.3">
      <c r="B478" s="98" t="s">
        <v>21</v>
      </c>
      <c r="C478" s="99">
        <v>20000</v>
      </c>
      <c r="D478" s="99">
        <f>'30-12'!$C$6</f>
        <v>2500</v>
      </c>
      <c r="E478" s="99">
        <f t="shared" si="84"/>
        <v>300</v>
      </c>
      <c r="F478" s="99">
        <f>'30-12'!$C$6+E478</f>
        <v>2800</v>
      </c>
      <c r="G478" s="99"/>
      <c r="H478" s="99"/>
      <c r="I478" s="100"/>
      <c r="J478" s="101"/>
      <c r="L478" s="98" t="s">
        <v>21</v>
      </c>
      <c r="M478" s="99">
        <v>20000</v>
      </c>
      <c r="N478" s="99">
        <f>'30-12'!$C$6</f>
        <v>2500</v>
      </c>
      <c r="O478" s="99">
        <f t="shared" si="85"/>
        <v>300</v>
      </c>
      <c r="P478" s="99">
        <f>'30-12'!$C$6+O478</f>
        <v>2800</v>
      </c>
      <c r="Q478" s="99"/>
      <c r="R478" s="99"/>
      <c r="S478" s="100"/>
      <c r="T478" s="101"/>
    </row>
    <row r="479" spans="2:20" x14ac:dyDescent="0.3">
      <c r="B479" s="98" t="s">
        <v>23</v>
      </c>
      <c r="C479" s="99">
        <v>17500</v>
      </c>
      <c r="D479" s="99">
        <f>'30-12'!$C$6</f>
        <v>2500</v>
      </c>
      <c r="E479" s="99">
        <f t="shared" si="84"/>
        <v>262.5</v>
      </c>
      <c r="F479" s="99">
        <f>'30-12'!$C$6+E479</f>
        <v>2762.5</v>
      </c>
      <c r="G479" s="99"/>
      <c r="H479" s="99"/>
      <c r="I479" s="100"/>
      <c r="J479" s="101"/>
      <c r="L479" s="98" t="s">
        <v>23</v>
      </c>
      <c r="M479" s="99">
        <v>17500</v>
      </c>
      <c r="N479" s="99">
        <f>'30-12'!$C$6</f>
        <v>2500</v>
      </c>
      <c r="O479" s="99">
        <f t="shared" si="85"/>
        <v>262.5</v>
      </c>
      <c r="P479" s="99">
        <f>'30-12'!$C$6+O479</f>
        <v>2762.5</v>
      </c>
      <c r="Q479" s="99"/>
      <c r="R479" s="99"/>
      <c r="S479" s="100"/>
      <c r="T479" s="101"/>
    </row>
    <row r="480" spans="2:20" x14ac:dyDescent="0.3">
      <c r="B480" s="98" t="s">
        <v>24</v>
      </c>
      <c r="C480" s="99">
        <v>15000</v>
      </c>
      <c r="D480" s="99">
        <f>'30-12'!$C$6</f>
        <v>2500</v>
      </c>
      <c r="E480" s="99">
        <f t="shared" si="84"/>
        <v>225</v>
      </c>
      <c r="F480" s="99">
        <f>'30-12'!$C$6+E480</f>
        <v>2725</v>
      </c>
      <c r="G480" s="99"/>
      <c r="H480" s="99"/>
      <c r="I480" s="100"/>
      <c r="J480" s="101"/>
      <c r="L480" s="98" t="s">
        <v>24</v>
      </c>
      <c r="M480" s="99">
        <v>15000</v>
      </c>
      <c r="N480" s="99">
        <f>'30-12'!$C$6</f>
        <v>2500</v>
      </c>
      <c r="O480" s="99">
        <f t="shared" si="85"/>
        <v>225</v>
      </c>
      <c r="P480" s="99">
        <f>'30-12'!$C$6+O480</f>
        <v>2725</v>
      </c>
      <c r="Q480" s="99"/>
      <c r="R480" s="99"/>
      <c r="S480" s="100"/>
      <c r="T480" s="101"/>
    </row>
    <row r="481" spans="2:20" x14ac:dyDescent="0.3">
      <c r="B481" s="98" t="s">
        <v>25</v>
      </c>
      <c r="C481" s="99">
        <v>12500</v>
      </c>
      <c r="D481" s="99">
        <f>'30-12'!$C$6</f>
        <v>2500</v>
      </c>
      <c r="E481" s="99">
        <f t="shared" si="84"/>
        <v>187.5</v>
      </c>
      <c r="F481" s="99">
        <f>'30-12'!$C$6+E481</f>
        <v>2687.5</v>
      </c>
      <c r="G481" s="99"/>
      <c r="H481" s="99"/>
      <c r="I481" s="100"/>
      <c r="J481" s="101"/>
      <c r="L481" s="98" t="s">
        <v>25</v>
      </c>
      <c r="M481" s="99">
        <v>12500</v>
      </c>
      <c r="N481" s="99">
        <f>'30-12'!$C$6</f>
        <v>2500</v>
      </c>
      <c r="O481" s="99">
        <f t="shared" si="85"/>
        <v>187.5</v>
      </c>
      <c r="P481" s="99">
        <f>'30-12'!$C$6+O481</f>
        <v>2687.5</v>
      </c>
      <c r="Q481" s="99"/>
      <c r="R481" s="99"/>
      <c r="S481" s="100"/>
      <c r="T481" s="101"/>
    </row>
    <row r="482" spans="2:20" x14ac:dyDescent="0.3">
      <c r="B482" s="98" t="s">
        <v>26</v>
      </c>
      <c r="C482" s="99">
        <v>10000</v>
      </c>
      <c r="D482" s="99">
        <f>'30-12'!$C$6</f>
        <v>2500</v>
      </c>
      <c r="E482" s="99">
        <f t="shared" si="84"/>
        <v>150</v>
      </c>
      <c r="F482" s="99">
        <f>'30-12'!$C$6+E482</f>
        <v>2650</v>
      </c>
      <c r="G482" s="99"/>
      <c r="H482" s="99"/>
      <c r="I482" s="100"/>
      <c r="J482" s="101"/>
      <c r="L482" s="98" t="s">
        <v>26</v>
      </c>
      <c r="M482" s="99">
        <v>10000</v>
      </c>
      <c r="N482" s="99">
        <f>'30-12'!$C$6</f>
        <v>2500</v>
      </c>
      <c r="O482" s="99">
        <f t="shared" si="85"/>
        <v>150</v>
      </c>
      <c r="P482" s="99">
        <f>'30-12'!$C$6+O482</f>
        <v>2650</v>
      </c>
      <c r="Q482" s="99"/>
      <c r="R482" s="99"/>
      <c r="S482" s="100"/>
      <c r="T482" s="101"/>
    </row>
    <row r="483" spans="2:20" x14ac:dyDescent="0.3">
      <c r="B483" s="98" t="s">
        <v>27</v>
      </c>
      <c r="C483" s="99">
        <v>7500</v>
      </c>
      <c r="D483" s="99">
        <f>'30-12'!$C$6</f>
        <v>2500</v>
      </c>
      <c r="E483" s="99">
        <f t="shared" si="84"/>
        <v>112.5</v>
      </c>
      <c r="F483" s="99">
        <f>'30-12'!$C$6+E483</f>
        <v>2612.5</v>
      </c>
      <c r="G483" s="99"/>
      <c r="H483" s="99"/>
      <c r="I483" s="100"/>
      <c r="J483" s="101"/>
      <c r="L483" s="98" t="s">
        <v>27</v>
      </c>
      <c r="M483" s="99">
        <v>7500</v>
      </c>
      <c r="N483" s="99">
        <f>'30-12'!$C$6</f>
        <v>2500</v>
      </c>
      <c r="O483" s="99">
        <f t="shared" si="85"/>
        <v>112.5</v>
      </c>
      <c r="P483" s="99">
        <f>'30-12'!$C$6+O483</f>
        <v>2612.5</v>
      </c>
      <c r="Q483" s="99"/>
      <c r="R483" s="99"/>
      <c r="S483" s="100"/>
      <c r="T483" s="101"/>
    </row>
    <row r="484" spans="2:20" x14ac:dyDescent="0.3">
      <c r="B484" s="98" t="s">
        <v>28</v>
      </c>
      <c r="C484" s="99">
        <v>5000</v>
      </c>
      <c r="D484" s="99">
        <f>'30-12'!$C$6</f>
        <v>2500</v>
      </c>
      <c r="E484" s="99">
        <f t="shared" si="84"/>
        <v>75</v>
      </c>
      <c r="F484" s="99">
        <f>'30-12'!$C$6+E484</f>
        <v>2575</v>
      </c>
      <c r="G484" s="99"/>
      <c r="H484" s="99"/>
      <c r="I484" s="100"/>
      <c r="J484" s="101"/>
      <c r="L484" s="98" t="s">
        <v>28</v>
      </c>
      <c r="M484" s="99">
        <v>5000</v>
      </c>
      <c r="N484" s="99">
        <f>'30-12'!$C$6</f>
        <v>2500</v>
      </c>
      <c r="O484" s="99">
        <f t="shared" si="85"/>
        <v>75</v>
      </c>
      <c r="P484" s="99">
        <f>'30-12'!$C$6+O484</f>
        <v>2575</v>
      </c>
      <c r="Q484" s="99"/>
      <c r="R484" s="99"/>
      <c r="S484" s="100"/>
      <c r="T484" s="101"/>
    </row>
    <row r="485" spans="2:20" x14ac:dyDescent="0.3">
      <c r="B485" s="98" t="s">
        <v>29</v>
      </c>
      <c r="C485" s="99">
        <v>2500</v>
      </c>
      <c r="D485" s="99">
        <f>'30-12'!$C$6</f>
        <v>2500</v>
      </c>
      <c r="E485" s="99">
        <f t="shared" si="84"/>
        <v>37.5</v>
      </c>
      <c r="F485" s="99">
        <f>'30-12'!$C$6+E485</f>
        <v>2537.5</v>
      </c>
      <c r="G485" s="99"/>
      <c r="H485" s="99"/>
      <c r="I485" s="100"/>
      <c r="J485" s="101" t="s">
        <v>42</v>
      </c>
      <c r="L485" s="98" t="s">
        <v>29</v>
      </c>
      <c r="M485" s="99">
        <v>2500</v>
      </c>
      <c r="N485" s="99">
        <f>'30-12'!$C$6</f>
        <v>2500</v>
      </c>
      <c r="O485" s="99">
        <f t="shared" si="85"/>
        <v>37.5</v>
      </c>
      <c r="P485" s="99">
        <f>'30-12'!$C$6+O485</f>
        <v>2537.5</v>
      </c>
      <c r="Q485" s="99"/>
      <c r="R485" s="99"/>
      <c r="S485" s="100"/>
      <c r="T485" s="101" t="s">
        <v>42</v>
      </c>
    </row>
  </sheetData>
  <mergeCells count="75">
    <mergeCell ref="F401:I401"/>
    <mergeCell ref="C402:D402"/>
    <mergeCell ref="E402:I402"/>
    <mergeCell ref="M399:O399"/>
    <mergeCell ref="R399:S399"/>
    <mergeCell ref="P401:S401"/>
    <mergeCell ref="M402:N402"/>
    <mergeCell ref="O402:S402"/>
    <mergeCell ref="C399:E399"/>
    <mergeCell ref="H399:I399"/>
    <mergeCell ref="C288:D288"/>
    <mergeCell ref="E288:I288"/>
    <mergeCell ref="M288:N288"/>
    <mergeCell ref="O288:S288"/>
    <mergeCell ref="C285:E285"/>
    <mergeCell ref="H285:I285"/>
    <mergeCell ref="M285:O285"/>
    <mergeCell ref="R285:S285"/>
    <mergeCell ref="F287:I287"/>
    <mergeCell ref="P287:S287"/>
    <mergeCell ref="F60:I60"/>
    <mergeCell ref="C61:D61"/>
    <mergeCell ref="E61:I61"/>
    <mergeCell ref="C58:E58"/>
    <mergeCell ref="H58:I58"/>
    <mergeCell ref="M1:O1"/>
    <mergeCell ref="R1:S1"/>
    <mergeCell ref="P3:S3"/>
    <mergeCell ref="M4:N4"/>
    <mergeCell ref="O4:S4"/>
    <mergeCell ref="C1:E1"/>
    <mergeCell ref="H1:I1"/>
    <mergeCell ref="F3:I3"/>
    <mergeCell ref="C4:D4"/>
    <mergeCell ref="E4:I4"/>
    <mergeCell ref="R170:S170"/>
    <mergeCell ref="P172:S172"/>
    <mergeCell ref="F172:I172"/>
    <mergeCell ref="C173:D173"/>
    <mergeCell ref="E173:I173"/>
    <mergeCell ref="M173:N173"/>
    <mergeCell ref="O173:S173"/>
    <mergeCell ref="C170:E170"/>
    <mergeCell ref="H170:I170"/>
    <mergeCell ref="M170:O170"/>
    <mergeCell ref="C192:D192"/>
    <mergeCell ref="E192:I192"/>
    <mergeCell ref="M192:N192"/>
    <mergeCell ref="O192:S192"/>
    <mergeCell ref="C189:E189"/>
    <mergeCell ref="H189:I189"/>
    <mergeCell ref="M189:O189"/>
    <mergeCell ref="R189:S189"/>
    <mergeCell ref="F191:I191"/>
    <mergeCell ref="P191:S191"/>
    <mergeCell ref="C361:E361"/>
    <mergeCell ref="H361:I361"/>
    <mergeCell ref="F363:I363"/>
    <mergeCell ref="C364:D364"/>
    <mergeCell ref="E364:I364"/>
    <mergeCell ref="M361:O361"/>
    <mergeCell ref="R361:S361"/>
    <mergeCell ref="P363:S363"/>
    <mergeCell ref="M364:N364"/>
    <mergeCell ref="O364:S364"/>
    <mergeCell ref="C383:D383"/>
    <mergeCell ref="E383:I383"/>
    <mergeCell ref="M383:N383"/>
    <mergeCell ref="O383:S383"/>
    <mergeCell ref="C380:E380"/>
    <mergeCell ref="H380:I380"/>
    <mergeCell ref="M380:O380"/>
    <mergeCell ref="R380:S380"/>
    <mergeCell ref="F382:I382"/>
    <mergeCell ref="P382:S382"/>
  </mergeCells>
  <pageMargins left="7.0000000000000007E-2" right="7.0000000000000007E-2" top="0.75" bottom="0.75" header="0.3" footer="0.3"/>
  <pageSetup paperSize="5" scale="93" orientation="landscape" horizontalDpi="4294967292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CA40-5F96-4729-A891-19CB11471B70}">
  <dimension ref="A1:T404"/>
  <sheetViews>
    <sheetView topLeftCell="A380" workbookViewId="0">
      <selection activeCell="E380" sqref="E380:E404"/>
    </sheetView>
  </sheetViews>
  <sheetFormatPr defaultRowHeight="14.4" x14ac:dyDescent="0.3"/>
  <cols>
    <col min="1" max="1" width="2.21875" customWidth="1"/>
    <col min="2" max="2" width="10.5546875" customWidth="1"/>
    <col min="11" max="11" width="11.44140625" customWidth="1"/>
    <col min="12" max="12" width="10.77734375" customWidth="1"/>
  </cols>
  <sheetData>
    <row r="1" spans="2:20" x14ac:dyDescent="0.3">
      <c r="B1" s="77" t="s">
        <v>0</v>
      </c>
      <c r="C1" s="77" t="s">
        <v>139</v>
      </c>
      <c r="D1" s="112"/>
      <c r="E1" s="112"/>
      <c r="F1" s="79"/>
      <c r="G1" s="80"/>
      <c r="I1" s="81" t="s">
        <v>1</v>
      </c>
      <c r="J1" s="82">
        <v>30000</v>
      </c>
      <c r="L1" s="77" t="s">
        <v>0</v>
      </c>
      <c r="M1" s="77" t="s">
        <v>139</v>
      </c>
      <c r="N1" s="112"/>
      <c r="O1" s="112"/>
      <c r="P1" s="79"/>
      <c r="Q1" s="80"/>
      <c r="S1" s="81" t="s">
        <v>1</v>
      </c>
      <c r="T1" s="82">
        <v>30000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246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246</v>
      </c>
    </row>
    <row r="3" spans="2:20" x14ac:dyDescent="0.3">
      <c r="B3" s="77" t="s">
        <v>4</v>
      </c>
      <c r="C3" s="78"/>
      <c r="D3" s="79"/>
      <c r="E3" s="78"/>
      <c r="F3" s="81"/>
      <c r="G3" s="81"/>
      <c r="H3" s="81"/>
      <c r="I3" s="81" t="s">
        <v>5</v>
      </c>
      <c r="J3" s="86">
        <v>1.4999999999999999E-2</v>
      </c>
      <c r="L3" s="77" t="s">
        <v>4</v>
      </c>
      <c r="M3" s="78"/>
      <c r="N3" s="79"/>
      <c r="O3" s="78"/>
      <c r="P3" s="81"/>
      <c r="Q3" s="81"/>
      <c r="R3" s="81"/>
      <c r="S3" s="81" t="s">
        <v>5</v>
      </c>
      <c r="T3" s="86">
        <v>1.4999999999999999E-2</v>
      </c>
    </row>
    <row r="4" spans="2:20" ht="15" thickBot="1" x14ac:dyDescent="0.35">
      <c r="B4" s="77" t="s">
        <v>6</v>
      </c>
      <c r="C4" s="87"/>
      <c r="D4" s="87"/>
      <c r="E4" s="88"/>
      <c r="F4" s="88"/>
      <c r="G4" s="88"/>
      <c r="H4" s="88"/>
      <c r="I4" s="88" t="s">
        <v>7</v>
      </c>
      <c r="J4" s="78">
        <v>24</v>
      </c>
      <c r="L4" s="77" t="s">
        <v>6</v>
      </c>
      <c r="M4" s="87"/>
      <c r="N4" s="87"/>
      <c r="O4" s="88"/>
      <c r="P4" s="88"/>
      <c r="Q4" s="88"/>
      <c r="R4" s="88"/>
      <c r="S4" s="88" t="s">
        <v>7</v>
      </c>
      <c r="T4" s="78">
        <v>24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94" t="s">
        <v>17</v>
      </c>
      <c r="C6" s="95">
        <f>J1</f>
        <v>30000</v>
      </c>
      <c r="D6" s="95">
        <f>J1/J4</f>
        <v>1250</v>
      </c>
      <c r="E6" s="95">
        <f t="shared" ref="E6:E29" si="0">(C6*0.015)</f>
        <v>450</v>
      </c>
      <c r="F6" s="95">
        <f t="shared" ref="F6:F29" si="1">SUM(D6:E6)</f>
        <v>1700</v>
      </c>
      <c r="G6" s="95"/>
      <c r="H6" s="95"/>
      <c r="I6" s="96"/>
      <c r="J6" s="97"/>
      <c r="L6" s="94" t="s">
        <v>17</v>
      </c>
      <c r="M6" s="95">
        <f>T1</f>
        <v>30000</v>
      </c>
      <c r="N6" s="95">
        <f>T1/T4</f>
        <v>1250</v>
      </c>
      <c r="O6" s="95">
        <f t="shared" ref="O6:O29" si="2">(M6*0.015)</f>
        <v>450</v>
      </c>
      <c r="P6" s="95">
        <f t="shared" ref="P6:P29" si="3">SUM(N6:O6)</f>
        <v>1700</v>
      </c>
      <c r="Q6" s="95"/>
      <c r="R6" s="95"/>
      <c r="S6" s="96"/>
      <c r="T6" s="97"/>
    </row>
    <row r="7" spans="2:20" x14ac:dyDescent="0.3">
      <c r="B7" s="98" t="s">
        <v>18</v>
      </c>
      <c r="C7" s="99">
        <v>28750</v>
      </c>
      <c r="D7" s="99">
        <v>1250</v>
      </c>
      <c r="E7" s="99">
        <f t="shared" si="0"/>
        <v>431.25</v>
      </c>
      <c r="F7" s="99">
        <f t="shared" si="1"/>
        <v>1681.25</v>
      </c>
      <c r="G7" s="99"/>
      <c r="H7" s="99"/>
      <c r="I7" s="100"/>
      <c r="J7" s="101"/>
      <c r="L7" s="98" t="s">
        <v>18</v>
      </c>
      <c r="M7" s="99">
        <v>28750</v>
      </c>
      <c r="N7" s="99">
        <v>1250</v>
      </c>
      <c r="O7" s="99">
        <f t="shared" si="2"/>
        <v>431.25</v>
      </c>
      <c r="P7" s="99">
        <f t="shared" si="3"/>
        <v>1681.25</v>
      </c>
      <c r="Q7" s="99"/>
      <c r="R7" s="99"/>
      <c r="S7" s="100"/>
      <c r="T7" s="101"/>
    </row>
    <row r="8" spans="2:20" x14ac:dyDescent="0.3">
      <c r="B8" s="98" t="s">
        <v>19</v>
      </c>
      <c r="C8" s="99">
        <v>27500</v>
      </c>
      <c r="D8" s="99">
        <v>1250</v>
      </c>
      <c r="E8" s="99">
        <f t="shared" si="0"/>
        <v>412.5</v>
      </c>
      <c r="F8" s="99">
        <f t="shared" si="1"/>
        <v>1662.5</v>
      </c>
      <c r="G8" s="99"/>
      <c r="H8" s="99"/>
      <c r="I8" s="100"/>
      <c r="J8" s="101"/>
      <c r="L8" s="98" t="s">
        <v>19</v>
      </c>
      <c r="M8" s="99">
        <v>27500</v>
      </c>
      <c r="N8" s="99">
        <v>1250</v>
      </c>
      <c r="O8" s="99">
        <f t="shared" si="2"/>
        <v>412.5</v>
      </c>
      <c r="P8" s="99">
        <f t="shared" si="3"/>
        <v>1662.5</v>
      </c>
      <c r="Q8" s="99"/>
      <c r="R8" s="99"/>
      <c r="S8" s="100"/>
      <c r="T8" s="101"/>
    </row>
    <row r="9" spans="2:20" ht="15" thickBot="1" x14ac:dyDescent="0.35">
      <c r="B9" s="98" t="s">
        <v>20</v>
      </c>
      <c r="C9" s="99">
        <v>26250</v>
      </c>
      <c r="D9" s="99">
        <v>1250</v>
      </c>
      <c r="E9" s="99">
        <f t="shared" si="0"/>
        <v>393.75</v>
      </c>
      <c r="F9" s="99">
        <f t="shared" si="1"/>
        <v>1643.75</v>
      </c>
      <c r="G9" s="99"/>
      <c r="H9" s="99"/>
      <c r="I9" s="100"/>
      <c r="J9" s="101"/>
      <c r="L9" s="98" t="s">
        <v>20</v>
      </c>
      <c r="M9" s="99">
        <v>26250</v>
      </c>
      <c r="N9" s="99">
        <v>1250</v>
      </c>
      <c r="O9" s="99">
        <f t="shared" si="2"/>
        <v>393.75</v>
      </c>
      <c r="P9" s="99">
        <f t="shared" si="3"/>
        <v>1643.75</v>
      </c>
      <c r="Q9" s="99"/>
      <c r="R9" s="99"/>
      <c r="S9" s="100"/>
      <c r="T9" s="101"/>
    </row>
    <row r="10" spans="2:20" x14ac:dyDescent="0.3">
      <c r="B10" s="98" t="s">
        <v>21</v>
      </c>
      <c r="C10" s="99">
        <v>2500</v>
      </c>
      <c r="D10" s="95">
        <v>1250</v>
      </c>
      <c r="E10" s="99">
        <f t="shared" si="0"/>
        <v>37.5</v>
      </c>
      <c r="F10" s="99">
        <f t="shared" si="1"/>
        <v>1287.5</v>
      </c>
      <c r="G10" s="99"/>
      <c r="H10" s="99"/>
      <c r="I10" s="100"/>
      <c r="J10" s="101"/>
      <c r="L10" s="98" t="s">
        <v>21</v>
      </c>
      <c r="M10" s="99">
        <v>2500</v>
      </c>
      <c r="N10" s="95">
        <v>1250</v>
      </c>
      <c r="O10" s="99">
        <f t="shared" si="2"/>
        <v>37.5</v>
      </c>
      <c r="P10" s="99">
        <f t="shared" si="3"/>
        <v>1287.5</v>
      </c>
      <c r="Q10" s="99"/>
      <c r="R10" s="99"/>
      <c r="S10" s="100"/>
      <c r="T10" s="101"/>
    </row>
    <row r="11" spans="2:20" ht="15" thickBot="1" x14ac:dyDescent="0.35">
      <c r="B11" s="98" t="s">
        <v>23</v>
      </c>
      <c r="C11" s="99">
        <v>23750</v>
      </c>
      <c r="D11" s="99">
        <v>1250</v>
      </c>
      <c r="E11" s="99">
        <f t="shared" si="0"/>
        <v>356.25</v>
      </c>
      <c r="F11" s="99">
        <f t="shared" si="1"/>
        <v>1606.25</v>
      </c>
      <c r="G11" s="99"/>
      <c r="H11" s="99"/>
      <c r="I11" s="100"/>
      <c r="J11" s="101"/>
      <c r="L11" s="98" t="s">
        <v>23</v>
      </c>
      <c r="M11" s="99">
        <v>23750</v>
      </c>
      <c r="N11" s="99">
        <v>1250</v>
      </c>
      <c r="O11" s="99">
        <f t="shared" si="2"/>
        <v>356.25</v>
      </c>
      <c r="P11" s="99">
        <f t="shared" si="3"/>
        <v>1606.25</v>
      </c>
      <c r="Q11" s="99"/>
      <c r="R11" s="99"/>
      <c r="S11" s="100"/>
      <c r="T11" s="101"/>
    </row>
    <row r="12" spans="2:20" x14ac:dyDescent="0.3">
      <c r="B12" s="98" t="s">
        <v>24</v>
      </c>
      <c r="C12" s="99">
        <v>22500</v>
      </c>
      <c r="D12" s="95">
        <v>1250</v>
      </c>
      <c r="E12" s="99">
        <f t="shared" si="0"/>
        <v>337.5</v>
      </c>
      <c r="F12" s="99">
        <f t="shared" si="1"/>
        <v>1587.5</v>
      </c>
      <c r="G12" s="99"/>
      <c r="H12" s="99"/>
      <c r="I12" s="100"/>
      <c r="J12" s="101"/>
      <c r="L12" s="98" t="s">
        <v>24</v>
      </c>
      <c r="M12" s="99">
        <v>22500</v>
      </c>
      <c r="N12" s="95">
        <v>1250</v>
      </c>
      <c r="O12" s="99">
        <f t="shared" si="2"/>
        <v>337.5</v>
      </c>
      <c r="P12" s="99">
        <f t="shared" si="3"/>
        <v>1587.5</v>
      </c>
      <c r="Q12" s="99"/>
      <c r="R12" s="99"/>
      <c r="S12" s="100"/>
      <c r="T12" s="101"/>
    </row>
    <row r="13" spans="2:20" x14ac:dyDescent="0.3">
      <c r="B13" s="98" t="s">
        <v>25</v>
      </c>
      <c r="C13" s="99">
        <v>21250</v>
      </c>
      <c r="D13" s="99">
        <v>1250</v>
      </c>
      <c r="E13" s="99">
        <f t="shared" si="0"/>
        <v>318.75</v>
      </c>
      <c r="F13" s="99">
        <f t="shared" si="1"/>
        <v>1568.75</v>
      </c>
      <c r="G13" s="99"/>
      <c r="H13" s="99"/>
      <c r="I13" s="100"/>
      <c r="J13" s="101"/>
      <c r="L13" s="98" t="s">
        <v>25</v>
      </c>
      <c r="M13" s="99">
        <v>21250</v>
      </c>
      <c r="N13" s="99">
        <v>1250</v>
      </c>
      <c r="O13" s="99">
        <f t="shared" si="2"/>
        <v>318.75</v>
      </c>
      <c r="P13" s="99">
        <f t="shared" si="3"/>
        <v>1568.75</v>
      </c>
      <c r="Q13" s="99"/>
      <c r="R13" s="99"/>
      <c r="S13" s="100"/>
      <c r="T13" s="101"/>
    </row>
    <row r="14" spans="2:20" x14ac:dyDescent="0.3">
      <c r="B14" s="98" t="s">
        <v>26</v>
      </c>
      <c r="C14" s="99">
        <v>20000</v>
      </c>
      <c r="D14" s="99">
        <v>1250</v>
      </c>
      <c r="E14" s="99">
        <f t="shared" si="0"/>
        <v>300</v>
      </c>
      <c r="F14" s="99">
        <f t="shared" si="1"/>
        <v>1550</v>
      </c>
      <c r="G14" s="99"/>
      <c r="H14" s="99"/>
      <c r="I14" s="100"/>
      <c r="J14" s="101"/>
      <c r="L14" s="98" t="s">
        <v>26</v>
      </c>
      <c r="M14" s="99">
        <v>20000</v>
      </c>
      <c r="N14" s="99">
        <v>1250</v>
      </c>
      <c r="O14" s="99">
        <f t="shared" si="2"/>
        <v>300</v>
      </c>
      <c r="P14" s="99">
        <f t="shared" si="3"/>
        <v>1550</v>
      </c>
      <c r="Q14" s="99"/>
      <c r="R14" s="99"/>
      <c r="S14" s="100"/>
      <c r="T14" s="101"/>
    </row>
    <row r="15" spans="2:20" ht="15" thickBot="1" x14ac:dyDescent="0.35">
      <c r="B15" s="98" t="s">
        <v>27</v>
      </c>
      <c r="C15" s="99">
        <v>18750</v>
      </c>
      <c r="D15" s="99">
        <v>1250</v>
      </c>
      <c r="E15" s="99">
        <f t="shared" si="0"/>
        <v>281.25</v>
      </c>
      <c r="F15" s="99">
        <f t="shared" si="1"/>
        <v>1531.25</v>
      </c>
      <c r="G15" s="99"/>
      <c r="H15" s="99"/>
      <c r="I15" s="100"/>
      <c r="J15" s="101"/>
      <c r="L15" s="98" t="s">
        <v>27</v>
      </c>
      <c r="M15" s="99">
        <v>18750</v>
      </c>
      <c r="N15" s="99">
        <v>1250</v>
      </c>
      <c r="O15" s="99">
        <f t="shared" si="2"/>
        <v>281.25</v>
      </c>
      <c r="P15" s="99">
        <f t="shared" si="3"/>
        <v>1531.25</v>
      </c>
      <c r="Q15" s="99"/>
      <c r="R15" s="99"/>
      <c r="S15" s="100"/>
      <c r="T15" s="101"/>
    </row>
    <row r="16" spans="2:20" x14ac:dyDescent="0.3">
      <c r="B16" s="98" t="s">
        <v>28</v>
      </c>
      <c r="C16" s="99">
        <v>17500</v>
      </c>
      <c r="D16" s="95">
        <v>1250</v>
      </c>
      <c r="E16" s="99">
        <f t="shared" si="0"/>
        <v>262.5</v>
      </c>
      <c r="F16" s="99">
        <f t="shared" si="1"/>
        <v>1512.5</v>
      </c>
      <c r="G16" s="99"/>
      <c r="H16" s="99"/>
      <c r="I16" s="100"/>
      <c r="J16" s="101"/>
      <c r="L16" s="98" t="s">
        <v>28</v>
      </c>
      <c r="M16" s="99">
        <v>17500</v>
      </c>
      <c r="N16" s="95">
        <v>1250</v>
      </c>
      <c r="O16" s="99">
        <f t="shared" si="2"/>
        <v>262.5</v>
      </c>
      <c r="P16" s="99">
        <f t="shared" si="3"/>
        <v>1512.5</v>
      </c>
      <c r="Q16" s="99"/>
      <c r="R16" s="99"/>
      <c r="S16" s="100"/>
      <c r="T16" s="101"/>
    </row>
    <row r="17" spans="2:20" ht="15" thickBot="1" x14ac:dyDescent="0.35">
      <c r="B17" s="98" t="s">
        <v>29</v>
      </c>
      <c r="C17" s="99">
        <v>16250</v>
      </c>
      <c r="D17" s="99">
        <v>1250</v>
      </c>
      <c r="E17" s="99">
        <f t="shared" si="0"/>
        <v>243.75</v>
      </c>
      <c r="F17" s="99">
        <f t="shared" si="1"/>
        <v>1493.75</v>
      </c>
      <c r="G17" s="99"/>
      <c r="H17" s="99"/>
      <c r="I17" s="100"/>
      <c r="J17" s="101"/>
      <c r="L17" s="98" t="s">
        <v>29</v>
      </c>
      <c r="M17" s="99">
        <v>16250</v>
      </c>
      <c r="N17" s="99">
        <v>1250</v>
      </c>
      <c r="O17" s="99">
        <f t="shared" si="2"/>
        <v>243.75</v>
      </c>
      <c r="P17" s="99">
        <f t="shared" si="3"/>
        <v>1493.75</v>
      </c>
      <c r="Q17" s="99"/>
      <c r="R17" s="99"/>
      <c r="S17" s="100"/>
      <c r="T17" s="101"/>
    </row>
    <row r="18" spans="2:20" x14ac:dyDescent="0.3">
      <c r="B18" s="98" t="s">
        <v>30</v>
      </c>
      <c r="C18" s="99">
        <v>15000</v>
      </c>
      <c r="D18" s="95">
        <v>1250</v>
      </c>
      <c r="E18" s="99">
        <f t="shared" si="0"/>
        <v>225</v>
      </c>
      <c r="F18" s="99">
        <f t="shared" si="1"/>
        <v>1475</v>
      </c>
      <c r="G18" s="99"/>
      <c r="H18" s="99"/>
      <c r="I18" s="100"/>
      <c r="J18" s="101"/>
      <c r="L18" s="98" t="s">
        <v>30</v>
      </c>
      <c r="M18" s="99">
        <v>15000</v>
      </c>
      <c r="N18" s="95">
        <v>1250</v>
      </c>
      <c r="O18" s="99">
        <f t="shared" si="2"/>
        <v>225</v>
      </c>
      <c r="P18" s="99">
        <f t="shared" si="3"/>
        <v>1475</v>
      </c>
      <c r="Q18" s="99"/>
      <c r="R18" s="99"/>
      <c r="S18" s="100"/>
      <c r="T18" s="101"/>
    </row>
    <row r="19" spans="2:20" x14ac:dyDescent="0.3">
      <c r="B19" s="98" t="s">
        <v>31</v>
      </c>
      <c r="C19" s="99">
        <v>13750</v>
      </c>
      <c r="D19" s="99">
        <v>1250</v>
      </c>
      <c r="E19" s="99">
        <f t="shared" si="0"/>
        <v>206.25</v>
      </c>
      <c r="F19" s="99">
        <f t="shared" si="1"/>
        <v>1456.25</v>
      </c>
      <c r="G19" s="99"/>
      <c r="H19" s="99"/>
      <c r="I19" s="100"/>
      <c r="J19" s="101"/>
      <c r="L19" s="98" t="s">
        <v>31</v>
      </c>
      <c r="M19" s="99">
        <v>13750</v>
      </c>
      <c r="N19" s="99">
        <v>1250</v>
      </c>
      <c r="O19" s="99">
        <f t="shared" si="2"/>
        <v>206.25</v>
      </c>
      <c r="P19" s="99">
        <f t="shared" si="3"/>
        <v>1456.25</v>
      </c>
      <c r="Q19" s="99"/>
      <c r="R19" s="99"/>
      <c r="S19" s="100"/>
      <c r="T19" s="101"/>
    </row>
    <row r="20" spans="2:20" x14ac:dyDescent="0.3">
      <c r="B20" s="98" t="s">
        <v>32</v>
      </c>
      <c r="C20" s="99">
        <v>12500</v>
      </c>
      <c r="D20" s="99">
        <v>1250</v>
      </c>
      <c r="E20" s="99">
        <f t="shared" si="0"/>
        <v>187.5</v>
      </c>
      <c r="F20" s="99">
        <f t="shared" si="1"/>
        <v>1437.5</v>
      </c>
      <c r="G20" s="99"/>
      <c r="H20" s="99"/>
      <c r="I20" s="100"/>
      <c r="J20" s="101"/>
      <c r="L20" s="98" t="s">
        <v>32</v>
      </c>
      <c r="M20" s="99">
        <v>12500</v>
      </c>
      <c r="N20" s="99">
        <v>1250</v>
      </c>
      <c r="O20" s="99">
        <f t="shared" si="2"/>
        <v>187.5</v>
      </c>
      <c r="P20" s="99">
        <f t="shared" si="3"/>
        <v>1437.5</v>
      </c>
      <c r="Q20" s="99"/>
      <c r="R20" s="99"/>
      <c r="S20" s="100"/>
      <c r="T20" s="101"/>
    </row>
    <row r="21" spans="2:20" ht="15" thickBot="1" x14ac:dyDescent="0.35">
      <c r="B21" s="98" t="s">
        <v>33</v>
      </c>
      <c r="C21" s="99">
        <v>11250</v>
      </c>
      <c r="D21" s="99">
        <v>1250</v>
      </c>
      <c r="E21" s="99">
        <f t="shared" si="0"/>
        <v>168.75</v>
      </c>
      <c r="F21" s="99">
        <f t="shared" si="1"/>
        <v>1418.75</v>
      </c>
      <c r="G21" s="99"/>
      <c r="H21" s="99"/>
      <c r="I21" s="100"/>
      <c r="J21" s="101"/>
      <c r="L21" s="98" t="s">
        <v>33</v>
      </c>
      <c r="M21" s="99">
        <v>11250</v>
      </c>
      <c r="N21" s="99">
        <v>1250</v>
      </c>
      <c r="O21" s="99">
        <f t="shared" si="2"/>
        <v>168.75</v>
      </c>
      <c r="P21" s="99">
        <f t="shared" si="3"/>
        <v>1418.75</v>
      </c>
      <c r="Q21" s="99"/>
      <c r="R21" s="99"/>
      <c r="S21" s="100"/>
      <c r="T21" s="101"/>
    </row>
    <row r="22" spans="2:20" x14ac:dyDescent="0.3">
      <c r="B22" s="98" t="s">
        <v>34</v>
      </c>
      <c r="C22" s="99">
        <v>10000</v>
      </c>
      <c r="D22" s="95">
        <v>1250</v>
      </c>
      <c r="E22" s="99">
        <f t="shared" si="0"/>
        <v>150</v>
      </c>
      <c r="F22" s="99">
        <f t="shared" si="1"/>
        <v>1400</v>
      </c>
      <c r="G22" s="99"/>
      <c r="H22" s="99"/>
      <c r="I22" s="100"/>
      <c r="J22" s="101"/>
      <c r="L22" s="98" t="s">
        <v>34</v>
      </c>
      <c r="M22" s="99">
        <v>10000</v>
      </c>
      <c r="N22" s="95">
        <v>1250</v>
      </c>
      <c r="O22" s="99">
        <f t="shared" si="2"/>
        <v>150</v>
      </c>
      <c r="P22" s="99">
        <f t="shared" si="3"/>
        <v>1400</v>
      </c>
      <c r="Q22" s="99"/>
      <c r="R22" s="99"/>
      <c r="S22" s="100"/>
      <c r="T22" s="101"/>
    </row>
    <row r="23" spans="2:20" ht="15" thickBot="1" x14ac:dyDescent="0.35">
      <c r="B23" s="98" t="s">
        <v>35</v>
      </c>
      <c r="C23" s="99">
        <v>8750</v>
      </c>
      <c r="D23" s="99">
        <v>1250</v>
      </c>
      <c r="E23" s="99">
        <f t="shared" si="0"/>
        <v>131.25</v>
      </c>
      <c r="F23" s="99">
        <f t="shared" si="1"/>
        <v>1381.25</v>
      </c>
      <c r="G23" s="99"/>
      <c r="H23" s="99"/>
      <c r="I23" s="100"/>
      <c r="J23" s="101"/>
      <c r="L23" s="98" t="s">
        <v>35</v>
      </c>
      <c r="M23" s="99">
        <v>8750</v>
      </c>
      <c r="N23" s="99">
        <v>1250</v>
      </c>
      <c r="O23" s="99">
        <f t="shared" si="2"/>
        <v>131.25</v>
      </c>
      <c r="P23" s="99">
        <f t="shared" si="3"/>
        <v>1381.25</v>
      </c>
      <c r="Q23" s="99"/>
      <c r="R23" s="99"/>
      <c r="S23" s="100"/>
      <c r="T23" s="101"/>
    </row>
    <row r="24" spans="2:20" x14ac:dyDescent="0.3">
      <c r="B24" s="98" t="s">
        <v>36</v>
      </c>
      <c r="C24" s="99">
        <v>7500</v>
      </c>
      <c r="D24" s="95">
        <v>1250</v>
      </c>
      <c r="E24" s="99">
        <f t="shared" si="0"/>
        <v>112.5</v>
      </c>
      <c r="F24" s="99">
        <f t="shared" si="1"/>
        <v>1362.5</v>
      </c>
      <c r="G24" s="99"/>
      <c r="H24" s="99"/>
      <c r="I24" s="100"/>
      <c r="J24" s="101"/>
      <c r="L24" s="98" t="s">
        <v>36</v>
      </c>
      <c r="M24" s="99">
        <v>7500</v>
      </c>
      <c r="N24" s="95">
        <v>1250</v>
      </c>
      <c r="O24" s="99">
        <f t="shared" si="2"/>
        <v>112.5</v>
      </c>
      <c r="P24" s="99">
        <f t="shared" si="3"/>
        <v>1362.5</v>
      </c>
      <c r="Q24" s="99"/>
      <c r="R24" s="99"/>
      <c r="S24" s="100"/>
      <c r="T24" s="101"/>
    </row>
    <row r="25" spans="2:20" x14ac:dyDescent="0.3">
      <c r="B25" s="98" t="s">
        <v>37</v>
      </c>
      <c r="C25" s="99">
        <v>6250</v>
      </c>
      <c r="D25" s="99">
        <v>1250</v>
      </c>
      <c r="E25" s="99">
        <f t="shared" si="0"/>
        <v>93.75</v>
      </c>
      <c r="F25" s="99">
        <f t="shared" si="1"/>
        <v>1343.75</v>
      </c>
      <c r="G25" s="99"/>
      <c r="H25" s="99"/>
      <c r="I25" s="100"/>
      <c r="J25" s="101"/>
      <c r="L25" s="98" t="s">
        <v>37</v>
      </c>
      <c r="M25" s="99">
        <v>6250</v>
      </c>
      <c r="N25" s="99">
        <v>1250</v>
      </c>
      <c r="O25" s="99">
        <f t="shared" si="2"/>
        <v>93.75</v>
      </c>
      <c r="P25" s="99">
        <f t="shared" si="3"/>
        <v>1343.75</v>
      </c>
      <c r="Q25" s="99"/>
      <c r="R25" s="99"/>
      <c r="S25" s="100"/>
      <c r="T25" s="101"/>
    </row>
    <row r="26" spans="2:20" x14ac:dyDescent="0.3">
      <c r="B26" s="98" t="s">
        <v>38</v>
      </c>
      <c r="C26" s="99">
        <v>5000</v>
      </c>
      <c r="D26" s="99">
        <v>1250</v>
      </c>
      <c r="E26" s="99">
        <f t="shared" si="0"/>
        <v>75</v>
      </c>
      <c r="F26" s="99">
        <f t="shared" si="1"/>
        <v>1325</v>
      </c>
      <c r="G26" s="99"/>
      <c r="H26" s="99"/>
      <c r="I26" s="100"/>
      <c r="J26" s="101"/>
      <c r="L26" s="98" t="s">
        <v>38</v>
      </c>
      <c r="M26" s="99">
        <v>5000</v>
      </c>
      <c r="N26" s="99">
        <v>1250</v>
      </c>
      <c r="O26" s="99">
        <f t="shared" si="2"/>
        <v>75</v>
      </c>
      <c r="P26" s="99">
        <f t="shared" si="3"/>
        <v>1325</v>
      </c>
      <c r="Q26" s="99"/>
      <c r="R26" s="99"/>
      <c r="S26" s="100"/>
      <c r="T26" s="101"/>
    </row>
    <row r="27" spans="2:20" ht="15" thickBot="1" x14ac:dyDescent="0.35">
      <c r="B27" s="98" t="s">
        <v>39</v>
      </c>
      <c r="C27" s="99">
        <v>3750</v>
      </c>
      <c r="D27" s="99">
        <v>1250</v>
      </c>
      <c r="E27" s="99">
        <f t="shared" si="0"/>
        <v>56.25</v>
      </c>
      <c r="F27" s="99">
        <f t="shared" si="1"/>
        <v>1306.25</v>
      </c>
      <c r="G27" s="99"/>
      <c r="H27" s="99"/>
      <c r="I27" s="100"/>
      <c r="J27" s="101"/>
      <c r="L27" s="98" t="s">
        <v>39</v>
      </c>
      <c r="M27" s="99">
        <v>3750</v>
      </c>
      <c r="N27" s="99">
        <v>1250</v>
      </c>
      <c r="O27" s="99">
        <f t="shared" si="2"/>
        <v>56.25</v>
      </c>
      <c r="P27" s="99">
        <f t="shared" si="3"/>
        <v>1306.25</v>
      </c>
      <c r="Q27" s="99"/>
      <c r="R27" s="99"/>
      <c r="S27" s="100"/>
      <c r="T27" s="101"/>
    </row>
    <row r="28" spans="2:20" x14ac:dyDescent="0.3">
      <c r="B28" s="98" t="s">
        <v>40</v>
      </c>
      <c r="C28" s="99">
        <v>2500</v>
      </c>
      <c r="D28" s="95">
        <v>1250</v>
      </c>
      <c r="E28" s="99">
        <f t="shared" si="0"/>
        <v>37.5</v>
      </c>
      <c r="F28" s="99">
        <f t="shared" si="1"/>
        <v>1287.5</v>
      </c>
      <c r="G28" s="99"/>
      <c r="H28" s="99"/>
      <c r="I28" s="100"/>
      <c r="J28" s="101"/>
      <c r="L28" s="98" t="s">
        <v>40</v>
      </c>
      <c r="M28" s="99">
        <v>2500</v>
      </c>
      <c r="N28" s="95">
        <v>1250</v>
      </c>
      <c r="O28" s="99">
        <f t="shared" si="2"/>
        <v>37.5</v>
      </c>
      <c r="P28" s="99">
        <f t="shared" si="3"/>
        <v>1287.5</v>
      </c>
      <c r="Q28" s="99"/>
      <c r="R28" s="99"/>
      <c r="S28" s="100"/>
      <c r="T28" s="101"/>
    </row>
    <row r="29" spans="2:20" ht="15" thickBot="1" x14ac:dyDescent="0.35">
      <c r="B29" s="103" t="s">
        <v>41</v>
      </c>
      <c r="C29" s="102">
        <v>1250</v>
      </c>
      <c r="D29" s="99">
        <v>1250</v>
      </c>
      <c r="E29" s="102">
        <f t="shared" si="0"/>
        <v>18.75</v>
      </c>
      <c r="F29" s="102">
        <f t="shared" si="1"/>
        <v>1268.75</v>
      </c>
      <c r="G29" s="102"/>
      <c r="H29" s="102"/>
      <c r="I29" s="104"/>
      <c r="J29" s="105" t="s">
        <v>42</v>
      </c>
      <c r="L29" s="103" t="s">
        <v>41</v>
      </c>
      <c r="M29" s="102">
        <v>1250</v>
      </c>
      <c r="N29" s="99">
        <v>1250</v>
      </c>
      <c r="O29" s="102">
        <f t="shared" si="2"/>
        <v>18.75</v>
      </c>
      <c r="P29" s="102">
        <f t="shared" si="3"/>
        <v>1268.75</v>
      </c>
      <c r="Q29" s="102"/>
      <c r="R29" s="102"/>
      <c r="S29" s="104"/>
      <c r="T29" s="105" t="s">
        <v>42</v>
      </c>
    </row>
    <row r="32" spans="2:20" x14ac:dyDescent="0.3">
      <c r="B32" s="77" t="s">
        <v>0</v>
      </c>
      <c r="C32" s="77" t="s">
        <v>170</v>
      </c>
      <c r="D32" s="112"/>
      <c r="E32" s="112"/>
      <c r="F32" s="79"/>
      <c r="G32" s="80"/>
      <c r="I32" s="81" t="s">
        <v>1</v>
      </c>
      <c r="J32" s="82">
        <v>100000</v>
      </c>
      <c r="L32" s="77" t="s">
        <v>0</v>
      </c>
      <c r="M32" s="77" t="s">
        <v>170</v>
      </c>
      <c r="N32" s="112"/>
      <c r="O32" s="112"/>
      <c r="P32" s="79"/>
      <c r="Q32" s="80"/>
      <c r="S32" s="81" t="s">
        <v>1</v>
      </c>
      <c r="T32" s="82">
        <v>100000</v>
      </c>
    </row>
    <row r="33" spans="2:20" x14ac:dyDescent="0.3">
      <c r="B33" s="77" t="s">
        <v>2</v>
      </c>
      <c r="C33" s="131"/>
      <c r="D33" s="132"/>
      <c r="E33" s="83"/>
      <c r="F33" s="81"/>
      <c r="G33" s="81"/>
      <c r="H33" s="84"/>
      <c r="I33" s="81" t="s">
        <v>3</v>
      </c>
      <c r="J33" s="85" t="s">
        <v>243</v>
      </c>
      <c r="L33" s="77" t="s">
        <v>2</v>
      </c>
      <c r="M33" s="131"/>
      <c r="N33" s="132"/>
      <c r="O33" s="83"/>
      <c r="P33" s="81"/>
      <c r="Q33" s="81"/>
      <c r="R33" s="84"/>
      <c r="S33" s="81" t="s">
        <v>3</v>
      </c>
      <c r="T33" s="85" t="s">
        <v>243</v>
      </c>
    </row>
    <row r="34" spans="2:20" x14ac:dyDescent="0.3">
      <c r="B34" s="77" t="s">
        <v>4</v>
      </c>
      <c r="C34" s="112"/>
      <c r="D34" s="132"/>
      <c r="E34" s="78"/>
      <c r="F34" s="81"/>
      <c r="G34" s="81"/>
      <c r="H34" s="81"/>
      <c r="I34" s="81" t="s">
        <v>5</v>
      </c>
      <c r="J34" s="86">
        <v>1.4999999999999999E-2</v>
      </c>
      <c r="L34" s="77" t="s">
        <v>4</v>
      </c>
      <c r="M34" s="112"/>
      <c r="N34" s="132"/>
      <c r="O34" s="78"/>
      <c r="P34" s="81"/>
      <c r="Q34" s="81"/>
      <c r="R34" s="81"/>
      <c r="S34" s="81" t="s">
        <v>5</v>
      </c>
      <c r="T34" s="86">
        <v>1.4999999999999999E-2</v>
      </c>
    </row>
    <row r="35" spans="2:20" ht="15" thickBot="1" x14ac:dyDescent="0.35">
      <c r="B35" s="81" t="s">
        <v>6</v>
      </c>
      <c r="C35" s="87"/>
      <c r="D35" s="87"/>
      <c r="E35" s="88"/>
      <c r="F35" s="88"/>
      <c r="G35" s="88"/>
      <c r="H35" s="88"/>
      <c r="I35" s="88" t="s">
        <v>7</v>
      </c>
      <c r="J35" s="78">
        <v>24</v>
      </c>
      <c r="L35" s="81" t="s">
        <v>6</v>
      </c>
      <c r="M35" s="87"/>
      <c r="N35" s="87"/>
      <c r="O35" s="88"/>
      <c r="P35" s="88"/>
      <c r="Q35" s="88"/>
      <c r="R35" s="88"/>
      <c r="S35" s="88" t="s">
        <v>7</v>
      </c>
      <c r="T35" s="78">
        <v>24</v>
      </c>
    </row>
    <row r="36" spans="2:20" ht="41.4" thickBot="1" x14ac:dyDescent="0.35">
      <c r="B36" s="89" t="s">
        <v>8</v>
      </c>
      <c r="C36" s="89" t="s">
        <v>9</v>
      </c>
      <c r="D36" s="89" t="s">
        <v>10</v>
      </c>
      <c r="E36" s="90" t="s">
        <v>11</v>
      </c>
      <c r="F36" s="91" t="s">
        <v>12</v>
      </c>
      <c r="G36" s="92" t="s">
        <v>13</v>
      </c>
      <c r="H36" s="92" t="s">
        <v>14</v>
      </c>
      <c r="I36" s="92" t="s">
        <v>15</v>
      </c>
      <c r="J36" s="93" t="s">
        <v>16</v>
      </c>
      <c r="L36" s="89" t="s">
        <v>8</v>
      </c>
      <c r="M36" s="89" t="s">
        <v>9</v>
      </c>
      <c r="N36" s="89" t="s">
        <v>10</v>
      </c>
      <c r="O36" s="90" t="s">
        <v>11</v>
      </c>
      <c r="P36" s="91" t="s">
        <v>12</v>
      </c>
      <c r="Q36" s="92" t="s">
        <v>13</v>
      </c>
      <c r="R36" s="92" t="s">
        <v>14</v>
      </c>
      <c r="S36" s="92" t="s">
        <v>15</v>
      </c>
      <c r="T36" s="93" t="s">
        <v>16</v>
      </c>
    </row>
    <row r="37" spans="2:20" x14ac:dyDescent="0.3">
      <c r="B37" s="94" t="s">
        <v>17</v>
      </c>
      <c r="C37" s="95">
        <f>J32</f>
        <v>100000</v>
      </c>
      <c r="D37" s="95">
        <f>J32/J35</f>
        <v>4166.666666666667</v>
      </c>
      <c r="E37" s="95">
        <f t="shared" ref="E37:E60" si="4">(C37*0.015)</f>
        <v>1500</v>
      </c>
      <c r="F37" s="95">
        <f t="shared" ref="F37:F60" si="5">SUM(D37:E37)</f>
        <v>5666.666666666667</v>
      </c>
      <c r="G37" s="95"/>
      <c r="H37" s="95"/>
      <c r="I37" s="96"/>
      <c r="J37" s="97"/>
      <c r="L37" s="94" t="s">
        <v>17</v>
      </c>
      <c r="M37" s="95">
        <f>T32</f>
        <v>100000</v>
      </c>
      <c r="N37" s="95">
        <f>T32/T35</f>
        <v>4166.666666666667</v>
      </c>
      <c r="O37" s="95">
        <f t="shared" ref="O37:O57" si="6">(M37*0.015)</f>
        <v>1500</v>
      </c>
      <c r="P37" s="95">
        <f t="shared" ref="P37:P57" si="7">SUM(N37:O37)</f>
        <v>5666.666666666667</v>
      </c>
      <c r="Q37" s="95"/>
      <c r="R37" s="95"/>
      <c r="S37" s="96"/>
      <c r="T37" s="97"/>
    </row>
    <row r="38" spans="2:20" ht="15" thickBot="1" x14ac:dyDescent="0.35">
      <c r="B38" s="98" t="s">
        <v>18</v>
      </c>
      <c r="C38" s="99">
        <v>95841</v>
      </c>
      <c r="D38" s="99">
        <v>4167</v>
      </c>
      <c r="E38" s="99">
        <f t="shared" si="4"/>
        <v>1437.615</v>
      </c>
      <c r="F38" s="99">
        <f t="shared" si="5"/>
        <v>5604.6149999999998</v>
      </c>
      <c r="G38" s="99"/>
      <c r="H38" s="99"/>
      <c r="I38" s="100"/>
      <c r="J38" s="101"/>
      <c r="L38" s="98" t="s">
        <v>18</v>
      </c>
      <c r="M38" s="99">
        <v>95841</v>
      </c>
      <c r="N38" s="99">
        <v>4167</v>
      </c>
      <c r="O38" s="99">
        <f t="shared" si="6"/>
        <v>1437.615</v>
      </c>
      <c r="P38" s="99">
        <f t="shared" si="7"/>
        <v>5604.6149999999998</v>
      </c>
      <c r="Q38" s="99"/>
      <c r="R38" s="99"/>
      <c r="S38" s="100"/>
      <c r="T38" s="101"/>
    </row>
    <row r="39" spans="2:20" x14ac:dyDescent="0.3">
      <c r="B39" s="98" t="s">
        <v>19</v>
      </c>
      <c r="C39" s="99">
        <v>91674</v>
      </c>
      <c r="D39" s="95">
        <v>4167</v>
      </c>
      <c r="E39" s="99">
        <f t="shared" si="4"/>
        <v>1375.11</v>
      </c>
      <c r="F39" s="99">
        <f t="shared" si="5"/>
        <v>5542.11</v>
      </c>
      <c r="G39" s="99"/>
      <c r="H39" s="99"/>
      <c r="I39" s="100"/>
      <c r="J39" s="101"/>
      <c r="L39" s="98" t="s">
        <v>19</v>
      </c>
      <c r="M39" s="99">
        <v>91674</v>
      </c>
      <c r="N39" s="95">
        <v>4167</v>
      </c>
      <c r="O39" s="99">
        <f t="shared" si="6"/>
        <v>1375.11</v>
      </c>
      <c r="P39" s="99">
        <f t="shared" si="7"/>
        <v>5542.11</v>
      </c>
      <c r="Q39" s="99"/>
      <c r="R39" s="99"/>
      <c r="S39" s="100"/>
      <c r="T39" s="101"/>
    </row>
    <row r="40" spans="2:20" ht="15" thickBot="1" x14ac:dyDescent="0.35">
      <c r="B40" s="98" t="s">
        <v>20</v>
      </c>
      <c r="C40" s="99">
        <v>87507</v>
      </c>
      <c r="D40" s="99">
        <v>4167</v>
      </c>
      <c r="E40" s="99">
        <f t="shared" si="4"/>
        <v>1312.605</v>
      </c>
      <c r="F40" s="99">
        <f t="shared" si="5"/>
        <v>5479.6049999999996</v>
      </c>
      <c r="G40" s="99"/>
      <c r="H40" s="99"/>
      <c r="I40" s="100"/>
      <c r="J40" s="101"/>
      <c r="L40" s="98" t="s">
        <v>20</v>
      </c>
      <c r="M40" s="99">
        <v>87507</v>
      </c>
      <c r="N40" s="99">
        <v>4167</v>
      </c>
      <c r="O40" s="99">
        <f t="shared" si="6"/>
        <v>1312.605</v>
      </c>
      <c r="P40" s="99">
        <f t="shared" si="7"/>
        <v>5479.6049999999996</v>
      </c>
      <c r="Q40" s="99"/>
      <c r="R40" s="99"/>
      <c r="S40" s="100"/>
      <c r="T40" s="101"/>
    </row>
    <row r="41" spans="2:20" x14ac:dyDescent="0.3">
      <c r="B41" s="98" t="s">
        <v>21</v>
      </c>
      <c r="C41" s="99">
        <v>83340</v>
      </c>
      <c r="D41" s="95">
        <v>4167</v>
      </c>
      <c r="E41" s="99">
        <f t="shared" si="4"/>
        <v>1250.0999999999999</v>
      </c>
      <c r="F41" s="99">
        <f t="shared" si="5"/>
        <v>5417.1</v>
      </c>
      <c r="G41" s="99"/>
      <c r="H41" s="99"/>
      <c r="I41" s="100"/>
      <c r="J41" s="101"/>
      <c r="L41" s="98" t="s">
        <v>21</v>
      </c>
      <c r="M41" s="99">
        <v>83340</v>
      </c>
      <c r="N41" s="95">
        <v>4167</v>
      </c>
      <c r="O41" s="99">
        <f t="shared" si="6"/>
        <v>1250.0999999999999</v>
      </c>
      <c r="P41" s="99">
        <f t="shared" si="7"/>
        <v>5417.1</v>
      </c>
      <c r="Q41" s="99"/>
      <c r="R41" s="99"/>
      <c r="S41" s="100"/>
      <c r="T41" s="101"/>
    </row>
    <row r="42" spans="2:20" ht="15" thickBot="1" x14ac:dyDescent="0.35">
      <c r="B42" s="98" t="s">
        <v>23</v>
      </c>
      <c r="C42" s="99">
        <v>79173</v>
      </c>
      <c r="D42" s="99">
        <v>4167</v>
      </c>
      <c r="E42" s="99">
        <f t="shared" si="4"/>
        <v>1187.595</v>
      </c>
      <c r="F42" s="99">
        <f t="shared" si="5"/>
        <v>5354.5950000000003</v>
      </c>
      <c r="G42" s="99"/>
      <c r="H42" s="99"/>
      <c r="I42" s="100"/>
      <c r="J42" s="101"/>
      <c r="L42" s="98" t="s">
        <v>23</v>
      </c>
      <c r="M42" s="99">
        <v>79173</v>
      </c>
      <c r="N42" s="99">
        <v>4167</v>
      </c>
      <c r="O42" s="99">
        <f t="shared" si="6"/>
        <v>1187.595</v>
      </c>
      <c r="P42" s="99">
        <f t="shared" si="7"/>
        <v>5354.5950000000003</v>
      </c>
      <c r="Q42" s="99"/>
      <c r="R42" s="99"/>
      <c r="S42" s="100"/>
      <c r="T42" s="101"/>
    </row>
    <row r="43" spans="2:20" x14ac:dyDescent="0.3">
      <c r="B43" s="98" t="s">
        <v>24</v>
      </c>
      <c r="C43" s="99">
        <v>75006</v>
      </c>
      <c r="D43" s="95">
        <v>4167</v>
      </c>
      <c r="E43" s="99">
        <f t="shared" si="4"/>
        <v>1125.0899999999999</v>
      </c>
      <c r="F43" s="99">
        <f t="shared" si="5"/>
        <v>5292.09</v>
      </c>
      <c r="G43" s="99"/>
      <c r="H43" s="99"/>
      <c r="I43" s="100"/>
      <c r="J43" s="101"/>
      <c r="L43" s="98" t="s">
        <v>24</v>
      </c>
      <c r="M43" s="99">
        <v>75006</v>
      </c>
      <c r="N43" s="95">
        <v>4167</v>
      </c>
      <c r="O43" s="99">
        <f t="shared" si="6"/>
        <v>1125.0899999999999</v>
      </c>
      <c r="P43" s="99">
        <f t="shared" si="7"/>
        <v>5292.09</v>
      </c>
      <c r="Q43" s="99"/>
      <c r="R43" s="99"/>
      <c r="S43" s="100"/>
      <c r="T43" s="101"/>
    </row>
    <row r="44" spans="2:20" ht="15" thickBot="1" x14ac:dyDescent="0.35">
      <c r="B44" s="98" t="s">
        <v>25</v>
      </c>
      <c r="C44" s="99">
        <v>70839</v>
      </c>
      <c r="D44" s="99">
        <v>4167</v>
      </c>
      <c r="E44" s="99">
        <f t="shared" si="4"/>
        <v>1062.585</v>
      </c>
      <c r="F44" s="99">
        <f t="shared" si="5"/>
        <v>5229.585</v>
      </c>
      <c r="G44" s="99"/>
      <c r="H44" s="99"/>
      <c r="I44" s="100"/>
      <c r="J44" s="101"/>
      <c r="L44" s="98" t="s">
        <v>25</v>
      </c>
      <c r="M44" s="99">
        <v>70839</v>
      </c>
      <c r="N44" s="99">
        <v>4167</v>
      </c>
      <c r="O44" s="99">
        <f t="shared" si="6"/>
        <v>1062.585</v>
      </c>
      <c r="P44" s="99">
        <f t="shared" si="7"/>
        <v>5229.585</v>
      </c>
      <c r="Q44" s="99"/>
      <c r="R44" s="99"/>
      <c r="S44" s="100"/>
      <c r="T44" s="101"/>
    </row>
    <row r="45" spans="2:20" x14ac:dyDescent="0.3">
      <c r="B45" s="98" t="s">
        <v>26</v>
      </c>
      <c r="C45" s="99">
        <v>66672</v>
      </c>
      <c r="D45" s="95">
        <v>4167</v>
      </c>
      <c r="E45" s="99">
        <f t="shared" si="4"/>
        <v>1000.0799999999999</v>
      </c>
      <c r="F45" s="99">
        <f t="shared" si="5"/>
        <v>5167.08</v>
      </c>
      <c r="G45" s="99"/>
      <c r="H45" s="99"/>
      <c r="I45" s="100"/>
      <c r="J45" s="101"/>
      <c r="L45" s="98" t="s">
        <v>26</v>
      </c>
      <c r="M45" s="99">
        <v>66672</v>
      </c>
      <c r="N45" s="95">
        <v>4167</v>
      </c>
      <c r="O45" s="99">
        <f t="shared" si="6"/>
        <v>1000.0799999999999</v>
      </c>
      <c r="P45" s="99">
        <f t="shared" si="7"/>
        <v>5167.08</v>
      </c>
      <c r="Q45" s="99"/>
      <c r="R45" s="99"/>
      <c r="S45" s="100"/>
      <c r="T45" s="101"/>
    </row>
    <row r="46" spans="2:20" ht="15" thickBot="1" x14ac:dyDescent="0.35">
      <c r="B46" s="98" t="s">
        <v>27</v>
      </c>
      <c r="C46" s="99">
        <v>62505</v>
      </c>
      <c r="D46" s="99">
        <v>4167</v>
      </c>
      <c r="E46" s="99">
        <f t="shared" si="4"/>
        <v>937.57499999999993</v>
      </c>
      <c r="F46" s="99">
        <f t="shared" si="5"/>
        <v>5104.5749999999998</v>
      </c>
      <c r="G46" s="99"/>
      <c r="H46" s="99"/>
      <c r="I46" s="100"/>
      <c r="J46" s="101"/>
      <c r="L46" s="98" t="s">
        <v>27</v>
      </c>
      <c r="M46" s="99">
        <v>62505</v>
      </c>
      <c r="N46" s="99">
        <v>4167</v>
      </c>
      <c r="O46" s="99">
        <f t="shared" si="6"/>
        <v>937.57499999999993</v>
      </c>
      <c r="P46" s="99">
        <f t="shared" si="7"/>
        <v>5104.5749999999998</v>
      </c>
      <c r="Q46" s="99"/>
      <c r="R46" s="99"/>
      <c r="S46" s="100"/>
      <c r="T46" s="101"/>
    </row>
    <row r="47" spans="2:20" x14ac:dyDescent="0.3">
      <c r="B47" s="98" t="s">
        <v>28</v>
      </c>
      <c r="C47" s="99">
        <v>58338</v>
      </c>
      <c r="D47" s="95">
        <v>4167</v>
      </c>
      <c r="E47" s="99">
        <f t="shared" si="4"/>
        <v>875.06999999999994</v>
      </c>
      <c r="F47" s="99">
        <f t="shared" si="5"/>
        <v>5042.07</v>
      </c>
      <c r="G47" s="99"/>
      <c r="H47" s="99"/>
      <c r="I47" s="100"/>
      <c r="J47" s="101"/>
      <c r="L47" s="98" t="s">
        <v>28</v>
      </c>
      <c r="M47" s="99">
        <v>58338</v>
      </c>
      <c r="N47" s="95">
        <v>4167</v>
      </c>
      <c r="O47" s="99">
        <f t="shared" si="6"/>
        <v>875.06999999999994</v>
      </c>
      <c r="P47" s="99">
        <f t="shared" si="7"/>
        <v>5042.07</v>
      </c>
      <c r="Q47" s="99"/>
      <c r="R47" s="99"/>
      <c r="S47" s="100"/>
      <c r="T47" s="101"/>
    </row>
    <row r="48" spans="2:20" ht="15" thickBot="1" x14ac:dyDescent="0.35">
      <c r="B48" s="98" t="s">
        <v>29</v>
      </c>
      <c r="C48" s="99">
        <v>54171</v>
      </c>
      <c r="D48" s="99">
        <v>4167</v>
      </c>
      <c r="E48" s="99">
        <f t="shared" si="4"/>
        <v>812.56499999999994</v>
      </c>
      <c r="F48" s="99">
        <f t="shared" si="5"/>
        <v>4979.5649999999996</v>
      </c>
      <c r="G48" s="99"/>
      <c r="H48" s="99"/>
      <c r="I48" s="100"/>
      <c r="J48" s="101"/>
      <c r="L48" s="98" t="s">
        <v>29</v>
      </c>
      <c r="M48" s="99">
        <v>54171</v>
      </c>
      <c r="N48" s="99">
        <v>4167</v>
      </c>
      <c r="O48" s="99">
        <f t="shared" si="6"/>
        <v>812.56499999999994</v>
      </c>
      <c r="P48" s="99">
        <f t="shared" si="7"/>
        <v>4979.5649999999996</v>
      </c>
      <c r="Q48" s="99"/>
      <c r="R48" s="99"/>
      <c r="S48" s="100"/>
      <c r="T48" s="101"/>
    </row>
    <row r="49" spans="2:20" x14ac:dyDescent="0.3">
      <c r="B49" s="98" t="s">
        <v>30</v>
      </c>
      <c r="C49" s="99">
        <v>50004</v>
      </c>
      <c r="D49" s="95">
        <v>4167</v>
      </c>
      <c r="E49" s="99">
        <f t="shared" si="4"/>
        <v>750.06</v>
      </c>
      <c r="F49" s="99">
        <f t="shared" si="5"/>
        <v>4917.0599999999995</v>
      </c>
      <c r="G49" s="99"/>
      <c r="H49" s="99"/>
      <c r="I49" s="100"/>
      <c r="J49" s="101"/>
      <c r="L49" s="98" t="s">
        <v>30</v>
      </c>
      <c r="M49" s="99">
        <v>50004</v>
      </c>
      <c r="N49" s="95">
        <v>4167</v>
      </c>
      <c r="O49" s="99">
        <f t="shared" si="6"/>
        <v>750.06</v>
      </c>
      <c r="P49" s="99">
        <f t="shared" si="7"/>
        <v>4917.0599999999995</v>
      </c>
      <c r="Q49" s="99"/>
      <c r="R49" s="99"/>
      <c r="S49" s="100"/>
      <c r="T49" s="101"/>
    </row>
    <row r="50" spans="2:20" ht="15" thickBot="1" x14ac:dyDescent="0.35">
      <c r="B50" s="98" t="s">
        <v>31</v>
      </c>
      <c r="C50" s="99">
        <v>45837</v>
      </c>
      <c r="D50" s="99">
        <v>4167</v>
      </c>
      <c r="E50" s="99">
        <f t="shared" si="4"/>
        <v>687.55499999999995</v>
      </c>
      <c r="F50" s="99">
        <f t="shared" si="5"/>
        <v>4854.5550000000003</v>
      </c>
      <c r="G50" s="99"/>
      <c r="H50" s="99"/>
      <c r="I50" s="100"/>
      <c r="J50" s="101"/>
      <c r="L50" s="98" t="s">
        <v>31</v>
      </c>
      <c r="M50" s="99">
        <v>45837</v>
      </c>
      <c r="N50" s="99">
        <v>4167</v>
      </c>
      <c r="O50" s="99">
        <f t="shared" si="6"/>
        <v>687.55499999999995</v>
      </c>
      <c r="P50" s="99">
        <f t="shared" si="7"/>
        <v>4854.5550000000003</v>
      </c>
      <c r="Q50" s="99"/>
      <c r="R50" s="99"/>
      <c r="S50" s="100"/>
      <c r="T50" s="101"/>
    </row>
    <row r="51" spans="2:20" x14ac:dyDescent="0.3">
      <c r="B51" s="98" t="s">
        <v>32</v>
      </c>
      <c r="C51" s="99">
        <v>41670</v>
      </c>
      <c r="D51" s="95">
        <v>4167</v>
      </c>
      <c r="E51" s="99">
        <f t="shared" si="4"/>
        <v>625.04999999999995</v>
      </c>
      <c r="F51" s="99">
        <f t="shared" si="5"/>
        <v>4792.05</v>
      </c>
      <c r="G51" s="99"/>
      <c r="H51" s="99"/>
      <c r="I51" s="100"/>
      <c r="J51" s="101"/>
      <c r="L51" s="98" t="s">
        <v>32</v>
      </c>
      <c r="M51" s="99">
        <v>41670</v>
      </c>
      <c r="N51" s="95">
        <v>4167</v>
      </c>
      <c r="O51" s="99">
        <f t="shared" si="6"/>
        <v>625.04999999999995</v>
      </c>
      <c r="P51" s="99">
        <f t="shared" si="7"/>
        <v>4792.05</v>
      </c>
      <c r="Q51" s="99"/>
      <c r="R51" s="99"/>
      <c r="S51" s="100"/>
      <c r="T51" s="101"/>
    </row>
    <row r="52" spans="2:20" ht="15" thickBot="1" x14ac:dyDescent="0.35">
      <c r="B52" s="98" t="s">
        <v>33</v>
      </c>
      <c r="C52" s="99">
        <v>37503</v>
      </c>
      <c r="D52" s="99">
        <v>4167</v>
      </c>
      <c r="E52" s="99">
        <f t="shared" si="4"/>
        <v>562.54499999999996</v>
      </c>
      <c r="F52" s="99">
        <f t="shared" si="5"/>
        <v>4729.5450000000001</v>
      </c>
      <c r="G52" s="99"/>
      <c r="H52" s="99"/>
      <c r="I52" s="100"/>
      <c r="J52" s="101"/>
      <c r="L52" s="98" t="s">
        <v>33</v>
      </c>
      <c r="M52" s="99">
        <v>37503</v>
      </c>
      <c r="N52" s="99">
        <v>4167</v>
      </c>
      <c r="O52" s="99">
        <f t="shared" si="6"/>
        <v>562.54499999999996</v>
      </c>
      <c r="P52" s="99">
        <f t="shared" si="7"/>
        <v>4729.5450000000001</v>
      </c>
      <c r="Q52" s="99"/>
      <c r="R52" s="99"/>
      <c r="S52" s="100"/>
      <c r="T52" s="101"/>
    </row>
    <row r="53" spans="2:20" x14ac:dyDescent="0.3">
      <c r="B53" s="98" t="s">
        <v>34</v>
      </c>
      <c r="C53" s="99">
        <v>33336</v>
      </c>
      <c r="D53" s="95">
        <v>4167</v>
      </c>
      <c r="E53" s="99">
        <f t="shared" si="4"/>
        <v>500.03999999999996</v>
      </c>
      <c r="F53" s="99">
        <f t="shared" si="5"/>
        <v>4667.04</v>
      </c>
      <c r="G53" s="99"/>
      <c r="H53" s="99"/>
      <c r="I53" s="100"/>
      <c r="J53" s="101"/>
      <c r="L53" s="98" t="s">
        <v>34</v>
      </c>
      <c r="M53" s="99">
        <v>33336</v>
      </c>
      <c r="N53" s="95">
        <v>4167</v>
      </c>
      <c r="O53" s="99">
        <f t="shared" si="6"/>
        <v>500.03999999999996</v>
      </c>
      <c r="P53" s="99">
        <f t="shared" si="7"/>
        <v>4667.04</v>
      </c>
      <c r="Q53" s="99"/>
      <c r="R53" s="99"/>
      <c r="S53" s="100"/>
      <c r="T53" s="101"/>
    </row>
    <row r="54" spans="2:20" ht="15" thickBot="1" x14ac:dyDescent="0.35">
      <c r="B54" s="98" t="s">
        <v>35</v>
      </c>
      <c r="C54" s="99">
        <v>29169</v>
      </c>
      <c r="D54" s="99">
        <v>4167</v>
      </c>
      <c r="E54" s="99">
        <f t="shared" si="4"/>
        <v>437.53499999999997</v>
      </c>
      <c r="F54" s="99">
        <f t="shared" si="5"/>
        <v>4604.5349999999999</v>
      </c>
      <c r="G54" s="99"/>
      <c r="H54" s="99"/>
      <c r="I54" s="100"/>
      <c r="J54" s="101"/>
      <c r="L54" s="98" t="s">
        <v>35</v>
      </c>
      <c r="M54" s="99">
        <v>29169</v>
      </c>
      <c r="N54" s="99">
        <v>4167</v>
      </c>
      <c r="O54" s="99">
        <f t="shared" si="6"/>
        <v>437.53499999999997</v>
      </c>
      <c r="P54" s="99">
        <f t="shared" si="7"/>
        <v>4604.5349999999999</v>
      </c>
      <c r="Q54" s="99"/>
      <c r="R54" s="99"/>
      <c r="S54" s="100"/>
      <c r="T54" s="101"/>
    </row>
    <row r="55" spans="2:20" x14ac:dyDescent="0.3">
      <c r="B55" s="98" t="s">
        <v>36</v>
      </c>
      <c r="C55" s="99">
        <v>25002</v>
      </c>
      <c r="D55" s="95">
        <v>4167</v>
      </c>
      <c r="E55" s="99">
        <f t="shared" si="4"/>
        <v>375.03</v>
      </c>
      <c r="F55" s="99">
        <f t="shared" si="5"/>
        <v>4542.03</v>
      </c>
      <c r="G55" s="99"/>
      <c r="H55" s="99"/>
      <c r="I55" s="100"/>
      <c r="J55" s="101"/>
      <c r="L55" s="98" t="s">
        <v>36</v>
      </c>
      <c r="M55" s="99">
        <v>25002</v>
      </c>
      <c r="N55" s="95">
        <v>4167</v>
      </c>
      <c r="O55" s="99">
        <f t="shared" si="6"/>
        <v>375.03</v>
      </c>
      <c r="P55" s="99">
        <f t="shared" si="7"/>
        <v>4542.03</v>
      </c>
      <c r="Q55" s="99"/>
      <c r="R55" s="99"/>
      <c r="S55" s="100"/>
      <c r="T55" s="101"/>
    </row>
    <row r="56" spans="2:20" ht="15" thickBot="1" x14ac:dyDescent="0.35">
      <c r="B56" s="98" t="s">
        <v>37</v>
      </c>
      <c r="C56" s="99">
        <v>20835</v>
      </c>
      <c r="D56" s="99">
        <v>4167</v>
      </c>
      <c r="E56" s="99">
        <f t="shared" si="4"/>
        <v>312.52499999999998</v>
      </c>
      <c r="F56" s="99">
        <f t="shared" si="5"/>
        <v>4479.5249999999996</v>
      </c>
      <c r="G56" s="99"/>
      <c r="H56" s="99"/>
      <c r="I56" s="100"/>
      <c r="J56" s="101"/>
      <c r="L56" s="98" t="s">
        <v>37</v>
      </c>
      <c r="M56" s="99">
        <v>20835</v>
      </c>
      <c r="N56" s="99">
        <v>4167</v>
      </c>
      <c r="O56" s="99">
        <f t="shared" si="6"/>
        <v>312.52499999999998</v>
      </c>
      <c r="P56" s="99">
        <f t="shared" si="7"/>
        <v>4479.5249999999996</v>
      </c>
      <c r="Q56" s="99"/>
      <c r="R56" s="99"/>
      <c r="S56" s="100"/>
      <c r="T56" s="101"/>
    </row>
    <row r="57" spans="2:20" x14ac:dyDescent="0.3">
      <c r="B57" s="98" t="s">
        <v>38</v>
      </c>
      <c r="C57" s="99">
        <v>16668</v>
      </c>
      <c r="D57" s="95">
        <v>4167</v>
      </c>
      <c r="E57" s="99">
        <f t="shared" si="4"/>
        <v>250.01999999999998</v>
      </c>
      <c r="F57" s="99">
        <f t="shared" si="5"/>
        <v>4417.0200000000004</v>
      </c>
      <c r="G57" s="99"/>
      <c r="H57" s="99"/>
      <c r="I57" s="100"/>
      <c r="J57" s="101"/>
      <c r="L57" s="98" t="s">
        <v>38</v>
      </c>
      <c r="M57" s="99">
        <v>16668</v>
      </c>
      <c r="N57" s="95">
        <v>4167</v>
      </c>
      <c r="O57" s="99">
        <f t="shared" si="6"/>
        <v>250.01999999999998</v>
      </c>
      <c r="P57" s="99">
        <f t="shared" si="7"/>
        <v>4417.0200000000004</v>
      </c>
      <c r="Q57" s="99"/>
      <c r="R57" s="99"/>
      <c r="S57" s="100"/>
      <c r="T57" s="101"/>
    </row>
    <row r="58" spans="2:20" ht="15" thickBot="1" x14ac:dyDescent="0.35">
      <c r="B58" s="98" t="s">
        <v>39</v>
      </c>
      <c r="C58" s="99">
        <v>12501</v>
      </c>
      <c r="D58" s="99">
        <v>4167</v>
      </c>
      <c r="E58" s="99">
        <f t="shared" si="4"/>
        <v>187.51499999999999</v>
      </c>
      <c r="F58" s="99">
        <f t="shared" si="5"/>
        <v>4354.5150000000003</v>
      </c>
      <c r="G58" s="99"/>
      <c r="H58" s="99"/>
      <c r="I58" s="100"/>
      <c r="J58" s="101"/>
      <c r="L58" s="98" t="s">
        <v>39</v>
      </c>
      <c r="M58" s="99">
        <v>12501</v>
      </c>
      <c r="N58" s="99">
        <v>4167</v>
      </c>
      <c r="O58" s="99">
        <f t="shared" ref="O58:O60" si="8">(M58*0.015)</f>
        <v>187.51499999999999</v>
      </c>
      <c r="P58" s="99">
        <f t="shared" ref="P58:P60" si="9">SUM(N58:O58)</f>
        <v>4354.5150000000003</v>
      </c>
      <c r="Q58" s="99"/>
      <c r="R58" s="99"/>
      <c r="S58" s="100"/>
      <c r="T58" s="101"/>
    </row>
    <row r="59" spans="2:20" x14ac:dyDescent="0.3">
      <c r="B59" s="98" t="s">
        <v>40</v>
      </c>
      <c r="C59" s="99">
        <v>8334</v>
      </c>
      <c r="D59" s="95">
        <v>4167</v>
      </c>
      <c r="E59" s="99">
        <f t="shared" si="4"/>
        <v>125.00999999999999</v>
      </c>
      <c r="F59" s="99">
        <f t="shared" si="5"/>
        <v>4292.01</v>
      </c>
      <c r="G59" s="99"/>
      <c r="H59" s="99"/>
      <c r="I59" s="100"/>
      <c r="J59" s="101"/>
      <c r="L59" s="98" t="s">
        <v>40</v>
      </c>
      <c r="M59" s="99">
        <v>8334</v>
      </c>
      <c r="N59" s="95">
        <v>4167</v>
      </c>
      <c r="O59" s="99">
        <f t="shared" si="8"/>
        <v>125.00999999999999</v>
      </c>
      <c r="P59" s="99">
        <f t="shared" si="9"/>
        <v>4292.01</v>
      </c>
      <c r="Q59" s="99"/>
      <c r="R59" s="99"/>
      <c r="S59" s="100"/>
      <c r="T59" s="101"/>
    </row>
    <row r="60" spans="2:20" ht="15" thickBot="1" x14ac:dyDescent="0.35">
      <c r="B60" s="103" t="s">
        <v>41</v>
      </c>
      <c r="C60" s="102">
        <v>4167</v>
      </c>
      <c r="D60" s="99">
        <v>4167</v>
      </c>
      <c r="E60" s="102">
        <f t="shared" si="4"/>
        <v>62.504999999999995</v>
      </c>
      <c r="F60" s="102">
        <f t="shared" si="5"/>
        <v>4229.5050000000001</v>
      </c>
      <c r="G60" s="102"/>
      <c r="H60" s="102"/>
      <c r="I60" s="104"/>
      <c r="J60" s="105" t="s">
        <v>42</v>
      </c>
      <c r="L60" s="103" t="s">
        <v>41</v>
      </c>
      <c r="M60" s="102">
        <v>4167</v>
      </c>
      <c r="N60" s="99">
        <v>4167</v>
      </c>
      <c r="O60" s="102">
        <f t="shared" si="8"/>
        <v>62.504999999999995</v>
      </c>
      <c r="P60" s="102">
        <f t="shared" si="9"/>
        <v>4229.5050000000001</v>
      </c>
      <c r="Q60" s="102"/>
      <c r="R60" s="102"/>
      <c r="S60" s="104"/>
      <c r="T60" s="105" t="s">
        <v>42</v>
      </c>
    </row>
    <row r="62" spans="2:20" x14ac:dyDescent="0.3">
      <c r="B62" s="81" t="s">
        <v>0</v>
      </c>
      <c r="C62" s="77" t="s">
        <v>127</v>
      </c>
      <c r="E62" s="78"/>
      <c r="F62" s="79"/>
      <c r="G62" s="80"/>
      <c r="I62" s="81" t="s">
        <v>1</v>
      </c>
      <c r="J62" s="82">
        <v>35000</v>
      </c>
    </row>
    <row r="63" spans="2:20" x14ac:dyDescent="0.3">
      <c r="B63" s="81" t="s">
        <v>2</v>
      </c>
      <c r="C63" s="83"/>
      <c r="D63" s="79"/>
      <c r="E63" s="83"/>
      <c r="F63" s="81"/>
      <c r="G63" s="81"/>
      <c r="H63" s="84"/>
      <c r="I63" s="81" t="s">
        <v>3</v>
      </c>
      <c r="J63" s="85"/>
    </row>
    <row r="64" spans="2:20" x14ac:dyDescent="0.3">
      <c r="B64" s="81" t="s">
        <v>4</v>
      </c>
      <c r="C64" s="78"/>
      <c r="D64" s="79"/>
      <c r="E64" s="78"/>
      <c r="G64" s="81"/>
      <c r="H64" s="81"/>
      <c r="I64" s="81" t="s">
        <v>5</v>
      </c>
      <c r="J64" s="86">
        <v>1.4999999999999999E-2</v>
      </c>
    </row>
    <row r="65" spans="2:10" ht="15" thickBot="1" x14ac:dyDescent="0.35">
      <c r="B65" s="81" t="s">
        <v>6</v>
      </c>
      <c r="C65" s="87"/>
      <c r="D65" s="87"/>
      <c r="F65" s="88"/>
      <c r="G65" s="88"/>
      <c r="H65" s="88"/>
      <c r="I65" s="88" t="s">
        <v>7</v>
      </c>
      <c r="J65" s="78">
        <v>24</v>
      </c>
    </row>
    <row r="66" spans="2:10" ht="41.4" thickBot="1" x14ac:dyDescent="0.35">
      <c r="B66" s="89" t="s">
        <v>8</v>
      </c>
      <c r="C66" s="89" t="s">
        <v>9</v>
      </c>
      <c r="D66" s="89" t="s">
        <v>10</v>
      </c>
      <c r="E66" s="90" t="s">
        <v>11</v>
      </c>
      <c r="F66" s="91" t="s">
        <v>12</v>
      </c>
      <c r="G66" s="92" t="s">
        <v>13</v>
      </c>
      <c r="H66" s="92" t="s">
        <v>14</v>
      </c>
      <c r="I66" s="92" t="s">
        <v>15</v>
      </c>
      <c r="J66" s="93" t="s">
        <v>16</v>
      </c>
    </row>
    <row r="67" spans="2:10" x14ac:dyDescent="0.3">
      <c r="B67" s="94" t="s">
        <v>17</v>
      </c>
      <c r="C67" s="95">
        <f>J62</f>
        <v>35000</v>
      </c>
      <c r="D67" s="95">
        <f>J62/J65</f>
        <v>1458.3333333333333</v>
      </c>
      <c r="E67" s="95">
        <f>(C67*0.015)</f>
        <v>525</v>
      </c>
      <c r="F67" s="95">
        <f t="shared" ref="F67:F90" si="10">SUM(D67:E67)</f>
        <v>1983.3333333333333</v>
      </c>
      <c r="G67" s="95">
        <v>2700</v>
      </c>
      <c r="H67" s="95"/>
      <c r="I67" s="96"/>
      <c r="J67" s="97"/>
    </row>
    <row r="68" spans="2:10" x14ac:dyDescent="0.3">
      <c r="B68" s="98" t="s">
        <v>18</v>
      </c>
      <c r="C68" s="99">
        <v>33354</v>
      </c>
      <c r="D68" s="99">
        <v>1458</v>
      </c>
      <c r="E68" s="99">
        <f t="shared" ref="E68:E90" si="11">(C68*0.015)</f>
        <v>500.31</v>
      </c>
      <c r="F68" s="99">
        <f t="shared" si="10"/>
        <v>1958.31</v>
      </c>
      <c r="G68" s="99">
        <v>2700</v>
      </c>
      <c r="H68" s="99"/>
      <c r="I68" s="100"/>
      <c r="J68" s="101"/>
    </row>
    <row r="69" spans="2:10" x14ac:dyDescent="0.3">
      <c r="B69" s="98" t="s">
        <v>19</v>
      </c>
      <c r="C69" s="99">
        <v>32076</v>
      </c>
      <c r="D69" s="99">
        <v>1458</v>
      </c>
      <c r="E69" s="99">
        <f t="shared" si="11"/>
        <v>481.14</v>
      </c>
      <c r="F69" s="99">
        <f t="shared" si="10"/>
        <v>1939.1399999999999</v>
      </c>
      <c r="G69" s="99">
        <v>3000</v>
      </c>
      <c r="H69" s="99"/>
      <c r="I69" s="100"/>
      <c r="J69" s="101"/>
    </row>
    <row r="70" spans="2:10" ht="15" thickBot="1" x14ac:dyDescent="0.35">
      <c r="B70" s="98" t="s">
        <v>20</v>
      </c>
      <c r="C70" s="99">
        <v>30618</v>
      </c>
      <c r="D70" s="99">
        <v>1458</v>
      </c>
      <c r="E70" s="99">
        <f t="shared" si="11"/>
        <v>459.27</v>
      </c>
      <c r="F70" s="99">
        <f t="shared" si="10"/>
        <v>1917.27</v>
      </c>
      <c r="G70" s="99">
        <v>3100</v>
      </c>
      <c r="H70" s="99"/>
      <c r="I70" s="100"/>
      <c r="J70" s="101"/>
    </row>
    <row r="71" spans="2:10" x14ac:dyDescent="0.3">
      <c r="B71" s="98" t="s">
        <v>21</v>
      </c>
      <c r="C71" s="99">
        <v>29160</v>
      </c>
      <c r="D71" s="95">
        <v>1458</v>
      </c>
      <c r="E71" s="99">
        <f t="shared" si="11"/>
        <v>437.4</v>
      </c>
      <c r="F71" s="99">
        <f t="shared" si="10"/>
        <v>1895.4</v>
      </c>
      <c r="G71" s="99">
        <v>3000</v>
      </c>
      <c r="H71" s="99"/>
      <c r="I71" s="100"/>
      <c r="J71" s="101"/>
    </row>
    <row r="72" spans="2:10" x14ac:dyDescent="0.3">
      <c r="B72" s="98" t="s">
        <v>23</v>
      </c>
      <c r="C72" s="99">
        <v>27702</v>
      </c>
      <c r="D72" s="99">
        <v>1458</v>
      </c>
      <c r="E72" s="99">
        <f t="shared" si="11"/>
        <v>415.53</v>
      </c>
      <c r="F72" s="99">
        <f t="shared" si="10"/>
        <v>1873.53</v>
      </c>
      <c r="G72" s="99">
        <v>4600</v>
      </c>
      <c r="H72" s="99"/>
      <c r="I72" s="100"/>
      <c r="J72" s="101"/>
    </row>
    <row r="73" spans="2:10" x14ac:dyDescent="0.3">
      <c r="B73" s="98" t="s">
        <v>24</v>
      </c>
      <c r="C73" s="99">
        <v>26244</v>
      </c>
      <c r="D73" s="99">
        <v>1458</v>
      </c>
      <c r="E73" s="99">
        <f t="shared" si="11"/>
        <v>393.65999999999997</v>
      </c>
      <c r="F73" s="99">
        <f t="shared" si="10"/>
        <v>1851.6599999999999</v>
      </c>
      <c r="G73" s="99"/>
      <c r="H73" s="99"/>
      <c r="I73" s="100"/>
      <c r="J73" s="101"/>
    </row>
    <row r="74" spans="2:10" ht="15" thickBot="1" x14ac:dyDescent="0.35">
      <c r="B74" s="98" t="s">
        <v>25</v>
      </c>
      <c r="C74" s="99">
        <v>24786</v>
      </c>
      <c r="D74" s="99">
        <v>1458</v>
      </c>
      <c r="E74" s="99">
        <f t="shared" si="11"/>
        <v>371.78999999999996</v>
      </c>
      <c r="F74" s="99">
        <f t="shared" si="10"/>
        <v>1829.79</v>
      </c>
      <c r="G74" s="99"/>
      <c r="H74" s="99"/>
      <c r="I74" s="100"/>
      <c r="J74" s="101"/>
    </row>
    <row r="75" spans="2:10" x14ac:dyDescent="0.3">
      <c r="B75" s="98" t="s">
        <v>26</v>
      </c>
      <c r="C75" s="99">
        <v>23328</v>
      </c>
      <c r="D75" s="95">
        <v>1458</v>
      </c>
      <c r="E75" s="99">
        <f t="shared" si="11"/>
        <v>349.91999999999996</v>
      </c>
      <c r="F75" s="99">
        <f t="shared" si="10"/>
        <v>1807.92</v>
      </c>
      <c r="G75" s="99"/>
      <c r="H75" s="99"/>
      <c r="I75" s="100"/>
      <c r="J75" s="101"/>
    </row>
    <row r="76" spans="2:10" ht="15" thickBot="1" x14ac:dyDescent="0.35">
      <c r="B76" s="98" t="s">
        <v>27</v>
      </c>
      <c r="C76" s="99">
        <v>21870</v>
      </c>
      <c r="D76" s="99">
        <v>1458</v>
      </c>
      <c r="E76" s="99">
        <f t="shared" si="11"/>
        <v>328.05</v>
      </c>
      <c r="F76" s="99">
        <f t="shared" si="10"/>
        <v>1786.05</v>
      </c>
      <c r="G76" s="99"/>
      <c r="H76" s="99"/>
      <c r="I76" s="100"/>
      <c r="J76" s="101"/>
    </row>
    <row r="77" spans="2:10" x14ac:dyDescent="0.3">
      <c r="B77" s="98" t="s">
        <v>28</v>
      </c>
      <c r="C77" s="99">
        <v>20412</v>
      </c>
      <c r="D77" s="95">
        <v>1458</v>
      </c>
      <c r="E77" s="99">
        <f t="shared" si="11"/>
        <v>306.18</v>
      </c>
      <c r="F77" s="99">
        <f t="shared" si="10"/>
        <v>1764.18</v>
      </c>
      <c r="G77" s="99"/>
      <c r="H77" s="99"/>
      <c r="I77" s="100"/>
      <c r="J77" s="101"/>
    </row>
    <row r="78" spans="2:10" x14ac:dyDescent="0.3">
      <c r="B78" s="98" t="s">
        <v>29</v>
      </c>
      <c r="C78" s="99">
        <v>18954</v>
      </c>
      <c r="D78" s="99">
        <v>1458</v>
      </c>
      <c r="E78" s="99">
        <f t="shared" si="11"/>
        <v>284.31</v>
      </c>
      <c r="F78" s="99">
        <f t="shared" si="10"/>
        <v>1742.31</v>
      </c>
      <c r="G78" s="99"/>
      <c r="H78" s="99"/>
      <c r="I78" s="100"/>
      <c r="J78" s="101"/>
    </row>
    <row r="79" spans="2:10" x14ac:dyDescent="0.3">
      <c r="B79" s="98" t="s">
        <v>30</v>
      </c>
      <c r="C79" s="99">
        <v>17496</v>
      </c>
      <c r="D79" s="99">
        <v>1458</v>
      </c>
      <c r="E79" s="99">
        <f t="shared" si="11"/>
        <v>262.44</v>
      </c>
      <c r="F79" s="99">
        <f t="shared" si="10"/>
        <v>1720.44</v>
      </c>
      <c r="G79" s="99"/>
      <c r="H79" s="99"/>
      <c r="I79" s="100"/>
      <c r="J79" s="101"/>
    </row>
    <row r="80" spans="2:10" ht="15" thickBot="1" x14ac:dyDescent="0.35">
      <c r="B80" s="98" t="s">
        <v>31</v>
      </c>
      <c r="C80" s="99">
        <v>16038</v>
      </c>
      <c r="D80" s="99">
        <v>1458</v>
      </c>
      <c r="E80" s="99">
        <f t="shared" si="11"/>
        <v>240.57</v>
      </c>
      <c r="F80" s="99">
        <f t="shared" si="10"/>
        <v>1698.57</v>
      </c>
      <c r="G80" s="99"/>
      <c r="H80" s="99"/>
      <c r="I80" s="100"/>
      <c r="J80" s="101"/>
    </row>
    <row r="81" spans="2:10" x14ac:dyDescent="0.3">
      <c r="B81" s="98" t="s">
        <v>32</v>
      </c>
      <c r="C81" s="99">
        <v>14580</v>
      </c>
      <c r="D81" s="95">
        <v>1458</v>
      </c>
      <c r="E81" s="99">
        <f t="shared" si="11"/>
        <v>218.7</v>
      </c>
      <c r="F81" s="99">
        <f t="shared" si="10"/>
        <v>1676.7</v>
      </c>
      <c r="G81" s="99"/>
      <c r="H81" s="99"/>
      <c r="I81" s="100"/>
      <c r="J81" s="101"/>
    </row>
    <row r="82" spans="2:10" ht="15" thickBot="1" x14ac:dyDescent="0.35">
      <c r="B82" s="98" t="s">
        <v>33</v>
      </c>
      <c r="C82" s="99">
        <v>13122</v>
      </c>
      <c r="D82" s="99">
        <v>1458</v>
      </c>
      <c r="E82" s="99">
        <f t="shared" si="11"/>
        <v>196.82999999999998</v>
      </c>
      <c r="F82" s="99">
        <f t="shared" si="10"/>
        <v>1654.83</v>
      </c>
      <c r="G82" s="99"/>
      <c r="H82" s="99"/>
      <c r="I82" s="100"/>
      <c r="J82" s="101"/>
    </row>
    <row r="83" spans="2:10" x14ac:dyDescent="0.3">
      <c r="B83" s="98" t="s">
        <v>34</v>
      </c>
      <c r="C83" s="99">
        <v>11664</v>
      </c>
      <c r="D83" s="95">
        <v>1458</v>
      </c>
      <c r="E83" s="99">
        <f t="shared" si="11"/>
        <v>174.95999999999998</v>
      </c>
      <c r="F83" s="99">
        <f t="shared" si="10"/>
        <v>1632.96</v>
      </c>
      <c r="G83" s="99"/>
      <c r="H83" s="99"/>
      <c r="I83" s="100"/>
      <c r="J83" s="101"/>
    </row>
    <row r="84" spans="2:10" x14ac:dyDescent="0.3">
      <c r="B84" s="98" t="s">
        <v>35</v>
      </c>
      <c r="C84" s="99">
        <v>10206</v>
      </c>
      <c r="D84" s="99">
        <v>1458</v>
      </c>
      <c r="E84" s="99">
        <f t="shared" si="11"/>
        <v>153.09</v>
      </c>
      <c r="F84" s="99">
        <f t="shared" si="10"/>
        <v>1611.09</v>
      </c>
      <c r="G84" s="99"/>
      <c r="H84" s="99"/>
      <c r="I84" s="100"/>
      <c r="J84" s="101"/>
    </row>
    <row r="85" spans="2:10" x14ac:dyDescent="0.3">
      <c r="B85" s="98" t="s">
        <v>36</v>
      </c>
      <c r="C85" s="99">
        <v>8748</v>
      </c>
      <c r="D85" s="99">
        <v>1458</v>
      </c>
      <c r="E85" s="99">
        <f t="shared" si="11"/>
        <v>131.22</v>
      </c>
      <c r="F85" s="99">
        <f t="shared" si="10"/>
        <v>1589.22</v>
      </c>
      <c r="G85" s="99"/>
      <c r="H85" s="99"/>
      <c r="I85" s="100"/>
      <c r="J85" s="101"/>
    </row>
    <row r="86" spans="2:10" ht="15" thickBot="1" x14ac:dyDescent="0.35">
      <c r="B86" s="98" t="s">
        <v>37</v>
      </c>
      <c r="C86" s="99">
        <v>7290</v>
      </c>
      <c r="D86" s="99">
        <v>1458</v>
      </c>
      <c r="E86" s="99">
        <f t="shared" si="11"/>
        <v>109.35</v>
      </c>
      <c r="F86" s="99">
        <f t="shared" si="10"/>
        <v>1567.35</v>
      </c>
      <c r="G86" s="99"/>
      <c r="H86" s="99"/>
      <c r="I86" s="100"/>
      <c r="J86" s="101"/>
    </row>
    <row r="87" spans="2:10" x14ac:dyDescent="0.3">
      <c r="B87" s="98" t="s">
        <v>38</v>
      </c>
      <c r="C87" s="99">
        <v>5832</v>
      </c>
      <c r="D87" s="95">
        <v>1458</v>
      </c>
      <c r="E87" s="99">
        <f t="shared" si="11"/>
        <v>87.47999999999999</v>
      </c>
      <c r="F87" s="99">
        <f t="shared" si="10"/>
        <v>1545.48</v>
      </c>
      <c r="G87" s="99"/>
      <c r="H87" s="99"/>
      <c r="I87" s="100"/>
      <c r="J87" s="101"/>
    </row>
    <row r="88" spans="2:10" x14ac:dyDescent="0.3">
      <c r="B88" s="98" t="s">
        <v>39</v>
      </c>
      <c r="C88" s="99">
        <v>4374</v>
      </c>
      <c r="D88" s="99">
        <v>1458</v>
      </c>
      <c r="E88" s="99">
        <f t="shared" si="11"/>
        <v>65.61</v>
      </c>
      <c r="F88" s="99">
        <f t="shared" si="10"/>
        <v>1523.61</v>
      </c>
      <c r="G88" s="99"/>
      <c r="H88" s="99"/>
      <c r="I88" s="100"/>
      <c r="J88" s="101"/>
    </row>
    <row r="89" spans="2:10" x14ac:dyDescent="0.3">
      <c r="B89" s="98" t="s">
        <v>40</v>
      </c>
      <c r="C89" s="99">
        <v>2916</v>
      </c>
      <c r="D89" s="99">
        <v>1458</v>
      </c>
      <c r="E89" s="99">
        <f t="shared" si="11"/>
        <v>43.739999999999995</v>
      </c>
      <c r="F89" s="99">
        <f t="shared" si="10"/>
        <v>1501.74</v>
      </c>
      <c r="G89" s="99"/>
      <c r="H89" s="99"/>
      <c r="I89" s="100"/>
      <c r="J89" s="101"/>
    </row>
    <row r="90" spans="2:10" ht="15" thickBot="1" x14ac:dyDescent="0.35">
      <c r="B90" s="103" t="s">
        <v>41</v>
      </c>
      <c r="C90" s="102">
        <v>1458</v>
      </c>
      <c r="D90" s="99">
        <v>1458</v>
      </c>
      <c r="E90" s="102">
        <f t="shared" si="11"/>
        <v>21.869999999999997</v>
      </c>
      <c r="F90" s="102">
        <f t="shared" si="10"/>
        <v>1479.87</v>
      </c>
      <c r="G90" s="102"/>
      <c r="H90" s="102"/>
      <c r="I90" s="104"/>
      <c r="J90" s="105" t="s">
        <v>42</v>
      </c>
    </row>
    <row r="91" spans="2:10" x14ac:dyDescent="0.3">
      <c r="D91" s="38">
        <f>SUM(D67:D90)</f>
        <v>34992.333333333328</v>
      </c>
      <c r="E91" s="38">
        <f>SUM(E67:E90)</f>
        <v>6558.4199999999992</v>
      </c>
    </row>
    <row r="93" spans="2:10" x14ac:dyDescent="0.3">
      <c r="B93" s="81" t="s">
        <v>0</v>
      </c>
      <c r="C93" s="77" t="s">
        <v>127</v>
      </c>
      <c r="E93" s="78"/>
      <c r="F93" s="79"/>
      <c r="G93" s="80"/>
      <c r="I93" s="81" t="s">
        <v>1</v>
      </c>
      <c r="J93" s="82">
        <v>45000</v>
      </c>
    </row>
    <row r="94" spans="2:10" x14ac:dyDescent="0.3">
      <c r="B94" s="81" t="s">
        <v>2</v>
      </c>
      <c r="C94" s="83"/>
      <c r="D94" s="79"/>
      <c r="E94" s="83"/>
      <c r="F94" s="81"/>
      <c r="G94" s="81"/>
      <c r="H94" s="84"/>
      <c r="I94" s="81" t="s">
        <v>3</v>
      </c>
      <c r="J94" s="85" t="s">
        <v>214</v>
      </c>
    </row>
    <row r="95" spans="2:10" x14ac:dyDescent="0.3">
      <c r="B95" s="81" t="s">
        <v>4</v>
      </c>
      <c r="C95" s="78"/>
      <c r="D95" s="79"/>
      <c r="E95" s="78"/>
      <c r="G95" s="81"/>
      <c r="H95" s="81"/>
      <c r="I95" s="81" t="s">
        <v>5</v>
      </c>
      <c r="J95" s="86">
        <v>1.4999999999999999E-2</v>
      </c>
    </row>
    <row r="96" spans="2:10" ht="15" thickBot="1" x14ac:dyDescent="0.35">
      <c r="B96" s="81" t="s">
        <v>6</v>
      </c>
      <c r="C96" s="87"/>
      <c r="D96" s="87"/>
      <c r="F96" s="88"/>
      <c r="G96" s="88"/>
      <c r="H96" s="88"/>
      <c r="I96" s="88" t="s">
        <v>7</v>
      </c>
      <c r="J96" s="78">
        <v>24</v>
      </c>
    </row>
    <row r="97" spans="2:10" ht="41.4" thickBot="1" x14ac:dyDescent="0.35">
      <c r="B97" s="89" t="s">
        <v>8</v>
      </c>
      <c r="C97" s="89" t="s">
        <v>9</v>
      </c>
      <c r="D97" s="89" t="s">
        <v>10</v>
      </c>
      <c r="E97" s="90" t="s">
        <v>11</v>
      </c>
      <c r="F97" s="91" t="s">
        <v>12</v>
      </c>
      <c r="G97" s="92" t="s">
        <v>13</v>
      </c>
      <c r="H97" s="92" t="s">
        <v>14</v>
      </c>
      <c r="I97" s="92" t="s">
        <v>15</v>
      </c>
      <c r="J97" s="93" t="s">
        <v>16</v>
      </c>
    </row>
    <row r="98" spans="2:10" x14ac:dyDescent="0.3">
      <c r="B98" s="94" t="s">
        <v>17</v>
      </c>
      <c r="C98" s="95">
        <f>J93</f>
        <v>45000</v>
      </c>
      <c r="D98" s="95">
        <f>J93/J96</f>
        <v>1875</v>
      </c>
      <c r="E98" s="95">
        <f>(C98*0.015)</f>
        <v>675</v>
      </c>
      <c r="F98" s="95">
        <f t="shared" ref="F98:F121" si="12">SUM(D98:E98)</f>
        <v>2550</v>
      </c>
      <c r="G98" s="95">
        <v>3000</v>
      </c>
      <c r="H98" s="95"/>
      <c r="I98" s="96"/>
      <c r="J98" s="97"/>
    </row>
    <row r="99" spans="2:10" x14ac:dyDescent="0.3">
      <c r="B99" s="98" t="s">
        <v>18</v>
      </c>
      <c r="C99" s="99">
        <v>43125</v>
      </c>
      <c r="D99" s="99">
        <v>1875</v>
      </c>
      <c r="E99" s="99">
        <f t="shared" ref="E99:E121" si="13">(C99*0.015)</f>
        <v>646.875</v>
      </c>
      <c r="F99" s="99">
        <f t="shared" si="12"/>
        <v>2521.875</v>
      </c>
      <c r="G99" s="99">
        <v>5000</v>
      </c>
      <c r="H99" s="99"/>
      <c r="I99" s="100"/>
      <c r="J99" s="101"/>
    </row>
    <row r="100" spans="2:10" x14ac:dyDescent="0.3">
      <c r="B100" s="98" t="s">
        <v>19</v>
      </c>
      <c r="C100" s="99">
        <v>41250</v>
      </c>
      <c r="D100" s="99">
        <v>1875</v>
      </c>
      <c r="E100" s="99">
        <f t="shared" si="13"/>
        <v>618.75</v>
      </c>
      <c r="F100" s="99">
        <f t="shared" si="12"/>
        <v>2493.75</v>
      </c>
      <c r="G100" s="99">
        <v>3100</v>
      </c>
      <c r="H100" s="99"/>
      <c r="I100" s="100"/>
      <c r="J100" s="101"/>
    </row>
    <row r="101" spans="2:10" ht="15" thickBot="1" x14ac:dyDescent="0.35">
      <c r="B101" s="98" t="s">
        <v>20</v>
      </c>
      <c r="C101" s="99">
        <v>39375</v>
      </c>
      <c r="D101" s="99">
        <v>1875</v>
      </c>
      <c r="E101" s="99">
        <f t="shared" si="13"/>
        <v>590.625</v>
      </c>
      <c r="F101" s="99">
        <f t="shared" si="12"/>
        <v>2465.625</v>
      </c>
      <c r="G101" s="99">
        <v>5000</v>
      </c>
      <c r="H101" s="99"/>
      <c r="I101" s="100"/>
      <c r="J101" s="101"/>
    </row>
    <row r="102" spans="2:10" x14ac:dyDescent="0.3">
      <c r="B102" s="98" t="s">
        <v>21</v>
      </c>
      <c r="C102" s="99">
        <v>37500</v>
      </c>
      <c r="D102" s="95">
        <v>1875</v>
      </c>
      <c r="E102" s="99">
        <f t="shared" si="13"/>
        <v>562.5</v>
      </c>
      <c r="F102" s="99">
        <f t="shared" si="12"/>
        <v>2437.5</v>
      </c>
      <c r="G102" s="99">
        <v>3000</v>
      </c>
      <c r="H102" s="99"/>
      <c r="I102" s="100"/>
      <c r="J102" s="101"/>
    </row>
    <row r="103" spans="2:10" x14ac:dyDescent="0.3">
      <c r="B103" s="98" t="s">
        <v>23</v>
      </c>
      <c r="C103" s="99">
        <v>35625</v>
      </c>
      <c r="D103" s="99">
        <v>1875</v>
      </c>
      <c r="E103" s="99">
        <f t="shared" si="13"/>
        <v>534.375</v>
      </c>
      <c r="F103" s="99">
        <f t="shared" si="12"/>
        <v>2409.375</v>
      </c>
      <c r="G103" s="99">
        <v>4600</v>
      </c>
      <c r="H103" s="99"/>
      <c r="I103" s="100"/>
      <c r="J103" s="101"/>
    </row>
    <row r="104" spans="2:10" x14ac:dyDescent="0.3">
      <c r="B104" s="98" t="s">
        <v>24</v>
      </c>
      <c r="C104" s="99">
        <v>33750</v>
      </c>
      <c r="D104" s="99">
        <v>1875</v>
      </c>
      <c r="E104" s="99">
        <f t="shared" si="13"/>
        <v>506.25</v>
      </c>
      <c r="F104" s="99">
        <f t="shared" si="12"/>
        <v>2381.25</v>
      </c>
      <c r="G104" s="99">
        <v>1600</v>
      </c>
      <c r="H104" s="99"/>
      <c r="I104" s="100"/>
      <c r="J104" s="101"/>
    </row>
    <row r="105" spans="2:10" ht="15" thickBot="1" x14ac:dyDescent="0.35">
      <c r="B105" s="98" t="s">
        <v>25</v>
      </c>
      <c r="C105" s="99">
        <v>31875</v>
      </c>
      <c r="D105" s="99">
        <v>1875</v>
      </c>
      <c r="E105" s="99">
        <f t="shared" si="13"/>
        <v>478.125</v>
      </c>
      <c r="F105" s="99">
        <f t="shared" si="12"/>
        <v>2353.125</v>
      </c>
      <c r="G105" s="99">
        <v>1900</v>
      </c>
      <c r="H105" s="99"/>
      <c r="I105" s="100"/>
      <c r="J105" s="101"/>
    </row>
    <row r="106" spans="2:10" x14ac:dyDescent="0.3">
      <c r="B106" s="98" t="s">
        <v>26</v>
      </c>
      <c r="C106" s="99">
        <v>30000</v>
      </c>
      <c r="D106" s="95">
        <v>1875</v>
      </c>
      <c r="E106" s="99">
        <f t="shared" si="13"/>
        <v>450</v>
      </c>
      <c r="F106" s="99">
        <f t="shared" si="12"/>
        <v>2325</v>
      </c>
      <c r="G106" s="99">
        <v>2000</v>
      </c>
      <c r="H106" s="99"/>
      <c r="I106" s="100"/>
      <c r="J106" s="101"/>
    </row>
    <row r="107" spans="2:10" x14ac:dyDescent="0.3">
      <c r="B107" s="98" t="s">
        <v>27</v>
      </c>
      <c r="C107" s="99">
        <v>28125</v>
      </c>
      <c r="D107" s="99">
        <v>1875</v>
      </c>
      <c r="E107" s="99">
        <f t="shared" si="13"/>
        <v>421.875</v>
      </c>
      <c r="F107" s="99">
        <f t="shared" si="12"/>
        <v>2296.875</v>
      </c>
      <c r="G107" s="99">
        <v>2000</v>
      </c>
      <c r="H107" s="99"/>
      <c r="I107" s="100"/>
      <c r="J107" s="101"/>
    </row>
    <row r="108" spans="2:10" x14ac:dyDescent="0.3">
      <c r="B108" s="98" t="s">
        <v>28</v>
      </c>
      <c r="C108" s="99">
        <v>26250</v>
      </c>
      <c r="D108" s="99">
        <v>1875</v>
      </c>
      <c r="E108" s="99">
        <f t="shared" si="13"/>
        <v>393.75</v>
      </c>
      <c r="F108" s="99">
        <f t="shared" si="12"/>
        <v>2268.75</v>
      </c>
      <c r="G108" s="99">
        <v>5000</v>
      </c>
      <c r="H108" s="99"/>
      <c r="I108" s="100"/>
      <c r="J108" s="101"/>
    </row>
    <row r="109" spans="2:10" ht="15" thickBot="1" x14ac:dyDescent="0.35">
      <c r="B109" s="98" t="s">
        <v>29</v>
      </c>
      <c r="C109" s="99">
        <v>24375</v>
      </c>
      <c r="D109" s="99">
        <v>1875</v>
      </c>
      <c r="E109" s="99">
        <f t="shared" si="13"/>
        <v>365.625</v>
      </c>
      <c r="F109" s="99">
        <f t="shared" si="12"/>
        <v>2240.625</v>
      </c>
      <c r="G109" s="99"/>
      <c r="H109" s="99"/>
      <c r="I109" s="100"/>
      <c r="J109" s="101"/>
    </row>
    <row r="110" spans="2:10" x14ac:dyDescent="0.3">
      <c r="B110" s="98" t="s">
        <v>30</v>
      </c>
      <c r="C110" s="99">
        <v>22500</v>
      </c>
      <c r="D110" s="95">
        <v>1875</v>
      </c>
      <c r="E110" s="99">
        <f t="shared" si="13"/>
        <v>337.5</v>
      </c>
      <c r="F110" s="99">
        <f t="shared" si="12"/>
        <v>2212.5</v>
      </c>
      <c r="G110" s="99"/>
      <c r="H110" s="99"/>
      <c r="I110" s="100"/>
      <c r="J110" s="101"/>
    </row>
    <row r="111" spans="2:10" x14ac:dyDescent="0.3">
      <c r="B111" s="98" t="s">
        <v>31</v>
      </c>
      <c r="C111" s="99">
        <v>20625</v>
      </c>
      <c r="D111" s="99">
        <v>1875</v>
      </c>
      <c r="E111" s="99">
        <f t="shared" si="13"/>
        <v>309.375</v>
      </c>
      <c r="F111" s="99">
        <f t="shared" si="12"/>
        <v>2184.375</v>
      </c>
      <c r="G111" s="99"/>
      <c r="H111" s="99"/>
      <c r="I111" s="100"/>
      <c r="J111" s="101"/>
    </row>
    <row r="112" spans="2:10" x14ac:dyDescent="0.3">
      <c r="B112" s="98" t="s">
        <v>32</v>
      </c>
      <c r="C112" s="99">
        <v>18750</v>
      </c>
      <c r="D112" s="99">
        <v>1875</v>
      </c>
      <c r="E112" s="99">
        <f t="shared" si="13"/>
        <v>281.25</v>
      </c>
      <c r="F112" s="99">
        <f t="shared" si="12"/>
        <v>2156.25</v>
      </c>
      <c r="G112" s="99"/>
      <c r="H112" s="99"/>
      <c r="I112" s="100"/>
      <c r="J112" s="101"/>
    </row>
    <row r="113" spans="1:20" x14ac:dyDescent="0.3">
      <c r="B113" s="98" t="s">
        <v>33</v>
      </c>
      <c r="C113" s="99">
        <v>16875</v>
      </c>
      <c r="D113" s="99">
        <v>1875</v>
      </c>
      <c r="E113" s="99">
        <f t="shared" si="13"/>
        <v>253.125</v>
      </c>
      <c r="F113" s="99">
        <f t="shared" si="12"/>
        <v>2128.125</v>
      </c>
      <c r="G113" s="99"/>
      <c r="H113" s="99"/>
      <c r="I113" s="100"/>
      <c r="J113" s="101"/>
    </row>
    <row r="114" spans="1:20" x14ac:dyDescent="0.3">
      <c r="B114" s="98" t="s">
        <v>34</v>
      </c>
      <c r="C114" s="99">
        <v>15000</v>
      </c>
      <c r="D114" s="99">
        <v>1875</v>
      </c>
      <c r="E114" s="99">
        <f t="shared" si="13"/>
        <v>225</v>
      </c>
      <c r="F114" s="99">
        <f t="shared" si="12"/>
        <v>2100</v>
      </c>
      <c r="G114" s="99"/>
      <c r="H114" s="99"/>
      <c r="I114" s="100"/>
      <c r="J114" s="101"/>
    </row>
    <row r="115" spans="1:20" x14ac:dyDescent="0.3">
      <c r="B115" s="98" t="s">
        <v>35</v>
      </c>
      <c r="C115" s="99">
        <v>13125</v>
      </c>
      <c r="D115" s="99">
        <v>1875</v>
      </c>
      <c r="E115" s="99">
        <f t="shared" si="13"/>
        <v>196.875</v>
      </c>
      <c r="F115" s="99">
        <f t="shared" si="12"/>
        <v>2071.875</v>
      </c>
      <c r="G115" s="99"/>
      <c r="H115" s="99"/>
      <c r="I115" s="100"/>
      <c r="J115" s="101"/>
    </row>
    <row r="116" spans="1:20" ht="15" thickBot="1" x14ac:dyDescent="0.35">
      <c r="B116" s="98" t="s">
        <v>36</v>
      </c>
      <c r="C116" s="99">
        <v>11250</v>
      </c>
      <c r="D116" s="99">
        <v>1875</v>
      </c>
      <c r="E116" s="99">
        <f t="shared" si="13"/>
        <v>168.75</v>
      </c>
      <c r="F116" s="99">
        <f t="shared" si="12"/>
        <v>2043.75</v>
      </c>
      <c r="G116" s="99"/>
      <c r="H116" s="99"/>
      <c r="I116" s="100"/>
      <c r="J116" s="101"/>
    </row>
    <row r="117" spans="1:20" x14ac:dyDescent="0.3">
      <c r="B117" s="98" t="s">
        <v>37</v>
      </c>
      <c r="C117" s="99">
        <v>9375</v>
      </c>
      <c r="D117" s="95">
        <v>1875</v>
      </c>
      <c r="E117" s="99">
        <f t="shared" si="13"/>
        <v>140.625</v>
      </c>
      <c r="F117" s="99">
        <f t="shared" si="12"/>
        <v>2015.625</v>
      </c>
      <c r="G117" s="99"/>
      <c r="H117" s="99"/>
      <c r="I117" s="100"/>
      <c r="J117" s="101"/>
    </row>
    <row r="118" spans="1:20" x14ac:dyDescent="0.3">
      <c r="B118" s="98" t="s">
        <v>38</v>
      </c>
      <c r="C118" s="99">
        <v>7500</v>
      </c>
      <c r="D118" s="99">
        <v>1875</v>
      </c>
      <c r="E118" s="99">
        <f t="shared" si="13"/>
        <v>112.5</v>
      </c>
      <c r="F118" s="99">
        <f t="shared" si="12"/>
        <v>1987.5</v>
      </c>
      <c r="G118" s="99"/>
      <c r="H118" s="99"/>
      <c r="I118" s="100"/>
      <c r="J118" s="101"/>
    </row>
    <row r="119" spans="1:20" x14ac:dyDescent="0.3">
      <c r="B119" s="98" t="s">
        <v>39</v>
      </c>
      <c r="C119" s="99">
        <v>5625</v>
      </c>
      <c r="D119" s="99">
        <v>1875</v>
      </c>
      <c r="E119" s="99">
        <f t="shared" si="13"/>
        <v>84.375</v>
      </c>
      <c r="F119" s="99">
        <f t="shared" si="12"/>
        <v>1959.375</v>
      </c>
      <c r="G119" s="99"/>
      <c r="H119" s="99"/>
      <c r="I119" s="100"/>
      <c r="J119" s="101"/>
    </row>
    <row r="120" spans="1:20" x14ac:dyDescent="0.3">
      <c r="B120" s="98" t="s">
        <v>40</v>
      </c>
      <c r="C120" s="99">
        <v>3750</v>
      </c>
      <c r="D120" s="99">
        <v>1875</v>
      </c>
      <c r="E120" s="99">
        <f t="shared" si="13"/>
        <v>56.25</v>
      </c>
      <c r="F120" s="99">
        <f t="shared" si="12"/>
        <v>1931.25</v>
      </c>
      <c r="G120" s="99"/>
      <c r="H120" s="99"/>
      <c r="I120" s="100"/>
      <c r="J120" s="101"/>
    </row>
    <row r="121" spans="1:20" ht="15" thickBot="1" x14ac:dyDescent="0.35">
      <c r="B121" s="103" t="s">
        <v>41</v>
      </c>
      <c r="C121" s="102">
        <v>1875</v>
      </c>
      <c r="D121" s="99">
        <v>1875</v>
      </c>
      <c r="E121" s="102">
        <f t="shared" si="13"/>
        <v>28.125</v>
      </c>
      <c r="F121" s="102">
        <f t="shared" si="12"/>
        <v>1903.125</v>
      </c>
      <c r="G121" s="102"/>
      <c r="H121" s="102"/>
      <c r="I121" s="104"/>
      <c r="J121" s="105" t="s">
        <v>42</v>
      </c>
    </row>
    <row r="122" spans="1:20" x14ac:dyDescent="0.3">
      <c r="D122" s="38">
        <f>SUM(D98:D121)</f>
        <v>45000</v>
      </c>
      <c r="E122" s="38">
        <f>SUM(E98:E121)</f>
        <v>8437.5</v>
      </c>
      <c r="F122" s="38">
        <f>SUM(F98:F121)</f>
        <v>53437.5</v>
      </c>
      <c r="G122" s="38">
        <f>SUM(G98:G121)</f>
        <v>36200</v>
      </c>
    </row>
    <row r="126" spans="1:20" x14ac:dyDescent="0.3">
      <c r="A126" s="42"/>
      <c r="B126" s="77" t="s">
        <v>0</v>
      </c>
      <c r="C126" s="229" t="s">
        <v>126</v>
      </c>
      <c r="D126" s="230"/>
      <c r="E126" s="230"/>
      <c r="F126" s="79"/>
      <c r="G126" s="80"/>
      <c r="H126" s="231" t="s">
        <v>1</v>
      </c>
      <c r="I126" s="231"/>
      <c r="J126" s="82">
        <v>20000</v>
      </c>
      <c r="L126" s="77" t="s">
        <v>0</v>
      </c>
      <c r="M126" s="229" t="s">
        <v>126</v>
      </c>
      <c r="N126" s="230"/>
      <c r="O126" s="230"/>
      <c r="P126" s="79"/>
      <c r="Q126" s="80"/>
      <c r="R126" s="231" t="s">
        <v>1</v>
      </c>
      <c r="S126" s="231"/>
      <c r="T126" s="82">
        <v>20000</v>
      </c>
    </row>
    <row r="127" spans="1:20" x14ac:dyDescent="0.3">
      <c r="A127" s="42"/>
      <c r="B127" s="77" t="s">
        <v>2</v>
      </c>
      <c r="C127" s="83"/>
      <c r="D127" s="79"/>
      <c r="E127" s="83"/>
      <c r="F127" s="81"/>
      <c r="G127" s="81"/>
      <c r="H127" s="84"/>
      <c r="I127" s="81" t="s">
        <v>3</v>
      </c>
      <c r="J127" s="85" t="s">
        <v>162</v>
      </c>
      <c r="L127" s="77" t="s">
        <v>2</v>
      </c>
      <c r="M127" s="83"/>
      <c r="N127" s="79"/>
      <c r="O127" s="83"/>
      <c r="P127" s="81"/>
      <c r="Q127" s="81"/>
      <c r="R127" s="84"/>
      <c r="S127" s="81" t="s">
        <v>3</v>
      </c>
      <c r="T127" s="85" t="s">
        <v>162</v>
      </c>
    </row>
    <row r="128" spans="1:20" x14ac:dyDescent="0.3">
      <c r="A128" s="42"/>
      <c r="B128" s="77" t="s">
        <v>4</v>
      </c>
      <c r="C128" s="78"/>
      <c r="D128" s="79"/>
      <c r="E128" s="78"/>
      <c r="F128" s="231" t="s">
        <v>5</v>
      </c>
      <c r="G128" s="231"/>
      <c r="H128" s="231"/>
      <c r="I128" s="231"/>
      <c r="J128" s="86">
        <v>1.4999999999999999E-2</v>
      </c>
      <c r="L128" s="77" t="s">
        <v>4</v>
      </c>
      <c r="M128" s="78"/>
      <c r="N128" s="79"/>
      <c r="O128" s="78"/>
      <c r="P128" s="231" t="s">
        <v>5</v>
      </c>
      <c r="Q128" s="231"/>
      <c r="R128" s="231"/>
      <c r="S128" s="231"/>
      <c r="T128" s="86">
        <v>1.4999999999999999E-2</v>
      </c>
    </row>
    <row r="129" spans="1:20" ht="15" thickBot="1" x14ac:dyDescent="0.35">
      <c r="A129" s="42"/>
      <c r="B129" s="77" t="s">
        <v>6</v>
      </c>
      <c r="C129" s="232"/>
      <c r="D129" s="232"/>
      <c r="E129" s="233" t="s">
        <v>7</v>
      </c>
      <c r="F129" s="233"/>
      <c r="G129" s="233"/>
      <c r="H129" s="233"/>
      <c r="I129" s="233"/>
      <c r="J129" s="78">
        <v>24</v>
      </c>
      <c r="L129" s="77" t="s">
        <v>6</v>
      </c>
      <c r="M129" s="232"/>
      <c r="N129" s="232"/>
      <c r="O129" s="233" t="s">
        <v>7</v>
      </c>
      <c r="P129" s="233"/>
      <c r="Q129" s="233"/>
      <c r="R129" s="233"/>
      <c r="S129" s="233"/>
      <c r="T129" s="78">
        <v>24</v>
      </c>
    </row>
    <row r="130" spans="1:20" ht="41.4" thickBot="1" x14ac:dyDescent="0.35">
      <c r="B130" s="89" t="s">
        <v>8</v>
      </c>
      <c r="C130" s="89" t="s">
        <v>9</v>
      </c>
      <c r="D130" s="89" t="s">
        <v>10</v>
      </c>
      <c r="E130" s="90" t="s">
        <v>11</v>
      </c>
      <c r="F130" s="91" t="s">
        <v>12</v>
      </c>
      <c r="G130" s="92" t="s">
        <v>13</v>
      </c>
      <c r="H130" s="92" t="s">
        <v>14</v>
      </c>
      <c r="I130" s="92" t="s">
        <v>15</v>
      </c>
      <c r="J130" s="93" t="s">
        <v>16</v>
      </c>
      <c r="L130" s="89" t="s">
        <v>8</v>
      </c>
      <c r="M130" s="89" t="s">
        <v>9</v>
      </c>
      <c r="N130" s="89" t="s">
        <v>10</v>
      </c>
      <c r="O130" s="90" t="s">
        <v>11</v>
      </c>
      <c r="P130" s="91" t="s">
        <v>12</v>
      </c>
      <c r="Q130" s="92" t="s">
        <v>13</v>
      </c>
      <c r="R130" s="92" t="s">
        <v>14</v>
      </c>
      <c r="S130" s="92" t="s">
        <v>15</v>
      </c>
      <c r="T130" s="93" t="s">
        <v>16</v>
      </c>
    </row>
    <row r="131" spans="1:20" x14ac:dyDescent="0.3">
      <c r="B131" s="94" t="s">
        <v>17</v>
      </c>
      <c r="C131" s="95">
        <f>J126</f>
        <v>20000</v>
      </c>
      <c r="D131" s="95">
        <f>J126/J129</f>
        <v>833.33333333333337</v>
      </c>
      <c r="E131" s="95">
        <f t="shared" ref="E131:E154" si="14">(C131*0.015)</f>
        <v>300</v>
      </c>
      <c r="F131" s="95">
        <f t="shared" ref="F131:F154" si="15">SUM(D131:E131)</f>
        <v>1133.3333333333335</v>
      </c>
      <c r="G131" s="95"/>
      <c r="H131" s="126"/>
      <c r="I131" s="128"/>
      <c r="J131" s="97"/>
      <c r="L131" s="94" t="s">
        <v>17</v>
      </c>
      <c r="M131" s="95">
        <f>T126</f>
        <v>20000</v>
      </c>
      <c r="N131" s="95">
        <f>T126/T129</f>
        <v>833.33333333333337</v>
      </c>
      <c r="O131" s="95">
        <f t="shared" ref="O131:O154" si="16">(M131*0.015)</f>
        <v>300</v>
      </c>
      <c r="P131" s="95">
        <f t="shared" ref="P131:P154" si="17">SUM(N131:O131)</f>
        <v>1133.3333333333335</v>
      </c>
      <c r="Q131" s="95"/>
      <c r="R131" s="126"/>
      <c r="S131" s="128"/>
      <c r="T131" s="97"/>
    </row>
    <row r="132" spans="1:20" x14ac:dyDescent="0.3">
      <c r="B132" s="98" t="s">
        <v>18</v>
      </c>
      <c r="C132" s="99">
        <v>19159</v>
      </c>
      <c r="D132" s="99">
        <f t="shared" ref="D132:D153" si="18">$D$131</f>
        <v>833.33333333333337</v>
      </c>
      <c r="E132" s="99">
        <f t="shared" si="14"/>
        <v>287.38499999999999</v>
      </c>
      <c r="F132" s="99">
        <f t="shared" si="15"/>
        <v>1120.7183333333332</v>
      </c>
      <c r="G132" s="99"/>
      <c r="H132" s="127"/>
      <c r="I132" s="129"/>
      <c r="J132" s="101"/>
      <c r="L132" s="98" t="s">
        <v>18</v>
      </c>
      <c r="M132" s="99">
        <v>19159</v>
      </c>
      <c r="N132" s="99">
        <f t="shared" ref="N132:N153" si="19">$D$131</f>
        <v>833.33333333333337</v>
      </c>
      <c r="O132" s="99">
        <f t="shared" si="16"/>
        <v>287.38499999999999</v>
      </c>
      <c r="P132" s="99">
        <f t="shared" si="17"/>
        <v>1120.7183333333332</v>
      </c>
      <c r="Q132" s="99"/>
      <c r="R132" s="127"/>
      <c r="S132" s="129"/>
      <c r="T132" s="101"/>
    </row>
    <row r="133" spans="1:20" x14ac:dyDescent="0.3">
      <c r="B133" s="98" t="s">
        <v>19</v>
      </c>
      <c r="C133" s="99">
        <v>18326</v>
      </c>
      <c r="D133" s="99">
        <f t="shared" si="18"/>
        <v>833.33333333333337</v>
      </c>
      <c r="E133" s="99">
        <f t="shared" si="14"/>
        <v>274.89</v>
      </c>
      <c r="F133" s="99">
        <f t="shared" si="15"/>
        <v>1108.2233333333334</v>
      </c>
      <c r="G133" s="99"/>
      <c r="H133" s="127"/>
      <c r="I133" s="129"/>
      <c r="J133" s="101"/>
      <c r="L133" s="98" t="s">
        <v>19</v>
      </c>
      <c r="M133" s="99">
        <v>18326</v>
      </c>
      <c r="N133" s="99">
        <f t="shared" si="19"/>
        <v>833.33333333333337</v>
      </c>
      <c r="O133" s="99">
        <f t="shared" si="16"/>
        <v>274.89</v>
      </c>
      <c r="P133" s="99">
        <f t="shared" si="17"/>
        <v>1108.2233333333334</v>
      </c>
      <c r="Q133" s="99"/>
      <c r="R133" s="127"/>
      <c r="S133" s="129"/>
      <c r="T133" s="101"/>
    </row>
    <row r="134" spans="1:20" x14ac:dyDescent="0.3">
      <c r="B134" s="98" t="s">
        <v>20</v>
      </c>
      <c r="C134" s="99">
        <v>17493</v>
      </c>
      <c r="D134" s="99">
        <f t="shared" si="18"/>
        <v>833.33333333333337</v>
      </c>
      <c r="E134" s="99">
        <f t="shared" si="14"/>
        <v>262.39499999999998</v>
      </c>
      <c r="F134" s="99">
        <f t="shared" si="15"/>
        <v>1095.7283333333335</v>
      </c>
      <c r="G134" s="99"/>
      <c r="H134" s="127"/>
      <c r="I134" s="129"/>
      <c r="J134" s="101"/>
      <c r="L134" s="98" t="s">
        <v>20</v>
      </c>
      <c r="M134" s="99">
        <v>17493</v>
      </c>
      <c r="N134" s="99">
        <f t="shared" si="19"/>
        <v>833.33333333333337</v>
      </c>
      <c r="O134" s="99">
        <f t="shared" si="16"/>
        <v>262.39499999999998</v>
      </c>
      <c r="P134" s="99">
        <f t="shared" si="17"/>
        <v>1095.7283333333335</v>
      </c>
      <c r="Q134" s="99"/>
      <c r="R134" s="127"/>
      <c r="S134" s="129"/>
      <c r="T134" s="101"/>
    </row>
    <row r="135" spans="1:20" x14ac:dyDescent="0.3">
      <c r="B135" s="98" t="s">
        <v>21</v>
      </c>
      <c r="C135" s="99">
        <v>16660</v>
      </c>
      <c r="D135" s="99">
        <f t="shared" si="18"/>
        <v>833.33333333333337</v>
      </c>
      <c r="E135" s="99">
        <f t="shared" si="14"/>
        <v>249.89999999999998</v>
      </c>
      <c r="F135" s="99">
        <f t="shared" si="15"/>
        <v>1083.2333333333333</v>
      </c>
      <c r="G135" s="99"/>
      <c r="H135" s="127"/>
      <c r="I135" s="129"/>
      <c r="J135" s="101"/>
      <c r="L135" s="98" t="s">
        <v>21</v>
      </c>
      <c r="M135" s="99">
        <v>16660</v>
      </c>
      <c r="N135" s="99">
        <f t="shared" si="19"/>
        <v>833.33333333333337</v>
      </c>
      <c r="O135" s="99">
        <f t="shared" si="16"/>
        <v>249.89999999999998</v>
      </c>
      <c r="P135" s="99">
        <f t="shared" si="17"/>
        <v>1083.2333333333333</v>
      </c>
      <c r="Q135" s="99"/>
      <c r="R135" s="127"/>
      <c r="S135" s="129"/>
      <c r="T135" s="101"/>
    </row>
    <row r="136" spans="1:20" x14ac:dyDescent="0.3">
      <c r="B136" s="98" t="s">
        <v>23</v>
      </c>
      <c r="C136" s="99">
        <v>15827</v>
      </c>
      <c r="D136" s="99">
        <f t="shared" si="18"/>
        <v>833.33333333333337</v>
      </c>
      <c r="E136" s="99">
        <f t="shared" si="14"/>
        <v>237.405</v>
      </c>
      <c r="F136" s="99">
        <f t="shared" si="15"/>
        <v>1070.7383333333335</v>
      </c>
      <c r="G136" s="99"/>
      <c r="H136" s="127"/>
      <c r="I136" s="129"/>
      <c r="J136" s="101"/>
      <c r="L136" s="98" t="s">
        <v>23</v>
      </c>
      <c r="M136" s="99">
        <v>15827</v>
      </c>
      <c r="N136" s="99">
        <f t="shared" si="19"/>
        <v>833.33333333333337</v>
      </c>
      <c r="O136" s="99">
        <f t="shared" si="16"/>
        <v>237.405</v>
      </c>
      <c r="P136" s="99">
        <f t="shared" si="17"/>
        <v>1070.7383333333335</v>
      </c>
      <c r="Q136" s="99"/>
      <c r="R136" s="127"/>
      <c r="S136" s="129"/>
      <c r="T136" s="101"/>
    </row>
    <row r="137" spans="1:20" x14ac:dyDescent="0.3">
      <c r="B137" s="98" t="s">
        <v>24</v>
      </c>
      <c r="C137" s="99">
        <v>14994</v>
      </c>
      <c r="D137" s="99">
        <f t="shared" si="18"/>
        <v>833.33333333333337</v>
      </c>
      <c r="E137" s="99">
        <f t="shared" si="14"/>
        <v>224.91</v>
      </c>
      <c r="F137" s="99">
        <f t="shared" si="15"/>
        <v>1058.2433333333333</v>
      </c>
      <c r="G137" s="99"/>
      <c r="H137" s="127"/>
      <c r="I137" s="129"/>
      <c r="J137" s="101"/>
      <c r="L137" s="98" t="s">
        <v>24</v>
      </c>
      <c r="M137" s="99">
        <v>14994</v>
      </c>
      <c r="N137" s="99">
        <f t="shared" si="19"/>
        <v>833.33333333333337</v>
      </c>
      <c r="O137" s="99">
        <f t="shared" si="16"/>
        <v>224.91</v>
      </c>
      <c r="P137" s="99">
        <f t="shared" si="17"/>
        <v>1058.2433333333333</v>
      </c>
      <c r="Q137" s="99"/>
      <c r="R137" s="127"/>
      <c r="S137" s="129"/>
      <c r="T137" s="101"/>
    </row>
    <row r="138" spans="1:20" x14ac:dyDescent="0.3">
      <c r="B138" s="98" t="s">
        <v>25</v>
      </c>
      <c r="C138" s="99">
        <v>14161</v>
      </c>
      <c r="D138" s="99">
        <f t="shared" si="18"/>
        <v>833.33333333333337</v>
      </c>
      <c r="E138" s="99">
        <f t="shared" si="14"/>
        <v>212.41499999999999</v>
      </c>
      <c r="F138" s="99">
        <f t="shared" si="15"/>
        <v>1045.7483333333334</v>
      </c>
      <c r="G138" s="99"/>
      <c r="H138" s="127"/>
      <c r="I138" s="129"/>
      <c r="J138" s="101"/>
      <c r="L138" s="98" t="s">
        <v>25</v>
      </c>
      <c r="M138" s="99">
        <v>14161</v>
      </c>
      <c r="N138" s="99">
        <f t="shared" si="19"/>
        <v>833.33333333333337</v>
      </c>
      <c r="O138" s="99">
        <f t="shared" si="16"/>
        <v>212.41499999999999</v>
      </c>
      <c r="P138" s="99">
        <f t="shared" si="17"/>
        <v>1045.7483333333334</v>
      </c>
      <c r="Q138" s="99"/>
      <c r="R138" s="127"/>
      <c r="S138" s="129"/>
      <c r="T138" s="101"/>
    </row>
    <row r="139" spans="1:20" x14ac:dyDescent="0.3">
      <c r="B139" s="98" t="s">
        <v>26</v>
      </c>
      <c r="C139" s="99">
        <v>13328</v>
      </c>
      <c r="D139" s="99">
        <f t="shared" si="18"/>
        <v>833.33333333333337</v>
      </c>
      <c r="E139" s="99">
        <f t="shared" si="14"/>
        <v>199.92</v>
      </c>
      <c r="F139" s="99">
        <f t="shared" si="15"/>
        <v>1033.2533333333333</v>
      </c>
      <c r="G139" s="99"/>
      <c r="H139" s="127"/>
      <c r="I139" s="129"/>
      <c r="J139" s="101"/>
      <c r="L139" s="98" t="s">
        <v>26</v>
      </c>
      <c r="M139" s="99">
        <v>13328</v>
      </c>
      <c r="N139" s="99">
        <f t="shared" si="19"/>
        <v>833.33333333333337</v>
      </c>
      <c r="O139" s="99">
        <f t="shared" si="16"/>
        <v>199.92</v>
      </c>
      <c r="P139" s="99">
        <f t="shared" si="17"/>
        <v>1033.2533333333333</v>
      </c>
      <c r="Q139" s="99"/>
      <c r="R139" s="127"/>
      <c r="S139" s="129"/>
      <c r="T139" s="101"/>
    </row>
    <row r="140" spans="1:20" x14ac:dyDescent="0.3">
      <c r="B140" s="98" t="s">
        <v>27</v>
      </c>
      <c r="C140" s="99">
        <v>12495</v>
      </c>
      <c r="D140" s="99">
        <f t="shared" si="18"/>
        <v>833.33333333333337</v>
      </c>
      <c r="E140" s="99">
        <f t="shared" si="14"/>
        <v>187.42499999999998</v>
      </c>
      <c r="F140" s="99">
        <f t="shared" si="15"/>
        <v>1020.7583333333333</v>
      </c>
      <c r="G140" s="99"/>
      <c r="H140" s="127"/>
      <c r="I140" s="129"/>
      <c r="J140" s="101"/>
      <c r="L140" s="98" t="s">
        <v>27</v>
      </c>
      <c r="M140" s="99">
        <v>12495</v>
      </c>
      <c r="N140" s="99">
        <f t="shared" si="19"/>
        <v>833.33333333333337</v>
      </c>
      <c r="O140" s="99">
        <f t="shared" si="16"/>
        <v>187.42499999999998</v>
      </c>
      <c r="P140" s="99">
        <f t="shared" si="17"/>
        <v>1020.7583333333333</v>
      </c>
      <c r="Q140" s="99"/>
      <c r="R140" s="127"/>
      <c r="S140" s="129"/>
      <c r="T140" s="101"/>
    </row>
    <row r="141" spans="1:20" x14ac:dyDescent="0.3">
      <c r="B141" s="98" t="s">
        <v>28</v>
      </c>
      <c r="C141" s="99">
        <v>11662</v>
      </c>
      <c r="D141" s="99">
        <f t="shared" si="18"/>
        <v>833.33333333333337</v>
      </c>
      <c r="E141" s="99">
        <f t="shared" si="14"/>
        <v>174.93</v>
      </c>
      <c r="F141" s="99">
        <f t="shared" si="15"/>
        <v>1008.2633333333333</v>
      </c>
      <c r="G141" s="99"/>
      <c r="H141" s="127"/>
      <c r="I141" s="129"/>
      <c r="J141" s="101"/>
      <c r="L141" s="98" t="s">
        <v>28</v>
      </c>
      <c r="M141" s="99">
        <v>11662</v>
      </c>
      <c r="N141" s="99">
        <f t="shared" si="19"/>
        <v>833.33333333333337</v>
      </c>
      <c r="O141" s="99">
        <f t="shared" si="16"/>
        <v>174.93</v>
      </c>
      <c r="P141" s="99">
        <f t="shared" si="17"/>
        <v>1008.2633333333333</v>
      </c>
      <c r="Q141" s="99"/>
      <c r="R141" s="127"/>
      <c r="S141" s="129"/>
      <c r="T141" s="101"/>
    </row>
    <row r="142" spans="1:20" x14ac:dyDescent="0.3">
      <c r="B142" s="98" t="s">
        <v>29</v>
      </c>
      <c r="C142" s="99">
        <v>10829</v>
      </c>
      <c r="D142" s="99">
        <f t="shared" si="18"/>
        <v>833.33333333333337</v>
      </c>
      <c r="E142" s="99">
        <f t="shared" si="14"/>
        <v>162.435</v>
      </c>
      <c r="F142" s="99">
        <f t="shared" si="15"/>
        <v>995.76833333333343</v>
      </c>
      <c r="G142" s="99"/>
      <c r="H142" s="99"/>
      <c r="I142" s="100"/>
      <c r="J142" s="101"/>
      <c r="L142" s="98" t="s">
        <v>29</v>
      </c>
      <c r="M142" s="99">
        <v>10829</v>
      </c>
      <c r="N142" s="99">
        <f t="shared" si="19"/>
        <v>833.33333333333337</v>
      </c>
      <c r="O142" s="99">
        <f t="shared" si="16"/>
        <v>162.435</v>
      </c>
      <c r="P142" s="99">
        <f t="shared" si="17"/>
        <v>995.76833333333343</v>
      </c>
      <c r="Q142" s="99"/>
      <c r="R142" s="99"/>
      <c r="S142" s="100"/>
      <c r="T142" s="101"/>
    </row>
    <row r="143" spans="1:20" x14ac:dyDescent="0.3">
      <c r="B143" s="98" t="s">
        <v>30</v>
      </c>
      <c r="C143" s="99">
        <v>9996</v>
      </c>
      <c r="D143" s="99">
        <f t="shared" si="18"/>
        <v>833.33333333333337</v>
      </c>
      <c r="E143" s="99">
        <f t="shared" si="14"/>
        <v>149.94</v>
      </c>
      <c r="F143" s="99">
        <f t="shared" si="15"/>
        <v>983.27333333333331</v>
      </c>
      <c r="G143" s="99"/>
      <c r="H143" s="99"/>
      <c r="I143" s="100"/>
      <c r="J143" s="101"/>
      <c r="L143" s="98" t="s">
        <v>30</v>
      </c>
      <c r="M143" s="99">
        <v>9996</v>
      </c>
      <c r="N143" s="99">
        <f t="shared" si="19"/>
        <v>833.33333333333337</v>
      </c>
      <c r="O143" s="99">
        <f t="shared" si="16"/>
        <v>149.94</v>
      </c>
      <c r="P143" s="99">
        <f t="shared" si="17"/>
        <v>983.27333333333331</v>
      </c>
      <c r="Q143" s="99"/>
      <c r="R143" s="99"/>
      <c r="S143" s="100"/>
      <c r="T143" s="101"/>
    </row>
    <row r="144" spans="1:20" x14ac:dyDescent="0.3">
      <c r="B144" s="98" t="s">
        <v>31</v>
      </c>
      <c r="C144" s="99">
        <v>9163</v>
      </c>
      <c r="D144" s="99">
        <f t="shared" si="18"/>
        <v>833.33333333333337</v>
      </c>
      <c r="E144" s="99">
        <f t="shared" si="14"/>
        <v>137.44499999999999</v>
      </c>
      <c r="F144" s="99">
        <f t="shared" si="15"/>
        <v>970.77833333333342</v>
      </c>
      <c r="G144" s="99"/>
      <c r="H144" s="99"/>
      <c r="I144" s="100"/>
      <c r="J144" s="101"/>
      <c r="L144" s="98" t="s">
        <v>31</v>
      </c>
      <c r="M144" s="99">
        <v>9163</v>
      </c>
      <c r="N144" s="99">
        <f t="shared" si="19"/>
        <v>833.33333333333337</v>
      </c>
      <c r="O144" s="99">
        <f t="shared" si="16"/>
        <v>137.44499999999999</v>
      </c>
      <c r="P144" s="99">
        <f t="shared" si="17"/>
        <v>970.77833333333342</v>
      </c>
      <c r="Q144" s="99"/>
      <c r="R144" s="99"/>
      <c r="S144" s="100"/>
      <c r="T144" s="101"/>
    </row>
    <row r="145" spans="2:20" x14ac:dyDescent="0.3">
      <c r="B145" s="98" t="s">
        <v>32</v>
      </c>
      <c r="C145" s="99">
        <v>8330</v>
      </c>
      <c r="D145" s="99">
        <f t="shared" si="18"/>
        <v>833.33333333333337</v>
      </c>
      <c r="E145" s="99">
        <f t="shared" si="14"/>
        <v>124.94999999999999</v>
      </c>
      <c r="F145" s="99">
        <f t="shared" si="15"/>
        <v>958.2833333333333</v>
      </c>
      <c r="G145" s="99"/>
      <c r="H145" s="99"/>
      <c r="I145" s="100"/>
      <c r="J145" s="101"/>
      <c r="L145" s="98" t="s">
        <v>32</v>
      </c>
      <c r="M145" s="99">
        <v>8330</v>
      </c>
      <c r="N145" s="99">
        <f t="shared" si="19"/>
        <v>833.33333333333337</v>
      </c>
      <c r="O145" s="99">
        <f t="shared" si="16"/>
        <v>124.94999999999999</v>
      </c>
      <c r="P145" s="99">
        <f t="shared" si="17"/>
        <v>958.2833333333333</v>
      </c>
      <c r="Q145" s="99"/>
      <c r="R145" s="99"/>
      <c r="S145" s="100"/>
      <c r="T145" s="101"/>
    </row>
    <row r="146" spans="2:20" x14ac:dyDescent="0.3">
      <c r="B146" s="98" t="s">
        <v>33</v>
      </c>
      <c r="C146" s="99">
        <v>7497</v>
      </c>
      <c r="D146" s="99">
        <f t="shared" si="18"/>
        <v>833.33333333333337</v>
      </c>
      <c r="E146" s="99">
        <f t="shared" si="14"/>
        <v>112.455</v>
      </c>
      <c r="F146" s="99">
        <f t="shared" si="15"/>
        <v>945.78833333333341</v>
      </c>
      <c r="G146" s="99"/>
      <c r="H146" s="99"/>
      <c r="I146" s="100"/>
      <c r="J146" s="101"/>
      <c r="L146" s="98" t="s">
        <v>33</v>
      </c>
      <c r="M146" s="99">
        <v>7497</v>
      </c>
      <c r="N146" s="99">
        <f t="shared" si="19"/>
        <v>833.33333333333337</v>
      </c>
      <c r="O146" s="99">
        <f t="shared" si="16"/>
        <v>112.455</v>
      </c>
      <c r="P146" s="99">
        <f t="shared" si="17"/>
        <v>945.78833333333341</v>
      </c>
      <c r="Q146" s="99"/>
      <c r="R146" s="99"/>
      <c r="S146" s="100"/>
      <c r="T146" s="101"/>
    </row>
    <row r="147" spans="2:20" x14ac:dyDescent="0.3">
      <c r="B147" s="98" t="s">
        <v>34</v>
      </c>
      <c r="C147" s="99">
        <v>6664</v>
      </c>
      <c r="D147" s="99">
        <f t="shared" si="18"/>
        <v>833.33333333333337</v>
      </c>
      <c r="E147" s="99">
        <f t="shared" si="14"/>
        <v>99.96</v>
      </c>
      <c r="F147" s="99">
        <f t="shared" si="15"/>
        <v>933.29333333333341</v>
      </c>
      <c r="G147" s="99"/>
      <c r="H147" s="99"/>
      <c r="I147" s="100"/>
      <c r="J147" s="101"/>
      <c r="L147" s="98" t="s">
        <v>34</v>
      </c>
      <c r="M147" s="99">
        <v>6664</v>
      </c>
      <c r="N147" s="99">
        <f t="shared" si="19"/>
        <v>833.33333333333337</v>
      </c>
      <c r="O147" s="99">
        <f t="shared" si="16"/>
        <v>99.96</v>
      </c>
      <c r="P147" s="99">
        <f t="shared" si="17"/>
        <v>933.29333333333341</v>
      </c>
      <c r="Q147" s="99"/>
      <c r="R147" s="99"/>
      <c r="S147" s="100"/>
      <c r="T147" s="101"/>
    </row>
    <row r="148" spans="2:20" x14ac:dyDescent="0.3">
      <c r="B148" s="98" t="s">
        <v>35</v>
      </c>
      <c r="C148" s="99">
        <v>5831</v>
      </c>
      <c r="D148" s="99">
        <f t="shared" si="18"/>
        <v>833.33333333333337</v>
      </c>
      <c r="E148" s="99">
        <f t="shared" si="14"/>
        <v>87.465000000000003</v>
      </c>
      <c r="F148" s="99">
        <f t="shared" si="15"/>
        <v>920.7983333333334</v>
      </c>
      <c r="G148" s="99"/>
      <c r="H148" s="99"/>
      <c r="I148" s="100"/>
      <c r="J148" s="101"/>
      <c r="L148" s="98" t="s">
        <v>35</v>
      </c>
      <c r="M148" s="99">
        <v>5831</v>
      </c>
      <c r="N148" s="99">
        <f t="shared" si="19"/>
        <v>833.33333333333337</v>
      </c>
      <c r="O148" s="99">
        <f t="shared" si="16"/>
        <v>87.465000000000003</v>
      </c>
      <c r="P148" s="99">
        <f t="shared" si="17"/>
        <v>920.7983333333334</v>
      </c>
      <c r="Q148" s="99"/>
      <c r="R148" s="99"/>
      <c r="S148" s="100"/>
      <c r="T148" s="101"/>
    </row>
    <row r="149" spans="2:20" x14ac:dyDescent="0.3">
      <c r="B149" s="98" t="s">
        <v>36</v>
      </c>
      <c r="C149" s="99">
        <v>4998</v>
      </c>
      <c r="D149" s="99">
        <f t="shared" si="18"/>
        <v>833.33333333333337</v>
      </c>
      <c r="E149" s="99">
        <f t="shared" si="14"/>
        <v>74.97</v>
      </c>
      <c r="F149" s="99">
        <f t="shared" si="15"/>
        <v>908.3033333333334</v>
      </c>
      <c r="G149" s="99"/>
      <c r="H149" s="99"/>
      <c r="I149" s="100"/>
      <c r="J149" s="101"/>
      <c r="L149" s="98" t="s">
        <v>36</v>
      </c>
      <c r="M149" s="99">
        <v>4998</v>
      </c>
      <c r="N149" s="99">
        <f t="shared" si="19"/>
        <v>833.33333333333337</v>
      </c>
      <c r="O149" s="99">
        <f t="shared" si="16"/>
        <v>74.97</v>
      </c>
      <c r="P149" s="99">
        <f t="shared" si="17"/>
        <v>908.3033333333334</v>
      </c>
      <c r="Q149" s="99"/>
      <c r="R149" s="99"/>
      <c r="S149" s="100"/>
      <c r="T149" s="101"/>
    </row>
    <row r="150" spans="2:20" x14ac:dyDescent="0.3">
      <c r="B150" s="98" t="s">
        <v>37</v>
      </c>
      <c r="C150" s="99">
        <v>4165</v>
      </c>
      <c r="D150" s="99">
        <f t="shared" si="18"/>
        <v>833.33333333333337</v>
      </c>
      <c r="E150" s="99">
        <f t="shared" si="14"/>
        <v>62.474999999999994</v>
      </c>
      <c r="F150" s="99">
        <f t="shared" si="15"/>
        <v>895.80833333333339</v>
      </c>
      <c r="G150" s="99"/>
      <c r="H150" s="99"/>
      <c r="I150" s="100"/>
      <c r="J150" s="101"/>
      <c r="L150" s="98" t="s">
        <v>37</v>
      </c>
      <c r="M150" s="99">
        <v>4165</v>
      </c>
      <c r="N150" s="99">
        <f t="shared" si="19"/>
        <v>833.33333333333337</v>
      </c>
      <c r="O150" s="99">
        <f t="shared" si="16"/>
        <v>62.474999999999994</v>
      </c>
      <c r="P150" s="99">
        <f t="shared" si="17"/>
        <v>895.80833333333339</v>
      </c>
      <c r="Q150" s="99"/>
      <c r="R150" s="99"/>
      <c r="S150" s="100"/>
      <c r="T150" s="101"/>
    </row>
    <row r="151" spans="2:20" x14ac:dyDescent="0.3">
      <c r="B151" s="98" t="s">
        <v>38</v>
      </c>
      <c r="C151" s="99">
        <v>3332</v>
      </c>
      <c r="D151" s="99">
        <f t="shared" si="18"/>
        <v>833.33333333333337</v>
      </c>
      <c r="E151" s="99">
        <f t="shared" si="14"/>
        <v>49.98</v>
      </c>
      <c r="F151" s="99">
        <f t="shared" si="15"/>
        <v>883.31333333333339</v>
      </c>
      <c r="G151" s="99"/>
      <c r="H151" s="99"/>
      <c r="I151" s="100"/>
      <c r="J151" s="101"/>
      <c r="L151" s="98" t="s">
        <v>38</v>
      </c>
      <c r="M151" s="99">
        <v>3332</v>
      </c>
      <c r="N151" s="99">
        <f t="shared" si="19"/>
        <v>833.33333333333337</v>
      </c>
      <c r="O151" s="99">
        <f t="shared" si="16"/>
        <v>49.98</v>
      </c>
      <c r="P151" s="99">
        <f t="shared" si="17"/>
        <v>883.31333333333339</v>
      </c>
      <c r="Q151" s="99"/>
      <c r="R151" s="99"/>
      <c r="S151" s="100"/>
      <c r="T151" s="101"/>
    </row>
    <row r="152" spans="2:20" x14ac:dyDescent="0.3">
      <c r="B152" s="98" t="s">
        <v>39</v>
      </c>
      <c r="C152" s="99">
        <v>2499</v>
      </c>
      <c r="D152" s="99">
        <f t="shared" si="18"/>
        <v>833.33333333333337</v>
      </c>
      <c r="E152" s="99">
        <f t="shared" si="14"/>
        <v>37.484999999999999</v>
      </c>
      <c r="F152" s="99">
        <f t="shared" si="15"/>
        <v>870.81833333333338</v>
      </c>
      <c r="G152" s="99"/>
      <c r="H152" s="99"/>
      <c r="I152" s="100"/>
      <c r="J152" s="101"/>
      <c r="L152" s="98" t="s">
        <v>39</v>
      </c>
      <c r="M152" s="99">
        <v>2499</v>
      </c>
      <c r="N152" s="99">
        <f t="shared" si="19"/>
        <v>833.33333333333337</v>
      </c>
      <c r="O152" s="99">
        <f t="shared" si="16"/>
        <v>37.484999999999999</v>
      </c>
      <c r="P152" s="99">
        <f t="shared" si="17"/>
        <v>870.81833333333338</v>
      </c>
      <c r="Q152" s="99"/>
      <c r="R152" s="99"/>
      <c r="S152" s="100"/>
      <c r="T152" s="101"/>
    </row>
    <row r="153" spans="2:20" x14ac:dyDescent="0.3">
      <c r="B153" s="98" t="s">
        <v>40</v>
      </c>
      <c r="C153" s="99">
        <v>1666</v>
      </c>
      <c r="D153" s="99">
        <f t="shared" si="18"/>
        <v>833.33333333333337</v>
      </c>
      <c r="E153" s="99">
        <f t="shared" si="14"/>
        <v>24.99</v>
      </c>
      <c r="F153" s="99">
        <f t="shared" si="15"/>
        <v>858.32333333333338</v>
      </c>
      <c r="G153" s="99"/>
      <c r="H153" s="99"/>
      <c r="I153" s="100"/>
      <c r="J153" s="101"/>
      <c r="L153" s="98" t="s">
        <v>40</v>
      </c>
      <c r="M153" s="99">
        <v>1666</v>
      </c>
      <c r="N153" s="99">
        <f t="shared" si="19"/>
        <v>833.33333333333337</v>
      </c>
      <c r="O153" s="99">
        <f t="shared" si="16"/>
        <v>24.99</v>
      </c>
      <c r="P153" s="99">
        <f t="shared" si="17"/>
        <v>858.32333333333338</v>
      </c>
      <c r="Q153" s="99"/>
      <c r="R153" s="99"/>
      <c r="S153" s="100"/>
      <c r="T153" s="101"/>
    </row>
    <row r="154" spans="2:20" ht="15" thickBot="1" x14ac:dyDescent="0.35">
      <c r="B154" s="103" t="s">
        <v>41</v>
      </c>
      <c r="C154" s="102">
        <v>833</v>
      </c>
      <c r="D154" s="99">
        <v>833</v>
      </c>
      <c r="E154" s="102">
        <f t="shared" si="14"/>
        <v>12.494999999999999</v>
      </c>
      <c r="F154" s="102">
        <f t="shared" si="15"/>
        <v>845.495</v>
      </c>
      <c r="G154" s="102"/>
      <c r="H154" s="102"/>
      <c r="I154" s="104"/>
      <c r="J154" s="105" t="s">
        <v>42</v>
      </c>
      <c r="L154" s="103" t="s">
        <v>41</v>
      </c>
      <c r="M154" s="102">
        <v>833</v>
      </c>
      <c r="N154" s="99">
        <v>833</v>
      </c>
      <c r="O154" s="102">
        <f t="shared" si="16"/>
        <v>12.494999999999999</v>
      </c>
      <c r="P154" s="102">
        <f t="shared" si="17"/>
        <v>845.495</v>
      </c>
      <c r="Q154" s="102"/>
      <c r="R154" s="102"/>
      <c r="S154" s="104"/>
      <c r="T154" s="105" t="s">
        <v>42</v>
      </c>
    </row>
    <row r="157" spans="2:20" x14ac:dyDescent="0.3">
      <c r="B157" s="77" t="s">
        <v>0</v>
      </c>
      <c r="C157" s="77" t="s">
        <v>87</v>
      </c>
      <c r="D157" s="112"/>
      <c r="E157" s="112"/>
      <c r="F157" s="79"/>
      <c r="G157" s="80"/>
      <c r="I157" s="81" t="s">
        <v>1</v>
      </c>
      <c r="J157" s="82">
        <v>10000</v>
      </c>
      <c r="L157" s="77" t="s">
        <v>0</v>
      </c>
      <c r="M157" s="77" t="s">
        <v>87</v>
      </c>
      <c r="N157" s="112"/>
      <c r="O157" s="112"/>
      <c r="P157" s="79"/>
      <c r="Q157" s="80"/>
      <c r="S157" s="81" t="s">
        <v>1</v>
      </c>
      <c r="T157" s="82">
        <v>10000</v>
      </c>
    </row>
    <row r="158" spans="2:20" x14ac:dyDescent="0.3">
      <c r="B158" s="77" t="s">
        <v>2</v>
      </c>
      <c r="C158" s="83"/>
      <c r="D158" s="79"/>
      <c r="E158" s="83"/>
      <c r="F158" s="81"/>
      <c r="G158" s="81"/>
      <c r="H158" s="84"/>
      <c r="I158" s="81" t="s">
        <v>3</v>
      </c>
      <c r="J158" s="85" t="s">
        <v>320</v>
      </c>
      <c r="L158" s="77" t="s">
        <v>2</v>
      </c>
      <c r="M158" s="83"/>
      <c r="N158" s="79"/>
      <c r="O158" s="83"/>
      <c r="P158" s="81"/>
      <c r="Q158" s="81"/>
      <c r="R158" s="84"/>
      <c r="S158" s="81" t="s">
        <v>3</v>
      </c>
      <c r="T158" s="85" t="s">
        <v>320</v>
      </c>
    </row>
    <row r="159" spans="2:20" x14ac:dyDescent="0.3">
      <c r="B159" s="77" t="s">
        <v>4</v>
      </c>
      <c r="C159" s="78"/>
      <c r="D159" s="79"/>
      <c r="E159" s="78"/>
      <c r="F159" s="81"/>
      <c r="G159" s="81"/>
      <c r="H159" s="81"/>
      <c r="I159" s="81" t="s">
        <v>5</v>
      </c>
      <c r="J159" s="86">
        <v>1.4999999999999999E-2</v>
      </c>
      <c r="L159" s="77" t="s">
        <v>4</v>
      </c>
      <c r="M159" s="78"/>
      <c r="N159" s="79"/>
      <c r="O159" s="78"/>
      <c r="P159" s="81"/>
      <c r="Q159" s="81"/>
      <c r="R159" s="81"/>
      <c r="S159" s="81" t="s">
        <v>5</v>
      </c>
      <c r="T159" s="86">
        <v>1.4999999999999999E-2</v>
      </c>
    </row>
    <row r="160" spans="2:20" ht="15" thickBot="1" x14ac:dyDescent="0.35">
      <c r="B160" s="77" t="s">
        <v>6</v>
      </c>
      <c r="C160" s="87"/>
      <c r="D160" s="87"/>
      <c r="E160" s="88"/>
      <c r="F160" s="88"/>
      <c r="G160" s="88"/>
      <c r="H160" s="88"/>
      <c r="I160" s="88" t="s">
        <v>7</v>
      </c>
      <c r="J160" s="78">
        <v>24</v>
      </c>
      <c r="L160" s="77" t="s">
        <v>6</v>
      </c>
      <c r="M160" s="87"/>
      <c r="N160" s="87"/>
      <c r="O160" s="88"/>
      <c r="P160" s="88"/>
      <c r="Q160" s="88"/>
      <c r="R160" s="88"/>
      <c r="S160" s="88" t="s">
        <v>7</v>
      </c>
      <c r="T160" s="78">
        <v>24</v>
      </c>
    </row>
    <row r="161" spans="2:20" ht="41.4" thickBot="1" x14ac:dyDescent="0.35">
      <c r="B161" s="89" t="s">
        <v>8</v>
      </c>
      <c r="C161" s="89" t="s">
        <v>9</v>
      </c>
      <c r="D161" s="89" t="s">
        <v>10</v>
      </c>
      <c r="E161" s="90" t="s">
        <v>11</v>
      </c>
      <c r="F161" s="91" t="s">
        <v>12</v>
      </c>
      <c r="G161" s="92" t="s">
        <v>13</v>
      </c>
      <c r="H161" s="92" t="s">
        <v>14</v>
      </c>
      <c r="I161" s="92" t="s">
        <v>15</v>
      </c>
      <c r="J161" s="93" t="s">
        <v>16</v>
      </c>
      <c r="L161" s="89" t="s">
        <v>8</v>
      </c>
      <c r="M161" s="89" t="s">
        <v>9</v>
      </c>
      <c r="N161" s="89" t="s">
        <v>10</v>
      </c>
      <c r="O161" s="90" t="s">
        <v>11</v>
      </c>
      <c r="P161" s="91" t="s">
        <v>12</v>
      </c>
      <c r="Q161" s="92" t="s">
        <v>13</v>
      </c>
      <c r="R161" s="92" t="s">
        <v>14</v>
      </c>
      <c r="S161" s="92" t="s">
        <v>15</v>
      </c>
      <c r="T161" s="93" t="s">
        <v>16</v>
      </c>
    </row>
    <row r="162" spans="2:20" x14ac:dyDescent="0.3">
      <c r="B162" s="94" t="s">
        <v>17</v>
      </c>
      <c r="C162" s="95">
        <f>J157</f>
        <v>10000</v>
      </c>
      <c r="D162" s="95">
        <f>J157/J160</f>
        <v>416.66666666666669</v>
      </c>
      <c r="E162" s="95">
        <f t="shared" ref="E162:E185" si="20">(C162*0.015)</f>
        <v>150</v>
      </c>
      <c r="F162" s="95">
        <f t="shared" ref="F162:F185" si="21">SUM(D162:E162)</f>
        <v>566.66666666666674</v>
      </c>
      <c r="G162" s="95"/>
      <c r="H162" s="95"/>
      <c r="I162" s="96"/>
      <c r="J162" s="97"/>
      <c r="L162" s="94" t="s">
        <v>17</v>
      </c>
      <c r="M162" s="95">
        <f>T157</f>
        <v>10000</v>
      </c>
      <c r="N162" s="95">
        <f>T157/T160</f>
        <v>416.66666666666669</v>
      </c>
      <c r="O162" s="95">
        <f t="shared" ref="O162:O185" si="22">(M162*0.015)</f>
        <v>150</v>
      </c>
      <c r="P162" s="95">
        <f t="shared" ref="P162:P185" si="23">SUM(N162:O162)</f>
        <v>566.66666666666674</v>
      </c>
      <c r="Q162" s="95"/>
      <c r="R162" s="95"/>
      <c r="S162" s="96"/>
      <c r="T162" s="97"/>
    </row>
    <row r="163" spans="2:20" x14ac:dyDescent="0.3">
      <c r="B163" s="98" t="s">
        <v>18</v>
      </c>
      <c r="C163" s="99">
        <v>9591</v>
      </c>
      <c r="D163" s="99">
        <v>417</v>
      </c>
      <c r="E163" s="99">
        <f t="shared" si="20"/>
        <v>143.86499999999998</v>
      </c>
      <c r="F163" s="99">
        <f t="shared" si="21"/>
        <v>560.86500000000001</v>
      </c>
      <c r="G163" s="99"/>
      <c r="H163" s="99"/>
      <c r="I163" s="100"/>
      <c r="J163" s="101"/>
      <c r="L163" s="98" t="s">
        <v>18</v>
      </c>
      <c r="M163" s="99">
        <v>9591</v>
      </c>
      <c r="N163" s="99">
        <v>417</v>
      </c>
      <c r="O163" s="99">
        <f t="shared" si="22"/>
        <v>143.86499999999998</v>
      </c>
      <c r="P163" s="99">
        <f t="shared" si="23"/>
        <v>560.86500000000001</v>
      </c>
      <c r="Q163" s="99"/>
      <c r="R163" s="99"/>
      <c r="S163" s="100"/>
      <c r="T163" s="101"/>
    </row>
    <row r="164" spans="2:20" x14ac:dyDescent="0.3">
      <c r="B164" s="98" t="s">
        <v>19</v>
      </c>
      <c r="C164" s="99">
        <v>9174</v>
      </c>
      <c r="D164" s="99">
        <v>417</v>
      </c>
      <c r="E164" s="99">
        <f t="shared" si="20"/>
        <v>137.60999999999999</v>
      </c>
      <c r="F164" s="99">
        <f t="shared" si="21"/>
        <v>554.61</v>
      </c>
      <c r="G164" s="99"/>
      <c r="H164" s="99"/>
      <c r="I164" s="100"/>
      <c r="J164" s="101"/>
      <c r="L164" s="98" t="s">
        <v>19</v>
      </c>
      <c r="M164" s="99">
        <v>9174</v>
      </c>
      <c r="N164" s="99">
        <v>417</v>
      </c>
      <c r="O164" s="99">
        <f t="shared" si="22"/>
        <v>137.60999999999999</v>
      </c>
      <c r="P164" s="99">
        <f t="shared" si="23"/>
        <v>554.61</v>
      </c>
      <c r="Q164" s="99"/>
      <c r="R164" s="99"/>
      <c r="S164" s="100"/>
      <c r="T164" s="101"/>
    </row>
    <row r="165" spans="2:20" ht="15" thickBot="1" x14ac:dyDescent="0.35">
      <c r="B165" s="98" t="s">
        <v>20</v>
      </c>
      <c r="C165" s="99">
        <v>8757</v>
      </c>
      <c r="D165" s="99">
        <v>417</v>
      </c>
      <c r="E165" s="99">
        <f t="shared" si="20"/>
        <v>131.35499999999999</v>
      </c>
      <c r="F165" s="99">
        <f t="shared" si="21"/>
        <v>548.35500000000002</v>
      </c>
      <c r="G165" s="99"/>
      <c r="H165" s="99"/>
      <c r="I165" s="100"/>
      <c r="J165" s="101"/>
      <c r="L165" s="98" t="s">
        <v>20</v>
      </c>
      <c r="M165" s="99">
        <v>8757</v>
      </c>
      <c r="N165" s="99">
        <v>417</v>
      </c>
      <c r="O165" s="99">
        <f t="shared" si="22"/>
        <v>131.35499999999999</v>
      </c>
      <c r="P165" s="99">
        <f t="shared" si="23"/>
        <v>548.35500000000002</v>
      </c>
      <c r="Q165" s="99"/>
      <c r="R165" s="99"/>
      <c r="S165" s="100"/>
      <c r="T165" s="101"/>
    </row>
    <row r="166" spans="2:20" x14ac:dyDescent="0.3">
      <c r="B166" s="98" t="s">
        <v>21</v>
      </c>
      <c r="C166" s="99">
        <v>8340</v>
      </c>
      <c r="D166" s="95">
        <v>417</v>
      </c>
      <c r="E166" s="99">
        <f t="shared" si="20"/>
        <v>125.1</v>
      </c>
      <c r="F166" s="99">
        <f t="shared" si="21"/>
        <v>542.1</v>
      </c>
      <c r="G166" s="99"/>
      <c r="H166" s="99"/>
      <c r="I166" s="100"/>
      <c r="J166" s="101"/>
      <c r="L166" s="98" t="s">
        <v>21</v>
      </c>
      <c r="M166" s="99">
        <v>8340</v>
      </c>
      <c r="N166" s="95">
        <v>417</v>
      </c>
      <c r="O166" s="99">
        <f t="shared" si="22"/>
        <v>125.1</v>
      </c>
      <c r="P166" s="99">
        <f t="shared" si="23"/>
        <v>542.1</v>
      </c>
      <c r="Q166" s="99"/>
      <c r="R166" s="99"/>
      <c r="S166" s="100"/>
      <c r="T166" s="101"/>
    </row>
    <row r="167" spans="2:20" x14ac:dyDescent="0.3">
      <c r="B167" s="98" t="s">
        <v>23</v>
      </c>
      <c r="C167" s="99">
        <v>7923</v>
      </c>
      <c r="D167" s="99">
        <v>417</v>
      </c>
      <c r="E167" s="99">
        <f t="shared" si="20"/>
        <v>118.845</v>
      </c>
      <c r="F167" s="99">
        <f t="shared" si="21"/>
        <v>535.84500000000003</v>
      </c>
      <c r="G167" s="99"/>
      <c r="H167" s="99"/>
      <c r="I167" s="100"/>
      <c r="J167" s="101"/>
      <c r="L167" s="98" t="s">
        <v>23</v>
      </c>
      <c r="M167" s="99">
        <v>7923</v>
      </c>
      <c r="N167" s="99">
        <v>417</v>
      </c>
      <c r="O167" s="99">
        <f t="shared" si="22"/>
        <v>118.845</v>
      </c>
      <c r="P167" s="99">
        <f t="shared" si="23"/>
        <v>535.84500000000003</v>
      </c>
      <c r="Q167" s="99"/>
      <c r="R167" s="99"/>
      <c r="S167" s="100"/>
      <c r="T167" s="101"/>
    </row>
    <row r="168" spans="2:20" x14ac:dyDescent="0.3">
      <c r="B168" s="98" t="s">
        <v>24</v>
      </c>
      <c r="C168" s="99">
        <v>7506</v>
      </c>
      <c r="D168" s="99">
        <v>417</v>
      </c>
      <c r="E168" s="99">
        <f t="shared" si="20"/>
        <v>112.58999999999999</v>
      </c>
      <c r="F168" s="99">
        <f t="shared" si="21"/>
        <v>529.59</v>
      </c>
      <c r="G168" s="99"/>
      <c r="H168" s="99"/>
      <c r="I168" s="100"/>
      <c r="J168" s="101"/>
      <c r="L168" s="98" t="s">
        <v>24</v>
      </c>
      <c r="M168" s="99">
        <v>7506</v>
      </c>
      <c r="N168" s="99">
        <v>417</v>
      </c>
      <c r="O168" s="99">
        <f t="shared" si="22"/>
        <v>112.58999999999999</v>
      </c>
      <c r="P168" s="99">
        <f t="shared" si="23"/>
        <v>529.59</v>
      </c>
      <c r="Q168" s="99"/>
      <c r="R168" s="99"/>
      <c r="S168" s="100"/>
      <c r="T168" s="101"/>
    </row>
    <row r="169" spans="2:20" ht="15" thickBot="1" x14ac:dyDescent="0.35">
      <c r="B169" s="98" t="s">
        <v>25</v>
      </c>
      <c r="C169" s="99">
        <v>7089</v>
      </c>
      <c r="D169" s="99">
        <v>417</v>
      </c>
      <c r="E169" s="99">
        <f t="shared" si="20"/>
        <v>106.33499999999999</v>
      </c>
      <c r="F169" s="99">
        <f t="shared" si="21"/>
        <v>523.33500000000004</v>
      </c>
      <c r="G169" s="99"/>
      <c r="H169" s="99"/>
      <c r="I169" s="100"/>
      <c r="J169" s="101"/>
      <c r="L169" s="98" t="s">
        <v>25</v>
      </c>
      <c r="M169" s="99">
        <v>7089</v>
      </c>
      <c r="N169" s="99">
        <v>417</v>
      </c>
      <c r="O169" s="99">
        <f t="shared" si="22"/>
        <v>106.33499999999999</v>
      </c>
      <c r="P169" s="99">
        <f t="shared" si="23"/>
        <v>523.33500000000004</v>
      </c>
      <c r="Q169" s="99"/>
      <c r="R169" s="99"/>
      <c r="S169" s="100"/>
      <c r="T169" s="101"/>
    </row>
    <row r="170" spans="2:20" x14ac:dyDescent="0.3">
      <c r="B170" s="98" t="s">
        <v>26</v>
      </c>
      <c r="C170" s="99">
        <v>6672</v>
      </c>
      <c r="D170" s="95">
        <v>417</v>
      </c>
      <c r="E170" s="99">
        <f t="shared" si="20"/>
        <v>100.08</v>
      </c>
      <c r="F170" s="99">
        <f t="shared" si="21"/>
        <v>517.08000000000004</v>
      </c>
      <c r="G170" s="99"/>
      <c r="H170" s="99"/>
      <c r="I170" s="100"/>
      <c r="J170" s="101"/>
      <c r="L170" s="98" t="s">
        <v>26</v>
      </c>
      <c r="M170" s="99">
        <v>6672</v>
      </c>
      <c r="N170" s="95">
        <v>417</v>
      </c>
      <c r="O170" s="99">
        <f t="shared" si="22"/>
        <v>100.08</v>
      </c>
      <c r="P170" s="99">
        <f t="shared" si="23"/>
        <v>517.08000000000004</v>
      </c>
      <c r="Q170" s="99"/>
      <c r="R170" s="99"/>
      <c r="S170" s="100"/>
      <c r="T170" s="101"/>
    </row>
    <row r="171" spans="2:20" x14ac:dyDescent="0.3">
      <c r="B171" s="98" t="s">
        <v>27</v>
      </c>
      <c r="C171" s="99">
        <v>6255</v>
      </c>
      <c r="D171" s="99">
        <v>417</v>
      </c>
      <c r="E171" s="99">
        <f t="shared" si="20"/>
        <v>93.825000000000003</v>
      </c>
      <c r="F171" s="99">
        <f t="shared" si="21"/>
        <v>510.82499999999999</v>
      </c>
      <c r="G171" s="99"/>
      <c r="H171" s="99"/>
      <c r="I171" s="100"/>
      <c r="J171" s="101"/>
      <c r="L171" s="98" t="s">
        <v>27</v>
      </c>
      <c r="M171" s="99">
        <v>6255</v>
      </c>
      <c r="N171" s="99">
        <v>417</v>
      </c>
      <c r="O171" s="99">
        <f t="shared" si="22"/>
        <v>93.825000000000003</v>
      </c>
      <c r="P171" s="99">
        <f t="shared" si="23"/>
        <v>510.82499999999999</v>
      </c>
      <c r="Q171" s="99"/>
      <c r="R171" s="99"/>
      <c r="S171" s="100"/>
      <c r="T171" s="101"/>
    </row>
    <row r="172" spans="2:20" x14ac:dyDescent="0.3">
      <c r="B172" s="98" t="s">
        <v>28</v>
      </c>
      <c r="C172" s="99">
        <v>5838</v>
      </c>
      <c r="D172" s="99">
        <v>417</v>
      </c>
      <c r="E172" s="99">
        <f t="shared" si="20"/>
        <v>87.57</v>
      </c>
      <c r="F172" s="99">
        <f t="shared" si="21"/>
        <v>504.57</v>
      </c>
      <c r="G172" s="99"/>
      <c r="H172" s="99"/>
      <c r="I172" s="100"/>
      <c r="J172" s="101"/>
      <c r="L172" s="98" t="s">
        <v>28</v>
      </c>
      <c r="M172" s="99">
        <v>5838</v>
      </c>
      <c r="N172" s="99">
        <v>417</v>
      </c>
      <c r="O172" s="99">
        <f t="shared" si="22"/>
        <v>87.57</v>
      </c>
      <c r="P172" s="99">
        <f t="shared" si="23"/>
        <v>504.57</v>
      </c>
      <c r="Q172" s="99"/>
      <c r="R172" s="99"/>
      <c r="S172" s="100"/>
      <c r="T172" s="101"/>
    </row>
    <row r="173" spans="2:20" ht="15" thickBot="1" x14ac:dyDescent="0.35">
      <c r="B173" s="98" t="s">
        <v>29</v>
      </c>
      <c r="C173" s="99">
        <v>5421</v>
      </c>
      <c r="D173" s="99">
        <v>417</v>
      </c>
      <c r="E173" s="99">
        <f t="shared" si="20"/>
        <v>81.314999999999998</v>
      </c>
      <c r="F173" s="99">
        <f t="shared" si="21"/>
        <v>498.315</v>
      </c>
      <c r="G173" s="99"/>
      <c r="H173" s="99"/>
      <c r="I173" s="100"/>
      <c r="J173" s="101"/>
      <c r="L173" s="98" t="s">
        <v>29</v>
      </c>
      <c r="M173" s="99">
        <v>5421</v>
      </c>
      <c r="N173" s="99">
        <v>417</v>
      </c>
      <c r="O173" s="99">
        <f t="shared" si="22"/>
        <v>81.314999999999998</v>
      </c>
      <c r="P173" s="99">
        <f t="shared" si="23"/>
        <v>498.315</v>
      </c>
      <c r="Q173" s="99"/>
      <c r="R173" s="99"/>
      <c r="S173" s="100"/>
      <c r="T173" s="101"/>
    </row>
    <row r="174" spans="2:20" x14ac:dyDescent="0.3">
      <c r="B174" s="98" t="s">
        <v>30</v>
      </c>
      <c r="C174" s="99">
        <v>5004</v>
      </c>
      <c r="D174" s="95">
        <v>417</v>
      </c>
      <c r="E174" s="99">
        <f t="shared" si="20"/>
        <v>75.06</v>
      </c>
      <c r="F174" s="99">
        <f t="shared" si="21"/>
        <v>492.06</v>
      </c>
      <c r="G174" s="99"/>
      <c r="H174" s="99"/>
      <c r="I174" s="100"/>
      <c r="J174" s="101"/>
      <c r="L174" s="98" t="s">
        <v>30</v>
      </c>
      <c r="M174" s="99">
        <v>5004</v>
      </c>
      <c r="N174" s="95">
        <v>417</v>
      </c>
      <c r="O174" s="99">
        <f t="shared" si="22"/>
        <v>75.06</v>
      </c>
      <c r="P174" s="99">
        <f t="shared" si="23"/>
        <v>492.06</v>
      </c>
      <c r="Q174" s="99"/>
      <c r="R174" s="99"/>
      <c r="S174" s="100"/>
      <c r="T174" s="101"/>
    </row>
    <row r="175" spans="2:20" x14ac:dyDescent="0.3">
      <c r="B175" s="98" t="s">
        <v>31</v>
      </c>
      <c r="C175" s="99">
        <v>4587</v>
      </c>
      <c r="D175" s="99">
        <v>417</v>
      </c>
      <c r="E175" s="99">
        <f t="shared" si="20"/>
        <v>68.804999999999993</v>
      </c>
      <c r="F175" s="99">
        <f t="shared" si="21"/>
        <v>485.80500000000001</v>
      </c>
      <c r="G175" s="99"/>
      <c r="H175" s="99"/>
      <c r="I175" s="100"/>
      <c r="J175" s="101"/>
      <c r="L175" s="98" t="s">
        <v>31</v>
      </c>
      <c r="M175" s="99">
        <v>4587</v>
      </c>
      <c r="N175" s="99">
        <v>417</v>
      </c>
      <c r="O175" s="99">
        <f t="shared" si="22"/>
        <v>68.804999999999993</v>
      </c>
      <c r="P175" s="99">
        <f t="shared" si="23"/>
        <v>485.80500000000001</v>
      </c>
      <c r="Q175" s="99"/>
      <c r="R175" s="99"/>
      <c r="S175" s="100"/>
      <c r="T175" s="101"/>
    </row>
    <row r="176" spans="2:20" x14ac:dyDescent="0.3">
      <c r="B176" s="98" t="s">
        <v>32</v>
      </c>
      <c r="C176" s="99">
        <v>4170</v>
      </c>
      <c r="D176" s="99">
        <v>417</v>
      </c>
      <c r="E176" s="99">
        <f t="shared" si="20"/>
        <v>62.55</v>
      </c>
      <c r="F176" s="99">
        <f t="shared" si="21"/>
        <v>479.55</v>
      </c>
      <c r="G176" s="99"/>
      <c r="H176" s="99"/>
      <c r="I176" s="100"/>
      <c r="J176" s="101"/>
      <c r="L176" s="98" t="s">
        <v>32</v>
      </c>
      <c r="M176" s="99">
        <v>4170</v>
      </c>
      <c r="N176" s="99">
        <v>417</v>
      </c>
      <c r="O176" s="99">
        <f t="shared" si="22"/>
        <v>62.55</v>
      </c>
      <c r="P176" s="99">
        <f t="shared" si="23"/>
        <v>479.55</v>
      </c>
      <c r="Q176" s="99"/>
      <c r="R176" s="99"/>
      <c r="S176" s="100"/>
      <c r="T176" s="101"/>
    </row>
    <row r="177" spans="2:20" ht="15" thickBot="1" x14ac:dyDescent="0.35">
      <c r="B177" s="98" t="s">
        <v>33</v>
      </c>
      <c r="C177" s="99">
        <v>3753</v>
      </c>
      <c r="D177" s="99">
        <v>417</v>
      </c>
      <c r="E177" s="99">
        <f t="shared" si="20"/>
        <v>56.294999999999995</v>
      </c>
      <c r="F177" s="99">
        <f t="shared" si="21"/>
        <v>473.29500000000002</v>
      </c>
      <c r="G177" s="99"/>
      <c r="H177" s="99"/>
      <c r="I177" s="100"/>
      <c r="J177" s="101"/>
      <c r="L177" s="98" t="s">
        <v>33</v>
      </c>
      <c r="M177" s="99">
        <v>3753</v>
      </c>
      <c r="N177" s="99">
        <v>417</v>
      </c>
      <c r="O177" s="99">
        <f t="shared" si="22"/>
        <v>56.294999999999995</v>
      </c>
      <c r="P177" s="99">
        <f t="shared" si="23"/>
        <v>473.29500000000002</v>
      </c>
      <c r="Q177" s="99"/>
      <c r="R177" s="99"/>
      <c r="S177" s="100"/>
      <c r="T177" s="101"/>
    </row>
    <row r="178" spans="2:20" x14ac:dyDescent="0.3">
      <c r="B178" s="98" t="s">
        <v>34</v>
      </c>
      <c r="C178" s="99">
        <v>3336</v>
      </c>
      <c r="D178" s="95">
        <v>417</v>
      </c>
      <c r="E178" s="99">
        <f t="shared" si="20"/>
        <v>50.04</v>
      </c>
      <c r="F178" s="99">
        <f t="shared" si="21"/>
        <v>467.04</v>
      </c>
      <c r="G178" s="99"/>
      <c r="H178" s="99"/>
      <c r="I178" s="100"/>
      <c r="J178" s="101"/>
      <c r="L178" s="98" t="s">
        <v>34</v>
      </c>
      <c r="M178" s="99">
        <v>3336</v>
      </c>
      <c r="N178" s="95">
        <v>417</v>
      </c>
      <c r="O178" s="99">
        <f t="shared" si="22"/>
        <v>50.04</v>
      </c>
      <c r="P178" s="99">
        <f t="shared" si="23"/>
        <v>467.04</v>
      </c>
      <c r="Q178" s="99"/>
      <c r="R178" s="99"/>
      <c r="S178" s="100"/>
      <c r="T178" s="101"/>
    </row>
    <row r="179" spans="2:20" x14ac:dyDescent="0.3">
      <c r="B179" s="98" t="s">
        <v>35</v>
      </c>
      <c r="C179" s="99">
        <v>2919</v>
      </c>
      <c r="D179" s="99">
        <v>417</v>
      </c>
      <c r="E179" s="99">
        <f t="shared" si="20"/>
        <v>43.784999999999997</v>
      </c>
      <c r="F179" s="99">
        <f t="shared" si="21"/>
        <v>460.78499999999997</v>
      </c>
      <c r="G179" s="99"/>
      <c r="H179" s="99"/>
      <c r="I179" s="100"/>
      <c r="J179" s="101"/>
      <c r="L179" s="98" t="s">
        <v>35</v>
      </c>
      <c r="M179" s="99">
        <v>2919</v>
      </c>
      <c r="N179" s="99">
        <v>417</v>
      </c>
      <c r="O179" s="99">
        <f t="shared" si="22"/>
        <v>43.784999999999997</v>
      </c>
      <c r="P179" s="99">
        <f t="shared" si="23"/>
        <v>460.78499999999997</v>
      </c>
      <c r="Q179" s="99"/>
      <c r="R179" s="99"/>
      <c r="S179" s="100"/>
      <c r="T179" s="101"/>
    </row>
    <row r="180" spans="2:20" x14ac:dyDescent="0.3">
      <c r="B180" s="98" t="s">
        <v>36</v>
      </c>
      <c r="C180" s="99">
        <v>2502</v>
      </c>
      <c r="D180" s="99">
        <v>417</v>
      </c>
      <c r="E180" s="99">
        <f t="shared" si="20"/>
        <v>37.53</v>
      </c>
      <c r="F180" s="99">
        <f t="shared" si="21"/>
        <v>454.53</v>
      </c>
      <c r="G180" s="99"/>
      <c r="H180" s="99"/>
      <c r="I180" s="100"/>
      <c r="J180" s="101"/>
      <c r="L180" s="98" t="s">
        <v>36</v>
      </c>
      <c r="M180" s="99">
        <v>2502</v>
      </c>
      <c r="N180" s="99">
        <v>417</v>
      </c>
      <c r="O180" s="99">
        <f t="shared" si="22"/>
        <v>37.53</v>
      </c>
      <c r="P180" s="99">
        <f t="shared" si="23"/>
        <v>454.53</v>
      </c>
      <c r="Q180" s="99"/>
      <c r="R180" s="99"/>
      <c r="S180" s="100"/>
      <c r="T180" s="101"/>
    </row>
    <row r="181" spans="2:20" ht="15" thickBot="1" x14ac:dyDescent="0.35">
      <c r="B181" s="98" t="s">
        <v>37</v>
      </c>
      <c r="C181" s="99">
        <v>2085</v>
      </c>
      <c r="D181" s="99">
        <v>417</v>
      </c>
      <c r="E181" s="99">
        <f t="shared" si="20"/>
        <v>31.274999999999999</v>
      </c>
      <c r="F181" s="99">
        <f t="shared" si="21"/>
        <v>448.27499999999998</v>
      </c>
      <c r="G181" s="99"/>
      <c r="H181" s="99"/>
      <c r="I181" s="100"/>
      <c r="J181" s="101"/>
      <c r="L181" s="98" t="s">
        <v>37</v>
      </c>
      <c r="M181" s="99">
        <v>2085</v>
      </c>
      <c r="N181" s="99">
        <v>417</v>
      </c>
      <c r="O181" s="99">
        <f t="shared" si="22"/>
        <v>31.274999999999999</v>
      </c>
      <c r="P181" s="99">
        <f t="shared" si="23"/>
        <v>448.27499999999998</v>
      </c>
      <c r="Q181" s="99"/>
      <c r="R181" s="99"/>
      <c r="S181" s="100"/>
      <c r="T181" s="101"/>
    </row>
    <row r="182" spans="2:20" x14ac:dyDescent="0.3">
      <c r="B182" s="98" t="s">
        <v>38</v>
      </c>
      <c r="C182" s="99">
        <v>1668</v>
      </c>
      <c r="D182" s="95">
        <v>417</v>
      </c>
      <c r="E182" s="99">
        <f t="shared" si="20"/>
        <v>25.02</v>
      </c>
      <c r="F182" s="99">
        <f t="shared" si="21"/>
        <v>442.02</v>
      </c>
      <c r="G182" s="99"/>
      <c r="H182" s="99"/>
      <c r="I182" s="100"/>
      <c r="J182" s="101"/>
      <c r="L182" s="98" t="s">
        <v>38</v>
      </c>
      <c r="M182" s="99">
        <v>1668</v>
      </c>
      <c r="N182" s="95">
        <v>417</v>
      </c>
      <c r="O182" s="99">
        <f t="shared" si="22"/>
        <v>25.02</v>
      </c>
      <c r="P182" s="99">
        <f t="shared" si="23"/>
        <v>442.02</v>
      </c>
      <c r="Q182" s="99"/>
      <c r="R182" s="99"/>
      <c r="S182" s="100"/>
      <c r="T182" s="101"/>
    </row>
    <row r="183" spans="2:20" x14ac:dyDescent="0.3">
      <c r="B183" s="98" t="s">
        <v>39</v>
      </c>
      <c r="C183" s="99">
        <v>1251</v>
      </c>
      <c r="D183" s="99">
        <v>417</v>
      </c>
      <c r="E183" s="99">
        <f t="shared" si="20"/>
        <v>18.765000000000001</v>
      </c>
      <c r="F183" s="99">
        <f t="shared" si="21"/>
        <v>435.76499999999999</v>
      </c>
      <c r="G183" s="99"/>
      <c r="H183" s="99"/>
      <c r="I183" s="100"/>
      <c r="J183" s="101"/>
      <c r="L183" s="98" t="s">
        <v>39</v>
      </c>
      <c r="M183" s="99">
        <v>1251</v>
      </c>
      <c r="N183" s="99">
        <v>417</v>
      </c>
      <c r="O183" s="99">
        <f t="shared" si="22"/>
        <v>18.765000000000001</v>
      </c>
      <c r="P183" s="99">
        <f t="shared" si="23"/>
        <v>435.76499999999999</v>
      </c>
      <c r="Q183" s="99"/>
      <c r="R183" s="99"/>
      <c r="S183" s="100"/>
      <c r="T183" s="101"/>
    </row>
    <row r="184" spans="2:20" x14ac:dyDescent="0.3">
      <c r="B184" s="98" t="s">
        <v>40</v>
      </c>
      <c r="C184" s="99">
        <v>834</v>
      </c>
      <c r="D184" s="99">
        <v>417</v>
      </c>
      <c r="E184" s="99">
        <f t="shared" si="20"/>
        <v>12.51</v>
      </c>
      <c r="F184" s="99">
        <f t="shared" si="21"/>
        <v>429.51</v>
      </c>
      <c r="G184" s="99"/>
      <c r="H184" s="99"/>
      <c r="I184" s="100"/>
      <c r="J184" s="101"/>
      <c r="L184" s="98" t="s">
        <v>40</v>
      </c>
      <c r="M184" s="99">
        <v>834</v>
      </c>
      <c r="N184" s="99">
        <v>417</v>
      </c>
      <c r="O184" s="99">
        <f t="shared" si="22"/>
        <v>12.51</v>
      </c>
      <c r="P184" s="99">
        <f t="shared" si="23"/>
        <v>429.51</v>
      </c>
      <c r="Q184" s="99"/>
      <c r="R184" s="99"/>
      <c r="S184" s="100"/>
      <c r="T184" s="101"/>
    </row>
    <row r="185" spans="2:20" ht="15" thickBot="1" x14ac:dyDescent="0.35">
      <c r="B185" s="103" t="s">
        <v>41</v>
      </c>
      <c r="C185" s="102">
        <v>417</v>
      </c>
      <c r="D185" s="99">
        <v>417</v>
      </c>
      <c r="E185" s="102">
        <f t="shared" si="20"/>
        <v>6.2549999999999999</v>
      </c>
      <c r="F185" s="102">
        <f t="shared" si="21"/>
        <v>423.255</v>
      </c>
      <c r="G185" s="102"/>
      <c r="H185" s="102"/>
      <c r="I185" s="104"/>
      <c r="J185" s="105" t="s">
        <v>42</v>
      </c>
      <c r="L185" s="103" t="s">
        <v>41</v>
      </c>
      <c r="M185" s="102">
        <v>417</v>
      </c>
      <c r="N185" s="99">
        <v>417</v>
      </c>
      <c r="O185" s="102">
        <f t="shared" si="22"/>
        <v>6.2549999999999999</v>
      </c>
      <c r="P185" s="102">
        <f t="shared" si="23"/>
        <v>423.255</v>
      </c>
      <c r="Q185" s="102"/>
      <c r="R185" s="102"/>
      <c r="S185" s="104"/>
      <c r="T185" s="105" t="s">
        <v>42</v>
      </c>
    </row>
    <row r="188" spans="2:20" x14ac:dyDescent="0.3">
      <c r="B188" s="77" t="s">
        <v>0</v>
      </c>
      <c r="C188" s="77" t="s">
        <v>98</v>
      </c>
      <c r="D188" s="112"/>
      <c r="E188" s="112"/>
      <c r="F188" s="79"/>
      <c r="G188" s="80"/>
      <c r="I188" s="81" t="s">
        <v>1</v>
      </c>
      <c r="J188" s="82">
        <v>80000</v>
      </c>
      <c r="L188" s="77" t="s">
        <v>0</v>
      </c>
      <c r="M188" s="77" t="s">
        <v>98</v>
      </c>
      <c r="N188" s="112"/>
      <c r="O188" s="112"/>
      <c r="P188" s="79"/>
      <c r="Q188" s="80"/>
      <c r="S188" s="81" t="s">
        <v>1</v>
      </c>
      <c r="T188" s="82">
        <v>80000</v>
      </c>
    </row>
    <row r="189" spans="2:20" x14ac:dyDescent="0.3">
      <c r="B189" s="77" t="s">
        <v>2</v>
      </c>
      <c r="C189" s="83"/>
      <c r="D189" s="79"/>
      <c r="E189" s="83"/>
      <c r="F189" s="81"/>
      <c r="G189" s="81"/>
      <c r="H189" s="84"/>
      <c r="I189" s="81" t="s">
        <v>3</v>
      </c>
      <c r="J189" s="85" t="s">
        <v>312</v>
      </c>
      <c r="L189" s="77" t="s">
        <v>2</v>
      </c>
      <c r="M189" s="83"/>
      <c r="N189" s="79"/>
      <c r="O189" s="83"/>
      <c r="P189" s="81"/>
      <c r="Q189" s="81"/>
      <c r="R189" s="84"/>
      <c r="S189" s="81" t="s">
        <v>3</v>
      </c>
      <c r="T189" s="85" t="s">
        <v>312</v>
      </c>
    </row>
    <row r="190" spans="2:20" x14ac:dyDescent="0.3">
      <c r="B190" s="77" t="s">
        <v>4</v>
      </c>
      <c r="C190" s="78"/>
      <c r="D190" s="79"/>
      <c r="E190" s="78"/>
      <c r="F190" s="81"/>
      <c r="G190" s="81"/>
      <c r="H190" s="81"/>
      <c r="I190" s="81" t="s">
        <v>5</v>
      </c>
      <c r="J190" s="86">
        <v>1.4999999999999999E-2</v>
      </c>
      <c r="L190" s="77" t="s">
        <v>4</v>
      </c>
      <c r="M190" s="78"/>
      <c r="N190" s="79"/>
      <c r="O190" s="78"/>
      <c r="P190" s="81"/>
      <c r="Q190" s="81"/>
      <c r="R190" s="81"/>
      <c r="S190" s="81" t="s">
        <v>5</v>
      </c>
      <c r="T190" s="86">
        <v>1.4999999999999999E-2</v>
      </c>
    </row>
    <row r="191" spans="2:20" ht="15" thickBot="1" x14ac:dyDescent="0.35">
      <c r="B191" s="77" t="s">
        <v>6</v>
      </c>
      <c r="C191" s="87"/>
      <c r="D191" s="87"/>
      <c r="E191" s="88"/>
      <c r="F191" s="88"/>
      <c r="G191" s="88"/>
      <c r="H191" s="88"/>
      <c r="I191" s="88" t="s">
        <v>7</v>
      </c>
      <c r="J191" s="78">
        <v>24</v>
      </c>
      <c r="L191" s="77" t="s">
        <v>6</v>
      </c>
      <c r="M191" s="87"/>
      <c r="N191" s="87"/>
      <c r="O191" s="88"/>
      <c r="P191" s="88"/>
      <c r="Q191" s="88"/>
      <c r="R191" s="88"/>
      <c r="S191" s="88" t="s">
        <v>7</v>
      </c>
      <c r="T191" s="78">
        <v>24</v>
      </c>
    </row>
    <row r="192" spans="2:20" ht="41.4" thickBot="1" x14ac:dyDescent="0.35">
      <c r="B192" s="89" t="s">
        <v>8</v>
      </c>
      <c r="C192" s="89" t="s">
        <v>9</v>
      </c>
      <c r="D192" s="89" t="s">
        <v>10</v>
      </c>
      <c r="E192" s="90" t="s">
        <v>11</v>
      </c>
      <c r="F192" s="91" t="s">
        <v>12</v>
      </c>
      <c r="G192" s="92" t="s">
        <v>13</v>
      </c>
      <c r="H192" s="92" t="s">
        <v>14</v>
      </c>
      <c r="I192" s="92" t="s">
        <v>15</v>
      </c>
      <c r="J192" s="93" t="s">
        <v>16</v>
      </c>
      <c r="L192" s="89" t="s">
        <v>8</v>
      </c>
      <c r="M192" s="89" t="s">
        <v>9</v>
      </c>
      <c r="N192" s="89" t="s">
        <v>10</v>
      </c>
      <c r="O192" s="90" t="s">
        <v>11</v>
      </c>
      <c r="P192" s="91" t="s">
        <v>12</v>
      </c>
      <c r="Q192" s="92" t="s">
        <v>13</v>
      </c>
      <c r="R192" s="92" t="s">
        <v>14</v>
      </c>
      <c r="S192" s="92" t="s">
        <v>15</v>
      </c>
      <c r="T192" s="93" t="s">
        <v>16</v>
      </c>
    </row>
    <row r="193" spans="2:20" x14ac:dyDescent="0.3">
      <c r="B193" s="94" t="s">
        <v>17</v>
      </c>
      <c r="C193" s="95">
        <f>J188</f>
        <v>80000</v>
      </c>
      <c r="D193" s="95">
        <f>J188/J191</f>
        <v>3333.3333333333335</v>
      </c>
      <c r="E193" s="95">
        <f t="shared" ref="E193:E216" si="24">(C193*0.015)</f>
        <v>1200</v>
      </c>
      <c r="F193" s="95">
        <f t="shared" ref="F193:F216" si="25">SUM(D193:E193)</f>
        <v>4533.3333333333339</v>
      </c>
      <c r="G193" s="95"/>
      <c r="H193" s="95"/>
      <c r="I193" s="96"/>
      <c r="J193" s="97"/>
      <c r="L193" s="94" t="s">
        <v>17</v>
      </c>
      <c r="M193" s="95">
        <f>T188</f>
        <v>80000</v>
      </c>
      <c r="N193" s="95">
        <f>T188/T191</f>
        <v>3333.3333333333335</v>
      </c>
      <c r="O193" s="95">
        <f t="shared" ref="O193:O216" si="26">(M193*0.015)</f>
        <v>1200</v>
      </c>
      <c r="P193" s="95">
        <f t="shared" ref="P193:P216" si="27">SUM(N193:O193)</f>
        <v>4533.3333333333339</v>
      </c>
      <c r="Q193" s="95"/>
      <c r="R193" s="95"/>
      <c r="S193" s="96"/>
      <c r="T193" s="97"/>
    </row>
    <row r="194" spans="2:20" x14ac:dyDescent="0.3">
      <c r="B194" s="98" t="s">
        <v>18</v>
      </c>
      <c r="C194" s="99">
        <v>76659</v>
      </c>
      <c r="D194" s="99">
        <v>3333</v>
      </c>
      <c r="E194" s="99">
        <f t="shared" si="24"/>
        <v>1149.885</v>
      </c>
      <c r="F194" s="99">
        <f t="shared" si="25"/>
        <v>4482.8850000000002</v>
      </c>
      <c r="G194" s="99"/>
      <c r="H194" s="99"/>
      <c r="I194" s="100"/>
      <c r="J194" s="101"/>
      <c r="L194" s="98" t="s">
        <v>18</v>
      </c>
      <c r="M194" s="99">
        <v>76659</v>
      </c>
      <c r="N194" s="99">
        <v>3333</v>
      </c>
      <c r="O194" s="99">
        <f t="shared" si="26"/>
        <v>1149.885</v>
      </c>
      <c r="P194" s="99">
        <f t="shared" si="27"/>
        <v>4482.8850000000002</v>
      </c>
      <c r="Q194" s="99"/>
      <c r="R194" s="99"/>
      <c r="S194" s="100"/>
      <c r="T194" s="101"/>
    </row>
    <row r="195" spans="2:20" x14ac:dyDescent="0.3">
      <c r="B195" s="98" t="s">
        <v>19</v>
      </c>
      <c r="C195" s="99">
        <v>73326</v>
      </c>
      <c r="D195" s="99">
        <v>3333</v>
      </c>
      <c r="E195" s="99">
        <f t="shared" si="24"/>
        <v>1099.8899999999999</v>
      </c>
      <c r="F195" s="99">
        <f t="shared" si="25"/>
        <v>4432.8899999999994</v>
      </c>
      <c r="G195" s="99"/>
      <c r="H195" s="99"/>
      <c r="I195" s="100"/>
      <c r="J195" s="101"/>
      <c r="L195" s="98" t="s">
        <v>19</v>
      </c>
      <c r="M195" s="99">
        <v>73326</v>
      </c>
      <c r="N195" s="99">
        <v>3333</v>
      </c>
      <c r="O195" s="99">
        <f t="shared" si="26"/>
        <v>1099.8899999999999</v>
      </c>
      <c r="P195" s="99">
        <f t="shared" si="27"/>
        <v>4432.8899999999994</v>
      </c>
      <c r="Q195" s="99"/>
      <c r="R195" s="99"/>
      <c r="S195" s="100"/>
      <c r="T195" s="101"/>
    </row>
    <row r="196" spans="2:20" ht="15" thickBot="1" x14ac:dyDescent="0.35">
      <c r="B196" s="98" t="s">
        <v>20</v>
      </c>
      <c r="C196" s="99">
        <v>69993</v>
      </c>
      <c r="D196" s="99">
        <v>3333</v>
      </c>
      <c r="E196" s="99">
        <f t="shared" si="24"/>
        <v>1049.895</v>
      </c>
      <c r="F196" s="99">
        <f t="shared" si="25"/>
        <v>4382.8950000000004</v>
      </c>
      <c r="G196" s="99"/>
      <c r="H196" s="99"/>
      <c r="I196" s="100"/>
      <c r="J196" s="101"/>
      <c r="L196" s="98" t="s">
        <v>20</v>
      </c>
      <c r="M196" s="99">
        <v>69993</v>
      </c>
      <c r="N196" s="99">
        <v>3333</v>
      </c>
      <c r="O196" s="99">
        <f t="shared" si="26"/>
        <v>1049.895</v>
      </c>
      <c r="P196" s="99">
        <f t="shared" si="27"/>
        <v>4382.8950000000004</v>
      </c>
      <c r="Q196" s="99"/>
      <c r="R196" s="99"/>
      <c r="S196" s="100"/>
      <c r="T196" s="101"/>
    </row>
    <row r="197" spans="2:20" ht="15" thickBot="1" x14ac:dyDescent="0.35">
      <c r="B197" s="98" t="s">
        <v>21</v>
      </c>
      <c r="C197" s="99">
        <v>66660</v>
      </c>
      <c r="D197" s="95">
        <v>3333</v>
      </c>
      <c r="E197" s="99">
        <f t="shared" si="24"/>
        <v>999.9</v>
      </c>
      <c r="F197" s="99">
        <f t="shared" si="25"/>
        <v>4332.8999999999996</v>
      </c>
      <c r="G197" s="99"/>
      <c r="H197" s="99"/>
      <c r="I197" s="100"/>
      <c r="J197" s="101"/>
      <c r="L197" s="98" t="s">
        <v>21</v>
      </c>
      <c r="M197" s="99">
        <v>66660</v>
      </c>
      <c r="N197" s="95">
        <v>3333</v>
      </c>
      <c r="O197" s="99">
        <f t="shared" si="26"/>
        <v>999.9</v>
      </c>
      <c r="P197" s="99">
        <f t="shared" si="27"/>
        <v>4332.8999999999996</v>
      </c>
      <c r="Q197" s="99"/>
      <c r="R197" s="99"/>
      <c r="S197" s="100"/>
      <c r="T197" s="101"/>
    </row>
    <row r="198" spans="2:20" x14ac:dyDescent="0.3">
      <c r="B198" s="98" t="s">
        <v>23</v>
      </c>
      <c r="C198" s="99">
        <v>63627</v>
      </c>
      <c r="D198" s="95">
        <v>333</v>
      </c>
      <c r="E198" s="99">
        <f t="shared" si="24"/>
        <v>954.40499999999997</v>
      </c>
      <c r="F198" s="99">
        <f t="shared" si="25"/>
        <v>1287.405</v>
      </c>
      <c r="G198" s="99"/>
      <c r="H198" s="99"/>
      <c r="I198" s="100"/>
      <c r="J198" s="101"/>
      <c r="L198" s="98" t="s">
        <v>23</v>
      </c>
      <c r="M198" s="99">
        <v>63627</v>
      </c>
      <c r="N198" s="95">
        <v>333</v>
      </c>
      <c r="O198" s="99">
        <f t="shared" si="26"/>
        <v>954.40499999999997</v>
      </c>
      <c r="P198" s="99">
        <f t="shared" si="27"/>
        <v>1287.405</v>
      </c>
      <c r="Q198" s="99"/>
      <c r="R198" s="99"/>
      <c r="S198" s="100"/>
      <c r="T198" s="101"/>
    </row>
    <row r="199" spans="2:20" x14ac:dyDescent="0.3">
      <c r="B199" s="98" t="s">
        <v>24</v>
      </c>
      <c r="C199" s="99">
        <v>59994</v>
      </c>
      <c r="D199" s="99">
        <v>3333</v>
      </c>
      <c r="E199" s="99">
        <f t="shared" si="24"/>
        <v>899.91</v>
      </c>
      <c r="F199" s="99">
        <f t="shared" si="25"/>
        <v>4232.91</v>
      </c>
      <c r="G199" s="99"/>
      <c r="H199" s="99"/>
      <c r="I199" s="100"/>
      <c r="J199" s="101"/>
      <c r="L199" s="98" t="s">
        <v>24</v>
      </c>
      <c r="M199" s="99">
        <v>59994</v>
      </c>
      <c r="N199" s="99">
        <v>3333</v>
      </c>
      <c r="O199" s="99">
        <f t="shared" si="26"/>
        <v>899.91</v>
      </c>
      <c r="P199" s="99">
        <f t="shared" si="27"/>
        <v>4232.91</v>
      </c>
      <c r="Q199" s="99"/>
      <c r="R199" s="99"/>
      <c r="S199" s="100"/>
      <c r="T199" s="101"/>
    </row>
    <row r="200" spans="2:20" x14ac:dyDescent="0.3">
      <c r="B200" s="98" t="s">
        <v>25</v>
      </c>
      <c r="C200" s="99">
        <v>56661</v>
      </c>
      <c r="D200" s="99">
        <v>3333</v>
      </c>
      <c r="E200" s="99">
        <f t="shared" si="24"/>
        <v>849.91499999999996</v>
      </c>
      <c r="F200" s="99">
        <f t="shared" si="25"/>
        <v>4182.915</v>
      </c>
      <c r="G200" s="99"/>
      <c r="H200" s="99"/>
      <c r="I200" s="100"/>
      <c r="J200" s="101"/>
      <c r="L200" s="98" t="s">
        <v>25</v>
      </c>
      <c r="M200" s="99">
        <v>56661</v>
      </c>
      <c r="N200" s="99">
        <v>3333</v>
      </c>
      <c r="O200" s="99">
        <f t="shared" si="26"/>
        <v>849.91499999999996</v>
      </c>
      <c r="P200" s="99">
        <f t="shared" si="27"/>
        <v>4182.915</v>
      </c>
      <c r="Q200" s="99"/>
      <c r="R200" s="99"/>
      <c r="S200" s="100"/>
      <c r="T200" s="101"/>
    </row>
    <row r="201" spans="2:20" ht="15" thickBot="1" x14ac:dyDescent="0.35">
      <c r="B201" s="98" t="s">
        <v>26</v>
      </c>
      <c r="C201" s="99">
        <v>53328</v>
      </c>
      <c r="D201" s="99">
        <v>3333</v>
      </c>
      <c r="E201" s="99">
        <f t="shared" si="24"/>
        <v>799.92</v>
      </c>
      <c r="F201" s="99">
        <f t="shared" si="25"/>
        <v>4132.92</v>
      </c>
      <c r="G201" s="99"/>
      <c r="H201" s="99"/>
      <c r="I201" s="100"/>
      <c r="J201" s="101"/>
      <c r="L201" s="98" t="s">
        <v>26</v>
      </c>
      <c r="M201" s="99">
        <v>53328</v>
      </c>
      <c r="N201" s="99">
        <v>3333</v>
      </c>
      <c r="O201" s="99">
        <f t="shared" si="26"/>
        <v>799.92</v>
      </c>
      <c r="P201" s="99">
        <f t="shared" si="27"/>
        <v>4132.92</v>
      </c>
      <c r="Q201" s="99"/>
      <c r="R201" s="99"/>
      <c r="S201" s="100"/>
      <c r="T201" s="101"/>
    </row>
    <row r="202" spans="2:20" x14ac:dyDescent="0.3">
      <c r="B202" s="98" t="s">
        <v>27</v>
      </c>
      <c r="C202" s="99">
        <v>49995</v>
      </c>
      <c r="D202" s="95">
        <v>3333</v>
      </c>
      <c r="E202" s="99">
        <f t="shared" si="24"/>
        <v>749.92499999999995</v>
      </c>
      <c r="F202" s="99">
        <f t="shared" si="25"/>
        <v>4082.9250000000002</v>
      </c>
      <c r="G202" s="99"/>
      <c r="H202" s="99"/>
      <c r="I202" s="100"/>
      <c r="J202" s="101"/>
      <c r="L202" s="98" t="s">
        <v>27</v>
      </c>
      <c r="M202" s="99">
        <v>49995</v>
      </c>
      <c r="N202" s="95">
        <v>3333</v>
      </c>
      <c r="O202" s="99">
        <f t="shared" si="26"/>
        <v>749.92499999999995</v>
      </c>
      <c r="P202" s="99">
        <f t="shared" si="27"/>
        <v>4082.9250000000002</v>
      </c>
      <c r="Q202" s="99"/>
      <c r="R202" s="99"/>
      <c r="S202" s="100"/>
      <c r="T202" s="101"/>
    </row>
    <row r="203" spans="2:20" x14ac:dyDescent="0.3">
      <c r="B203" s="98" t="s">
        <v>28</v>
      </c>
      <c r="C203" s="99">
        <v>46662</v>
      </c>
      <c r="D203" s="99">
        <v>3333</v>
      </c>
      <c r="E203" s="99">
        <f t="shared" si="24"/>
        <v>699.93</v>
      </c>
      <c r="F203" s="99">
        <f t="shared" si="25"/>
        <v>4032.93</v>
      </c>
      <c r="G203" s="99"/>
      <c r="H203" s="99"/>
      <c r="I203" s="100"/>
      <c r="J203" s="101"/>
      <c r="L203" s="98" t="s">
        <v>28</v>
      </c>
      <c r="M203" s="99">
        <v>46662</v>
      </c>
      <c r="N203" s="99">
        <v>3333</v>
      </c>
      <c r="O203" s="99">
        <f t="shared" si="26"/>
        <v>699.93</v>
      </c>
      <c r="P203" s="99">
        <f t="shared" si="27"/>
        <v>4032.93</v>
      </c>
      <c r="Q203" s="99"/>
      <c r="R203" s="99"/>
      <c r="S203" s="100"/>
      <c r="T203" s="101"/>
    </row>
    <row r="204" spans="2:20" x14ac:dyDescent="0.3">
      <c r="B204" s="98" t="s">
        <v>29</v>
      </c>
      <c r="C204" s="99">
        <v>43329</v>
      </c>
      <c r="D204" s="99">
        <v>3333</v>
      </c>
      <c r="E204" s="99">
        <f t="shared" si="24"/>
        <v>649.93499999999995</v>
      </c>
      <c r="F204" s="99">
        <f t="shared" si="25"/>
        <v>3982.9349999999999</v>
      </c>
      <c r="G204" s="99"/>
      <c r="H204" s="99"/>
      <c r="I204" s="100"/>
      <c r="J204" s="101"/>
      <c r="L204" s="98" t="s">
        <v>29</v>
      </c>
      <c r="M204" s="99">
        <v>43329</v>
      </c>
      <c r="N204" s="99">
        <v>3333</v>
      </c>
      <c r="O204" s="99">
        <f t="shared" si="26"/>
        <v>649.93499999999995</v>
      </c>
      <c r="P204" s="99">
        <f t="shared" si="27"/>
        <v>3982.9349999999999</v>
      </c>
      <c r="Q204" s="99"/>
      <c r="R204" s="99"/>
      <c r="S204" s="100"/>
      <c r="T204" s="101"/>
    </row>
    <row r="205" spans="2:20" ht="15" thickBot="1" x14ac:dyDescent="0.35">
      <c r="B205" s="98" t="s">
        <v>30</v>
      </c>
      <c r="C205" s="99">
        <v>39996</v>
      </c>
      <c r="D205" s="99">
        <v>3333</v>
      </c>
      <c r="E205" s="99">
        <f t="shared" si="24"/>
        <v>599.93999999999994</v>
      </c>
      <c r="F205" s="99">
        <f t="shared" si="25"/>
        <v>3932.94</v>
      </c>
      <c r="G205" s="99"/>
      <c r="H205" s="99"/>
      <c r="I205" s="100"/>
      <c r="J205" s="101"/>
      <c r="L205" s="98" t="s">
        <v>30</v>
      </c>
      <c r="M205" s="99">
        <v>39996</v>
      </c>
      <c r="N205" s="99">
        <v>3333</v>
      </c>
      <c r="O205" s="99">
        <f t="shared" si="26"/>
        <v>599.93999999999994</v>
      </c>
      <c r="P205" s="99">
        <f t="shared" si="27"/>
        <v>3932.94</v>
      </c>
      <c r="Q205" s="99"/>
      <c r="R205" s="99"/>
      <c r="S205" s="100"/>
      <c r="T205" s="101"/>
    </row>
    <row r="206" spans="2:20" x14ac:dyDescent="0.3">
      <c r="B206" s="98" t="s">
        <v>31</v>
      </c>
      <c r="C206" s="99">
        <v>36663</v>
      </c>
      <c r="D206" s="95">
        <v>3333</v>
      </c>
      <c r="E206" s="99">
        <f t="shared" si="24"/>
        <v>549.94499999999994</v>
      </c>
      <c r="F206" s="99">
        <f t="shared" si="25"/>
        <v>3882.9449999999997</v>
      </c>
      <c r="G206" s="99"/>
      <c r="H206" s="99"/>
      <c r="I206" s="100"/>
      <c r="J206" s="101"/>
      <c r="L206" s="98" t="s">
        <v>31</v>
      </c>
      <c r="M206" s="99">
        <v>36663</v>
      </c>
      <c r="N206" s="95">
        <v>3333</v>
      </c>
      <c r="O206" s="99">
        <f t="shared" si="26"/>
        <v>549.94499999999994</v>
      </c>
      <c r="P206" s="99">
        <f t="shared" si="27"/>
        <v>3882.9449999999997</v>
      </c>
      <c r="Q206" s="99"/>
      <c r="R206" s="99"/>
      <c r="S206" s="100"/>
      <c r="T206" s="101"/>
    </row>
    <row r="207" spans="2:20" x14ac:dyDescent="0.3">
      <c r="B207" s="98" t="s">
        <v>32</v>
      </c>
      <c r="C207" s="99">
        <v>33330</v>
      </c>
      <c r="D207" s="99">
        <v>3333</v>
      </c>
      <c r="E207" s="99">
        <f t="shared" si="24"/>
        <v>499.95</v>
      </c>
      <c r="F207" s="99">
        <f t="shared" si="25"/>
        <v>3832.95</v>
      </c>
      <c r="G207" s="99"/>
      <c r="H207" s="99"/>
      <c r="I207" s="100"/>
      <c r="J207" s="101"/>
      <c r="L207" s="98" t="s">
        <v>32</v>
      </c>
      <c r="M207" s="99">
        <v>33330</v>
      </c>
      <c r="N207" s="99">
        <v>3333</v>
      </c>
      <c r="O207" s="99">
        <f t="shared" si="26"/>
        <v>499.95</v>
      </c>
      <c r="P207" s="99">
        <f t="shared" si="27"/>
        <v>3832.95</v>
      </c>
      <c r="Q207" s="99"/>
      <c r="R207" s="99"/>
      <c r="S207" s="100"/>
      <c r="T207" s="101"/>
    </row>
    <row r="208" spans="2:20" x14ac:dyDescent="0.3">
      <c r="B208" s="98" t="s">
        <v>33</v>
      </c>
      <c r="C208" s="99">
        <v>29997</v>
      </c>
      <c r="D208" s="99">
        <v>3333</v>
      </c>
      <c r="E208" s="99">
        <f t="shared" si="24"/>
        <v>449.95499999999998</v>
      </c>
      <c r="F208" s="99">
        <f t="shared" si="25"/>
        <v>3782.9549999999999</v>
      </c>
      <c r="G208" s="99"/>
      <c r="H208" s="99"/>
      <c r="I208" s="100"/>
      <c r="J208" s="101"/>
      <c r="L208" s="98" t="s">
        <v>33</v>
      </c>
      <c r="M208" s="99">
        <v>29997</v>
      </c>
      <c r="N208" s="99">
        <v>3333</v>
      </c>
      <c r="O208" s="99">
        <f t="shared" si="26"/>
        <v>449.95499999999998</v>
      </c>
      <c r="P208" s="99">
        <f t="shared" si="27"/>
        <v>3782.9549999999999</v>
      </c>
      <c r="Q208" s="99"/>
      <c r="R208" s="99"/>
      <c r="S208" s="100"/>
      <c r="T208" s="101"/>
    </row>
    <row r="209" spans="2:20" x14ac:dyDescent="0.3">
      <c r="B209" s="98" t="s">
        <v>34</v>
      </c>
      <c r="C209" s="99">
        <v>26664</v>
      </c>
      <c r="D209" s="99">
        <v>3333</v>
      </c>
      <c r="E209" s="99">
        <f t="shared" si="24"/>
        <v>399.96</v>
      </c>
      <c r="F209" s="99">
        <f t="shared" si="25"/>
        <v>3732.96</v>
      </c>
      <c r="G209" s="99"/>
      <c r="H209" s="99"/>
      <c r="I209" s="100"/>
      <c r="J209" s="101"/>
      <c r="L209" s="98" t="s">
        <v>34</v>
      </c>
      <c r="M209" s="99">
        <v>26664</v>
      </c>
      <c r="N209" s="99">
        <v>3333</v>
      </c>
      <c r="O209" s="99">
        <f t="shared" si="26"/>
        <v>399.96</v>
      </c>
      <c r="P209" s="99">
        <f t="shared" si="27"/>
        <v>3732.96</v>
      </c>
      <c r="Q209" s="99"/>
      <c r="R209" s="99"/>
      <c r="S209" s="100"/>
      <c r="T209" s="101"/>
    </row>
    <row r="210" spans="2:20" ht="15" thickBot="1" x14ac:dyDescent="0.35">
      <c r="B210" s="98" t="s">
        <v>35</v>
      </c>
      <c r="C210" s="99">
        <v>23331</v>
      </c>
      <c r="D210" s="99">
        <v>3333</v>
      </c>
      <c r="E210" s="99">
        <f t="shared" si="24"/>
        <v>349.96499999999997</v>
      </c>
      <c r="F210" s="99">
        <f t="shared" si="25"/>
        <v>3682.9650000000001</v>
      </c>
      <c r="G210" s="99"/>
      <c r="H210" s="99"/>
      <c r="I210" s="100"/>
      <c r="J210" s="101"/>
      <c r="L210" s="98" t="s">
        <v>35</v>
      </c>
      <c r="M210" s="99">
        <v>23331</v>
      </c>
      <c r="N210" s="99">
        <v>3333</v>
      </c>
      <c r="O210" s="99">
        <f t="shared" si="26"/>
        <v>349.96499999999997</v>
      </c>
      <c r="P210" s="99">
        <f t="shared" si="27"/>
        <v>3682.9650000000001</v>
      </c>
      <c r="Q210" s="99"/>
      <c r="R210" s="99"/>
      <c r="S210" s="100"/>
      <c r="T210" s="101"/>
    </row>
    <row r="211" spans="2:20" x14ac:dyDescent="0.3">
      <c r="B211" s="98" t="s">
        <v>36</v>
      </c>
      <c r="C211" s="99">
        <v>19998</v>
      </c>
      <c r="D211" s="95">
        <v>3333</v>
      </c>
      <c r="E211" s="99">
        <f t="shared" si="24"/>
        <v>299.96999999999997</v>
      </c>
      <c r="F211" s="99">
        <f t="shared" si="25"/>
        <v>3632.97</v>
      </c>
      <c r="G211" s="99"/>
      <c r="H211" s="99"/>
      <c r="I211" s="100"/>
      <c r="J211" s="101"/>
      <c r="L211" s="98" t="s">
        <v>36</v>
      </c>
      <c r="M211" s="99">
        <v>19998</v>
      </c>
      <c r="N211" s="95">
        <v>3333</v>
      </c>
      <c r="O211" s="99">
        <f t="shared" si="26"/>
        <v>299.96999999999997</v>
      </c>
      <c r="P211" s="99">
        <f t="shared" si="27"/>
        <v>3632.97</v>
      </c>
      <c r="Q211" s="99"/>
      <c r="R211" s="99"/>
      <c r="S211" s="100"/>
      <c r="T211" s="101"/>
    </row>
    <row r="212" spans="2:20" x14ac:dyDescent="0.3">
      <c r="B212" s="98" t="s">
        <v>37</v>
      </c>
      <c r="C212" s="99">
        <v>16665</v>
      </c>
      <c r="D212" s="99">
        <v>3333</v>
      </c>
      <c r="E212" s="99">
        <f t="shared" si="24"/>
        <v>249.97499999999999</v>
      </c>
      <c r="F212" s="99">
        <f t="shared" si="25"/>
        <v>3582.9749999999999</v>
      </c>
      <c r="G212" s="99"/>
      <c r="H212" s="99"/>
      <c r="I212" s="100"/>
      <c r="J212" s="101"/>
      <c r="L212" s="98" t="s">
        <v>37</v>
      </c>
      <c r="M212" s="99">
        <v>16665</v>
      </c>
      <c r="N212" s="99">
        <v>3333</v>
      </c>
      <c r="O212" s="99">
        <f t="shared" si="26"/>
        <v>249.97499999999999</v>
      </c>
      <c r="P212" s="99">
        <f t="shared" si="27"/>
        <v>3582.9749999999999</v>
      </c>
      <c r="Q212" s="99"/>
      <c r="R212" s="99"/>
      <c r="S212" s="100"/>
      <c r="T212" s="101"/>
    </row>
    <row r="213" spans="2:20" x14ac:dyDescent="0.3">
      <c r="B213" s="98" t="s">
        <v>38</v>
      </c>
      <c r="C213" s="99">
        <v>13332</v>
      </c>
      <c r="D213" s="99">
        <v>3333</v>
      </c>
      <c r="E213" s="99">
        <f t="shared" si="24"/>
        <v>199.98</v>
      </c>
      <c r="F213" s="99">
        <f t="shared" si="25"/>
        <v>3532.98</v>
      </c>
      <c r="G213" s="99"/>
      <c r="H213" s="99"/>
      <c r="I213" s="100"/>
      <c r="J213" s="101"/>
      <c r="L213" s="98" t="s">
        <v>38</v>
      </c>
      <c r="M213" s="99">
        <v>13332</v>
      </c>
      <c r="N213" s="99">
        <v>3333</v>
      </c>
      <c r="O213" s="99">
        <f t="shared" si="26"/>
        <v>199.98</v>
      </c>
      <c r="P213" s="99">
        <f t="shared" si="27"/>
        <v>3532.98</v>
      </c>
      <c r="Q213" s="99"/>
      <c r="R213" s="99"/>
      <c r="S213" s="100"/>
      <c r="T213" s="101"/>
    </row>
    <row r="214" spans="2:20" x14ac:dyDescent="0.3">
      <c r="B214" s="98" t="s">
        <v>39</v>
      </c>
      <c r="C214" s="99">
        <v>9999</v>
      </c>
      <c r="D214" s="99">
        <v>3333</v>
      </c>
      <c r="E214" s="99">
        <f t="shared" si="24"/>
        <v>149.98499999999999</v>
      </c>
      <c r="F214" s="99">
        <f t="shared" si="25"/>
        <v>3482.9850000000001</v>
      </c>
      <c r="G214" s="99"/>
      <c r="H214" s="99"/>
      <c r="I214" s="100"/>
      <c r="J214" s="101"/>
      <c r="L214" s="98" t="s">
        <v>39</v>
      </c>
      <c r="M214" s="99">
        <v>9999</v>
      </c>
      <c r="N214" s="99">
        <v>3333</v>
      </c>
      <c r="O214" s="99">
        <f t="shared" si="26"/>
        <v>149.98499999999999</v>
      </c>
      <c r="P214" s="99">
        <f t="shared" si="27"/>
        <v>3482.9850000000001</v>
      </c>
      <c r="Q214" s="99"/>
      <c r="R214" s="99"/>
      <c r="S214" s="100"/>
      <c r="T214" s="101"/>
    </row>
    <row r="215" spans="2:20" x14ac:dyDescent="0.3">
      <c r="B215" s="98" t="s">
        <v>40</v>
      </c>
      <c r="C215" s="99">
        <v>6666</v>
      </c>
      <c r="D215" s="99">
        <v>3333</v>
      </c>
      <c r="E215" s="99">
        <f t="shared" si="24"/>
        <v>99.99</v>
      </c>
      <c r="F215" s="99">
        <f t="shared" si="25"/>
        <v>3432.99</v>
      </c>
      <c r="G215" s="99"/>
      <c r="H215" s="99"/>
      <c r="I215" s="100"/>
      <c r="J215" s="101"/>
      <c r="L215" s="98" t="s">
        <v>40</v>
      </c>
      <c r="M215" s="99">
        <v>6666</v>
      </c>
      <c r="N215" s="99">
        <v>3333</v>
      </c>
      <c r="O215" s="99">
        <f t="shared" si="26"/>
        <v>99.99</v>
      </c>
      <c r="P215" s="99">
        <f t="shared" si="27"/>
        <v>3432.99</v>
      </c>
      <c r="Q215" s="99"/>
      <c r="R215" s="99"/>
      <c r="S215" s="100"/>
      <c r="T215" s="101"/>
    </row>
    <row r="216" spans="2:20" ht="15" thickBot="1" x14ac:dyDescent="0.35">
      <c r="B216" s="103" t="s">
        <v>41</v>
      </c>
      <c r="C216" s="102">
        <v>3333</v>
      </c>
      <c r="D216" s="99">
        <v>3333</v>
      </c>
      <c r="E216" s="102">
        <f t="shared" si="24"/>
        <v>49.994999999999997</v>
      </c>
      <c r="F216" s="102">
        <f t="shared" si="25"/>
        <v>3382.9949999999999</v>
      </c>
      <c r="G216" s="102"/>
      <c r="H216" s="102"/>
      <c r="I216" s="104"/>
      <c r="J216" s="105" t="s">
        <v>42</v>
      </c>
      <c r="L216" s="103" t="s">
        <v>41</v>
      </c>
      <c r="M216" s="102">
        <v>3333</v>
      </c>
      <c r="N216" s="99">
        <v>3333</v>
      </c>
      <c r="O216" s="102">
        <f t="shared" si="26"/>
        <v>49.994999999999997</v>
      </c>
      <c r="P216" s="102">
        <f t="shared" si="27"/>
        <v>3382.9949999999999</v>
      </c>
      <c r="Q216" s="102"/>
      <c r="R216" s="102"/>
      <c r="S216" s="104"/>
      <c r="T216" s="105" t="s">
        <v>42</v>
      </c>
    </row>
    <row r="219" spans="2:20" x14ac:dyDescent="0.3">
      <c r="B219" s="77" t="s">
        <v>0</v>
      </c>
      <c r="C219" s="77" t="s">
        <v>170</v>
      </c>
      <c r="D219" s="112"/>
      <c r="E219" s="112"/>
      <c r="F219" s="79"/>
      <c r="G219" s="80"/>
      <c r="I219" s="81" t="s">
        <v>1</v>
      </c>
      <c r="J219" s="82">
        <v>50000</v>
      </c>
      <c r="L219" s="77" t="s">
        <v>0</v>
      </c>
      <c r="M219" s="77" t="s">
        <v>170</v>
      </c>
      <c r="N219" s="112"/>
      <c r="O219" s="112"/>
      <c r="P219" s="79"/>
      <c r="Q219" s="80"/>
      <c r="S219" s="81" t="s">
        <v>1</v>
      </c>
      <c r="T219" s="82">
        <v>50000</v>
      </c>
    </row>
    <row r="220" spans="2:20" x14ac:dyDescent="0.3">
      <c r="B220" s="77" t="s">
        <v>2</v>
      </c>
      <c r="C220" s="83"/>
      <c r="D220" s="79"/>
      <c r="E220" s="83"/>
      <c r="F220" s="81"/>
      <c r="G220" s="81"/>
      <c r="H220" s="84"/>
      <c r="I220" s="81" t="s">
        <v>3</v>
      </c>
      <c r="J220" s="85" t="s">
        <v>243</v>
      </c>
      <c r="L220" s="77" t="s">
        <v>2</v>
      </c>
      <c r="M220" s="83"/>
      <c r="N220" s="79"/>
      <c r="O220" s="83"/>
      <c r="P220" s="81"/>
      <c r="Q220" s="81"/>
      <c r="R220" s="84"/>
      <c r="S220" s="81" t="s">
        <v>3</v>
      </c>
      <c r="T220" s="85" t="s">
        <v>243</v>
      </c>
    </row>
    <row r="221" spans="2:20" x14ac:dyDescent="0.3">
      <c r="B221" s="77" t="s">
        <v>4</v>
      </c>
      <c r="C221" s="78"/>
      <c r="D221" s="79"/>
      <c r="E221" s="78"/>
      <c r="F221" s="81"/>
      <c r="G221" s="81"/>
      <c r="H221" s="81"/>
      <c r="I221" s="81" t="s">
        <v>5</v>
      </c>
      <c r="J221" s="86">
        <v>1.4999999999999999E-2</v>
      </c>
      <c r="L221" s="77" t="s">
        <v>4</v>
      </c>
      <c r="M221" s="78"/>
      <c r="N221" s="79"/>
      <c r="O221" s="78"/>
      <c r="P221" s="81"/>
      <c r="Q221" s="81"/>
      <c r="R221" s="81"/>
      <c r="S221" s="81" t="s">
        <v>5</v>
      </c>
      <c r="T221" s="86">
        <v>1.4999999999999999E-2</v>
      </c>
    </row>
    <row r="222" spans="2:20" ht="15" thickBot="1" x14ac:dyDescent="0.35">
      <c r="B222" s="77" t="s">
        <v>6</v>
      </c>
      <c r="C222" s="87"/>
      <c r="D222" s="87"/>
      <c r="E222" s="88"/>
      <c r="F222" s="88"/>
      <c r="G222" s="88"/>
      <c r="H222" s="88"/>
      <c r="I222" s="88" t="s">
        <v>7</v>
      </c>
      <c r="J222" s="78">
        <v>24</v>
      </c>
      <c r="L222" s="77" t="s">
        <v>6</v>
      </c>
      <c r="M222" s="87"/>
      <c r="N222" s="87"/>
      <c r="O222" s="88"/>
      <c r="P222" s="88"/>
      <c r="Q222" s="88"/>
      <c r="R222" s="88"/>
      <c r="S222" s="88" t="s">
        <v>7</v>
      </c>
      <c r="T222" s="78">
        <v>24</v>
      </c>
    </row>
    <row r="223" spans="2:20" ht="41.4" thickBot="1" x14ac:dyDescent="0.35">
      <c r="B223" s="89" t="s">
        <v>8</v>
      </c>
      <c r="C223" s="89" t="s">
        <v>9</v>
      </c>
      <c r="D223" s="89" t="s">
        <v>10</v>
      </c>
      <c r="E223" s="90" t="s">
        <v>11</v>
      </c>
      <c r="F223" s="91" t="s">
        <v>12</v>
      </c>
      <c r="G223" s="92" t="s">
        <v>13</v>
      </c>
      <c r="H223" s="92" t="s">
        <v>14</v>
      </c>
      <c r="I223" s="92" t="s">
        <v>15</v>
      </c>
      <c r="J223" s="93" t="s">
        <v>16</v>
      </c>
      <c r="L223" s="89" t="s">
        <v>8</v>
      </c>
      <c r="M223" s="89" t="s">
        <v>9</v>
      </c>
      <c r="N223" s="89" t="s">
        <v>10</v>
      </c>
      <c r="O223" s="90" t="s">
        <v>11</v>
      </c>
      <c r="P223" s="91" t="s">
        <v>12</v>
      </c>
      <c r="Q223" s="92" t="s">
        <v>13</v>
      </c>
      <c r="R223" s="92" t="s">
        <v>14</v>
      </c>
      <c r="S223" s="92" t="s">
        <v>15</v>
      </c>
      <c r="T223" s="93" t="s">
        <v>16</v>
      </c>
    </row>
    <row r="224" spans="2:20" x14ac:dyDescent="0.3">
      <c r="B224" s="94" t="s">
        <v>17</v>
      </c>
      <c r="C224" s="95">
        <f>J219</f>
        <v>50000</v>
      </c>
      <c r="D224" s="95">
        <f>J219/J222</f>
        <v>2083.3333333333335</v>
      </c>
      <c r="E224" s="95">
        <f t="shared" ref="E224:E247" si="28">(C224*0.015)</f>
        <v>750</v>
      </c>
      <c r="F224" s="95">
        <f t="shared" ref="F224:F247" si="29">SUM(D224:E224)</f>
        <v>2833.3333333333335</v>
      </c>
      <c r="G224" s="95"/>
      <c r="H224" s="95"/>
      <c r="I224" s="96"/>
      <c r="J224" s="97"/>
      <c r="L224" s="94" t="s">
        <v>17</v>
      </c>
      <c r="M224" s="95">
        <f>T219</f>
        <v>50000</v>
      </c>
      <c r="N224" s="95">
        <f>T219/T222</f>
        <v>2083.3333333333335</v>
      </c>
      <c r="O224" s="95">
        <f t="shared" ref="O224:O247" si="30">(M224*0.015)</f>
        <v>750</v>
      </c>
      <c r="P224" s="95">
        <f t="shared" ref="P224:P247" si="31">SUM(N224:O224)</f>
        <v>2833.3333333333335</v>
      </c>
      <c r="Q224" s="95"/>
      <c r="R224" s="95"/>
      <c r="S224" s="96"/>
      <c r="T224" s="97"/>
    </row>
    <row r="225" spans="2:20" x14ac:dyDescent="0.3">
      <c r="B225" s="98" t="s">
        <v>18</v>
      </c>
      <c r="C225" s="99">
        <v>47909</v>
      </c>
      <c r="D225" s="99">
        <v>2083</v>
      </c>
      <c r="E225" s="99">
        <f t="shared" si="28"/>
        <v>718.63499999999999</v>
      </c>
      <c r="F225" s="99">
        <f t="shared" si="29"/>
        <v>2801.6350000000002</v>
      </c>
      <c r="G225" s="99"/>
      <c r="H225" s="99"/>
      <c r="I225" s="100"/>
      <c r="J225" s="101"/>
      <c r="L225" s="98" t="s">
        <v>18</v>
      </c>
      <c r="M225" s="99">
        <v>47909</v>
      </c>
      <c r="N225" s="99">
        <v>2083</v>
      </c>
      <c r="O225" s="99">
        <f t="shared" si="30"/>
        <v>718.63499999999999</v>
      </c>
      <c r="P225" s="99">
        <f t="shared" si="31"/>
        <v>2801.6350000000002</v>
      </c>
      <c r="Q225" s="99"/>
      <c r="R225" s="99"/>
      <c r="S225" s="100"/>
      <c r="T225" s="101"/>
    </row>
    <row r="226" spans="2:20" x14ac:dyDescent="0.3">
      <c r="B226" s="98" t="s">
        <v>19</v>
      </c>
      <c r="C226" s="99">
        <v>45826</v>
      </c>
      <c r="D226" s="99">
        <v>2083</v>
      </c>
      <c r="E226" s="99">
        <f t="shared" si="28"/>
        <v>687.39</v>
      </c>
      <c r="F226" s="99">
        <f t="shared" si="29"/>
        <v>2770.39</v>
      </c>
      <c r="G226" s="99"/>
      <c r="H226" s="99"/>
      <c r="I226" s="100"/>
      <c r="J226" s="101"/>
      <c r="L226" s="98" t="s">
        <v>19</v>
      </c>
      <c r="M226" s="99">
        <v>45826</v>
      </c>
      <c r="N226" s="99">
        <v>2083</v>
      </c>
      <c r="O226" s="99">
        <f t="shared" si="30"/>
        <v>687.39</v>
      </c>
      <c r="P226" s="99">
        <f t="shared" si="31"/>
        <v>2770.39</v>
      </c>
      <c r="Q226" s="99"/>
      <c r="R226" s="99"/>
      <c r="S226" s="100"/>
      <c r="T226" s="101"/>
    </row>
    <row r="227" spans="2:20" ht="15" thickBot="1" x14ac:dyDescent="0.35">
      <c r="B227" s="98" t="s">
        <v>20</v>
      </c>
      <c r="C227" s="99">
        <v>43743</v>
      </c>
      <c r="D227" s="99">
        <v>2083</v>
      </c>
      <c r="E227" s="99">
        <f t="shared" si="28"/>
        <v>656.14499999999998</v>
      </c>
      <c r="F227" s="99">
        <f t="shared" si="29"/>
        <v>2739.145</v>
      </c>
      <c r="G227" s="99"/>
      <c r="H227" s="99"/>
      <c r="I227" s="100"/>
      <c r="J227" s="101"/>
      <c r="L227" s="98" t="s">
        <v>20</v>
      </c>
      <c r="M227" s="99">
        <v>43743</v>
      </c>
      <c r="N227" s="99">
        <v>2083</v>
      </c>
      <c r="O227" s="99">
        <f t="shared" si="30"/>
        <v>656.14499999999998</v>
      </c>
      <c r="P227" s="99">
        <f t="shared" si="31"/>
        <v>2739.145</v>
      </c>
      <c r="Q227" s="99"/>
      <c r="R227" s="99"/>
      <c r="S227" s="100"/>
      <c r="T227" s="101"/>
    </row>
    <row r="228" spans="2:20" x14ac:dyDescent="0.3">
      <c r="B228" s="98" t="s">
        <v>21</v>
      </c>
      <c r="C228" s="99">
        <v>41660</v>
      </c>
      <c r="D228" s="95">
        <v>2083</v>
      </c>
      <c r="E228" s="99">
        <f t="shared" si="28"/>
        <v>624.9</v>
      </c>
      <c r="F228" s="99">
        <f t="shared" si="29"/>
        <v>2707.9</v>
      </c>
      <c r="G228" s="99"/>
      <c r="H228" s="99"/>
      <c r="I228" s="100"/>
      <c r="J228" s="101"/>
      <c r="L228" s="98" t="s">
        <v>21</v>
      </c>
      <c r="M228" s="99">
        <v>41660</v>
      </c>
      <c r="N228" s="95">
        <v>2083</v>
      </c>
      <c r="O228" s="99">
        <f t="shared" si="30"/>
        <v>624.9</v>
      </c>
      <c r="P228" s="99">
        <f t="shared" si="31"/>
        <v>2707.9</v>
      </c>
      <c r="Q228" s="99"/>
      <c r="R228" s="99"/>
      <c r="S228" s="100"/>
      <c r="T228" s="101"/>
    </row>
    <row r="229" spans="2:20" ht="15" thickBot="1" x14ac:dyDescent="0.35">
      <c r="B229" s="98" t="s">
        <v>23</v>
      </c>
      <c r="C229" s="99">
        <v>39577</v>
      </c>
      <c r="D229" s="99">
        <v>2083</v>
      </c>
      <c r="E229" s="99">
        <f t="shared" si="28"/>
        <v>593.65499999999997</v>
      </c>
      <c r="F229" s="99">
        <f t="shared" si="29"/>
        <v>2676.6549999999997</v>
      </c>
      <c r="G229" s="99"/>
      <c r="H229" s="99"/>
      <c r="I229" s="100"/>
      <c r="J229" s="101"/>
      <c r="L229" s="98" t="s">
        <v>23</v>
      </c>
      <c r="M229" s="99">
        <v>39577</v>
      </c>
      <c r="N229" s="99">
        <v>2083</v>
      </c>
      <c r="O229" s="99">
        <f t="shared" si="30"/>
        <v>593.65499999999997</v>
      </c>
      <c r="P229" s="99">
        <f t="shared" si="31"/>
        <v>2676.6549999999997</v>
      </c>
      <c r="Q229" s="99"/>
      <c r="R229" s="99"/>
      <c r="S229" s="100"/>
      <c r="T229" s="101"/>
    </row>
    <row r="230" spans="2:20" x14ac:dyDescent="0.3">
      <c r="B230" s="98" t="s">
        <v>24</v>
      </c>
      <c r="C230" s="99">
        <v>37494</v>
      </c>
      <c r="D230" s="95">
        <v>2083</v>
      </c>
      <c r="E230" s="99">
        <f t="shared" si="28"/>
        <v>562.41</v>
      </c>
      <c r="F230" s="99">
        <f t="shared" si="29"/>
        <v>2645.41</v>
      </c>
      <c r="G230" s="99"/>
      <c r="H230" s="99"/>
      <c r="I230" s="100"/>
      <c r="J230" s="101"/>
      <c r="L230" s="98" t="s">
        <v>24</v>
      </c>
      <c r="M230" s="99">
        <v>37494</v>
      </c>
      <c r="N230" s="95">
        <v>2083</v>
      </c>
      <c r="O230" s="99">
        <f t="shared" si="30"/>
        <v>562.41</v>
      </c>
      <c r="P230" s="99">
        <f t="shared" si="31"/>
        <v>2645.41</v>
      </c>
      <c r="Q230" s="99"/>
      <c r="R230" s="99"/>
      <c r="S230" s="100"/>
      <c r="T230" s="101"/>
    </row>
    <row r="231" spans="2:20" x14ac:dyDescent="0.3">
      <c r="B231" s="98" t="s">
        <v>25</v>
      </c>
      <c r="C231" s="99">
        <v>35411</v>
      </c>
      <c r="D231" s="99">
        <v>2083</v>
      </c>
      <c r="E231" s="99">
        <f t="shared" si="28"/>
        <v>531.16499999999996</v>
      </c>
      <c r="F231" s="99">
        <f t="shared" si="29"/>
        <v>2614.165</v>
      </c>
      <c r="G231" s="99"/>
      <c r="H231" s="99"/>
      <c r="I231" s="100"/>
      <c r="J231" s="101"/>
      <c r="L231" s="98" t="s">
        <v>25</v>
      </c>
      <c r="M231" s="99">
        <v>35411</v>
      </c>
      <c r="N231" s="99">
        <v>2083</v>
      </c>
      <c r="O231" s="99">
        <f t="shared" si="30"/>
        <v>531.16499999999996</v>
      </c>
      <c r="P231" s="99">
        <f t="shared" si="31"/>
        <v>2614.165</v>
      </c>
      <c r="Q231" s="99"/>
      <c r="R231" s="99"/>
      <c r="S231" s="100"/>
      <c r="T231" s="101"/>
    </row>
    <row r="232" spans="2:20" ht="15" thickBot="1" x14ac:dyDescent="0.35">
      <c r="B232" s="98" t="s">
        <v>26</v>
      </c>
      <c r="C232" s="99">
        <v>33328</v>
      </c>
      <c r="D232" s="99">
        <v>2083</v>
      </c>
      <c r="E232" s="99">
        <f t="shared" si="28"/>
        <v>499.91999999999996</v>
      </c>
      <c r="F232" s="99">
        <f t="shared" si="29"/>
        <v>2582.92</v>
      </c>
      <c r="G232" s="99"/>
      <c r="H232" s="99"/>
      <c r="I232" s="100"/>
      <c r="J232" s="101"/>
      <c r="L232" s="98" t="s">
        <v>26</v>
      </c>
      <c r="M232" s="99">
        <v>33328</v>
      </c>
      <c r="N232" s="99">
        <v>2083</v>
      </c>
      <c r="O232" s="99">
        <f t="shared" si="30"/>
        <v>499.91999999999996</v>
      </c>
      <c r="P232" s="99">
        <f t="shared" si="31"/>
        <v>2582.92</v>
      </c>
      <c r="Q232" s="99"/>
      <c r="R232" s="99"/>
      <c r="S232" s="100"/>
      <c r="T232" s="101"/>
    </row>
    <row r="233" spans="2:20" x14ac:dyDescent="0.3">
      <c r="B233" s="98" t="s">
        <v>27</v>
      </c>
      <c r="C233" s="99">
        <v>31245</v>
      </c>
      <c r="D233" s="95">
        <v>2083</v>
      </c>
      <c r="E233" s="99">
        <f t="shared" si="28"/>
        <v>468.67499999999995</v>
      </c>
      <c r="F233" s="99">
        <f t="shared" si="29"/>
        <v>2551.6750000000002</v>
      </c>
      <c r="G233" s="99"/>
      <c r="H233" s="99"/>
      <c r="I233" s="100"/>
      <c r="J233" s="101"/>
      <c r="L233" s="98" t="s">
        <v>27</v>
      </c>
      <c r="M233" s="99">
        <v>31245</v>
      </c>
      <c r="N233" s="95">
        <v>2083</v>
      </c>
      <c r="O233" s="99">
        <f t="shared" si="30"/>
        <v>468.67499999999995</v>
      </c>
      <c r="P233" s="99">
        <f t="shared" si="31"/>
        <v>2551.6750000000002</v>
      </c>
      <c r="Q233" s="99"/>
      <c r="R233" s="99"/>
      <c r="S233" s="100"/>
      <c r="T233" s="101"/>
    </row>
    <row r="234" spans="2:20" x14ac:dyDescent="0.3">
      <c r="B234" s="98" t="s">
        <v>28</v>
      </c>
      <c r="C234" s="99">
        <v>29162</v>
      </c>
      <c r="D234" s="99">
        <v>2083</v>
      </c>
      <c r="E234" s="99">
        <f t="shared" si="28"/>
        <v>437.43</v>
      </c>
      <c r="F234" s="99">
        <f t="shared" si="29"/>
        <v>2520.4299999999998</v>
      </c>
      <c r="G234" s="99"/>
      <c r="H234" s="99"/>
      <c r="I234" s="100"/>
      <c r="J234" s="101"/>
      <c r="L234" s="98" t="s">
        <v>28</v>
      </c>
      <c r="M234" s="99">
        <v>29162</v>
      </c>
      <c r="N234" s="99">
        <v>2083</v>
      </c>
      <c r="O234" s="99">
        <f t="shared" si="30"/>
        <v>437.43</v>
      </c>
      <c r="P234" s="99">
        <f t="shared" si="31"/>
        <v>2520.4299999999998</v>
      </c>
      <c r="Q234" s="99"/>
      <c r="R234" s="99"/>
      <c r="S234" s="100"/>
      <c r="T234" s="101"/>
    </row>
    <row r="235" spans="2:20" x14ac:dyDescent="0.3">
      <c r="B235" s="98" t="s">
        <v>29</v>
      </c>
      <c r="C235" s="99">
        <v>27079</v>
      </c>
      <c r="D235" s="99">
        <v>2083</v>
      </c>
      <c r="E235" s="99">
        <f t="shared" si="28"/>
        <v>406.185</v>
      </c>
      <c r="F235" s="99">
        <f t="shared" si="29"/>
        <v>2489.1849999999999</v>
      </c>
      <c r="G235" s="99"/>
      <c r="H235" s="99"/>
      <c r="I235" s="100"/>
      <c r="J235" s="101"/>
      <c r="L235" s="98" t="s">
        <v>29</v>
      </c>
      <c r="M235" s="99">
        <v>27079</v>
      </c>
      <c r="N235" s="99">
        <v>2083</v>
      </c>
      <c r="O235" s="99">
        <f t="shared" si="30"/>
        <v>406.185</v>
      </c>
      <c r="P235" s="99">
        <f t="shared" si="31"/>
        <v>2489.1849999999999</v>
      </c>
      <c r="Q235" s="99"/>
      <c r="R235" s="99"/>
      <c r="S235" s="100"/>
      <c r="T235" s="101"/>
    </row>
    <row r="236" spans="2:20" ht="15" thickBot="1" x14ac:dyDescent="0.35">
      <c r="B236" s="98" t="s">
        <v>30</v>
      </c>
      <c r="C236" s="99">
        <v>24996</v>
      </c>
      <c r="D236" s="99">
        <v>2083</v>
      </c>
      <c r="E236" s="99">
        <f t="shared" si="28"/>
        <v>374.94</v>
      </c>
      <c r="F236" s="99">
        <f t="shared" si="29"/>
        <v>2457.94</v>
      </c>
      <c r="G236" s="99"/>
      <c r="H236" s="99"/>
      <c r="I236" s="100"/>
      <c r="J236" s="101"/>
      <c r="L236" s="98" t="s">
        <v>30</v>
      </c>
      <c r="M236" s="99">
        <v>24996</v>
      </c>
      <c r="N236" s="99">
        <v>2083</v>
      </c>
      <c r="O236" s="99">
        <f t="shared" si="30"/>
        <v>374.94</v>
      </c>
      <c r="P236" s="99">
        <f t="shared" si="31"/>
        <v>2457.94</v>
      </c>
      <c r="Q236" s="99"/>
      <c r="R236" s="99"/>
      <c r="S236" s="100"/>
      <c r="T236" s="101"/>
    </row>
    <row r="237" spans="2:20" x14ac:dyDescent="0.3">
      <c r="B237" s="98" t="s">
        <v>31</v>
      </c>
      <c r="C237" s="99">
        <v>22913</v>
      </c>
      <c r="D237" s="95">
        <v>2083</v>
      </c>
      <c r="E237" s="99">
        <f t="shared" si="28"/>
        <v>343.69499999999999</v>
      </c>
      <c r="F237" s="99">
        <f t="shared" si="29"/>
        <v>2426.6950000000002</v>
      </c>
      <c r="G237" s="99"/>
      <c r="H237" s="99"/>
      <c r="I237" s="100"/>
      <c r="J237" s="101"/>
      <c r="L237" s="98" t="s">
        <v>31</v>
      </c>
      <c r="M237" s="99">
        <v>22913</v>
      </c>
      <c r="N237" s="95">
        <v>2083</v>
      </c>
      <c r="O237" s="99">
        <f t="shared" si="30"/>
        <v>343.69499999999999</v>
      </c>
      <c r="P237" s="99">
        <f t="shared" si="31"/>
        <v>2426.6950000000002</v>
      </c>
      <c r="Q237" s="99"/>
      <c r="R237" s="99"/>
      <c r="S237" s="100"/>
      <c r="T237" s="101"/>
    </row>
    <row r="238" spans="2:20" ht="15" thickBot="1" x14ac:dyDescent="0.35">
      <c r="B238" s="98" t="s">
        <v>32</v>
      </c>
      <c r="C238" s="99">
        <v>20830</v>
      </c>
      <c r="D238" s="99">
        <v>2083</v>
      </c>
      <c r="E238" s="99">
        <f t="shared" si="28"/>
        <v>312.45</v>
      </c>
      <c r="F238" s="99">
        <f t="shared" si="29"/>
        <v>2395.4499999999998</v>
      </c>
      <c r="G238" s="99"/>
      <c r="H238" s="99"/>
      <c r="I238" s="100"/>
      <c r="J238" s="101"/>
      <c r="L238" s="98" t="s">
        <v>32</v>
      </c>
      <c r="M238" s="99">
        <v>20830</v>
      </c>
      <c r="N238" s="99">
        <v>2083</v>
      </c>
      <c r="O238" s="99">
        <f t="shared" si="30"/>
        <v>312.45</v>
      </c>
      <c r="P238" s="99">
        <f t="shared" si="31"/>
        <v>2395.4499999999998</v>
      </c>
      <c r="Q238" s="99"/>
      <c r="R238" s="99"/>
      <c r="S238" s="100"/>
      <c r="T238" s="101"/>
    </row>
    <row r="239" spans="2:20" x14ac:dyDescent="0.3">
      <c r="B239" s="98" t="s">
        <v>33</v>
      </c>
      <c r="C239" s="99">
        <v>18747</v>
      </c>
      <c r="D239" s="95">
        <v>2083</v>
      </c>
      <c r="E239" s="99">
        <f t="shared" si="28"/>
        <v>281.20499999999998</v>
      </c>
      <c r="F239" s="99">
        <f t="shared" si="29"/>
        <v>2364.2049999999999</v>
      </c>
      <c r="G239" s="99"/>
      <c r="H239" s="99"/>
      <c r="I239" s="100"/>
      <c r="J239" s="101"/>
      <c r="L239" s="98" t="s">
        <v>33</v>
      </c>
      <c r="M239" s="99">
        <v>18747</v>
      </c>
      <c r="N239" s="95">
        <v>2083</v>
      </c>
      <c r="O239" s="99">
        <f t="shared" si="30"/>
        <v>281.20499999999998</v>
      </c>
      <c r="P239" s="99">
        <f t="shared" si="31"/>
        <v>2364.2049999999999</v>
      </c>
      <c r="Q239" s="99"/>
      <c r="R239" s="99"/>
      <c r="S239" s="100"/>
      <c r="T239" s="101"/>
    </row>
    <row r="240" spans="2:20" x14ac:dyDescent="0.3">
      <c r="B240" s="98" t="s">
        <v>34</v>
      </c>
      <c r="C240" s="99">
        <v>16664</v>
      </c>
      <c r="D240" s="99">
        <v>2083</v>
      </c>
      <c r="E240" s="99">
        <f t="shared" si="28"/>
        <v>249.95999999999998</v>
      </c>
      <c r="F240" s="99">
        <f t="shared" si="29"/>
        <v>2332.96</v>
      </c>
      <c r="G240" s="99"/>
      <c r="H240" s="99"/>
      <c r="I240" s="100"/>
      <c r="J240" s="101"/>
      <c r="L240" s="98" t="s">
        <v>34</v>
      </c>
      <c r="M240" s="99">
        <v>16664</v>
      </c>
      <c r="N240" s="99">
        <v>2083</v>
      </c>
      <c r="O240" s="99">
        <f t="shared" si="30"/>
        <v>249.95999999999998</v>
      </c>
      <c r="P240" s="99">
        <f t="shared" si="31"/>
        <v>2332.96</v>
      </c>
      <c r="Q240" s="99"/>
      <c r="R240" s="99"/>
      <c r="S240" s="100"/>
      <c r="T240" s="101"/>
    </row>
    <row r="241" spans="2:20" ht="15" thickBot="1" x14ac:dyDescent="0.35">
      <c r="B241" s="98" t="s">
        <v>35</v>
      </c>
      <c r="C241" s="99">
        <v>14581</v>
      </c>
      <c r="D241" s="99">
        <v>2083</v>
      </c>
      <c r="E241" s="99">
        <f t="shared" si="28"/>
        <v>218.715</v>
      </c>
      <c r="F241" s="99">
        <f t="shared" si="29"/>
        <v>2301.7150000000001</v>
      </c>
      <c r="G241" s="99"/>
      <c r="H241" s="99"/>
      <c r="I241" s="100"/>
      <c r="J241" s="101"/>
      <c r="L241" s="98" t="s">
        <v>35</v>
      </c>
      <c r="M241" s="99">
        <v>14581</v>
      </c>
      <c r="N241" s="99">
        <v>2083</v>
      </c>
      <c r="O241" s="99">
        <f t="shared" si="30"/>
        <v>218.715</v>
      </c>
      <c r="P241" s="99">
        <f t="shared" si="31"/>
        <v>2301.7150000000001</v>
      </c>
      <c r="Q241" s="99"/>
      <c r="R241" s="99"/>
      <c r="S241" s="100"/>
      <c r="T241" s="101"/>
    </row>
    <row r="242" spans="2:20" x14ac:dyDescent="0.3">
      <c r="B242" s="98" t="s">
        <v>36</v>
      </c>
      <c r="C242" s="99">
        <v>12498</v>
      </c>
      <c r="D242" s="95">
        <v>2083</v>
      </c>
      <c r="E242" s="99">
        <f t="shared" si="28"/>
        <v>187.47</v>
      </c>
      <c r="F242" s="99">
        <f t="shared" si="29"/>
        <v>2270.4699999999998</v>
      </c>
      <c r="G242" s="99"/>
      <c r="H242" s="99"/>
      <c r="I242" s="100"/>
      <c r="J242" s="101"/>
      <c r="L242" s="98" t="s">
        <v>36</v>
      </c>
      <c r="M242" s="99">
        <v>12498</v>
      </c>
      <c r="N242" s="95">
        <v>2083</v>
      </c>
      <c r="O242" s="99">
        <f t="shared" si="30"/>
        <v>187.47</v>
      </c>
      <c r="P242" s="99">
        <f t="shared" si="31"/>
        <v>2270.4699999999998</v>
      </c>
      <c r="Q242" s="99"/>
      <c r="R242" s="99"/>
      <c r="S242" s="100"/>
      <c r="T242" s="101"/>
    </row>
    <row r="243" spans="2:20" ht="15" thickBot="1" x14ac:dyDescent="0.35">
      <c r="B243" s="98" t="s">
        <v>37</v>
      </c>
      <c r="C243" s="99">
        <v>10415</v>
      </c>
      <c r="D243" s="99">
        <v>2083</v>
      </c>
      <c r="E243" s="99">
        <f t="shared" si="28"/>
        <v>156.22499999999999</v>
      </c>
      <c r="F243" s="99">
        <f t="shared" si="29"/>
        <v>2239.2249999999999</v>
      </c>
      <c r="G243" s="99"/>
      <c r="H243" s="99"/>
      <c r="I243" s="100"/>
      <c r="J243" s="101"/>
      <c r="L243" s="98" t="s">
        <v>37</v>
      </c>
      <c r="M243" s="99">
        <v>10415</v>
      </c>
      <c r="N243" s="99">
        <v>2083</v>
      </c>
      <c r="O243" s="99">
        <f t="shared" si="30"/>
        <v>156.22499999999999</v>
      </c>
      <c r="P243" s="99">
        <f t="shared" si="31"/>
        <v>2239.2249999999999</v>
      </c>
      <c r="Q243" s="99"/>
      <c r="R243" s="99"/>
      <c r="S243" s="100"/>
      <c r="T243" s="101"/>
    </row>
    <row r="244" spans="2:20" x14ac:dyDescent="0.3">
      <c r="B244" s="98" t="s">
        <v>38</v>
      </c>
      <c r="C244" s="99">
        <v>8332</v>
      </c>
      <c r="D244" s="95">
        <v>2083</v>
      </c>
      <c r="E244" s="99">
        <f t="shared" si="28"/>
        <v>124.97999999999999</v>
      </c>
      <c r="F244" s="99">
        <f t="shared" si="29"/>
        <v>2207.98</v>
      </c>
      <c r="G244" s="99"/>
      <c r="H244" s="99"/>
      <c r="I244" s="100"/>
      <c r="J244" s="101"/>
      <c r="L244" s="98" t="s">
        <v>38</v>
      </c>
      <c r="M244" s="99">
        <v>8332</v>
      </c>
      <c r="N244" s="95">
        <v>2083</v>
      </c>
      <c r="O244" s="99">
        <f t="shared" si="30"/>
        <v>124.97999999999999</v>
      </c>
      <c r="P244" s="99">
        <f t="shared" si="31"/>
        <v>2207.98</v>
      </c>
      <c r="Q244" s="99"/>
      <c r="R244" s="99"/>
      <c r="S244" s="100"/>
      <c r="T244" s="101"/>
    </row>
    <row r="245" spans="2:20" x14ac:dyDescent="0.3">
      <c r="B245" s="98" t="s">
        <v>39</v>
      </c>
      <c r="C245" s="99">
        <v>6249</v>
      </c>
      <c r="D245" s="99">
        <v>2083</v>
      </c>
      <c r="E245" s="99">
        <f t="shared" si="28"/>
        <v>93.734999999999999</v>
      </c>
      <c r="F245" s="99">
        <f t="shared" si="29"/>
        <v>2176.7350000000001</v>
      </c>
      <c r="G245" s="99"/>
      <c r="H245" s="99"/>
      <c r="I245" s="100"/>
      <c r="J245" s="101"/>
      <c r="L245" s="98" t="s">
        <v>39</v>
      </c>
      <c r="M245" s="99">
        <v>6249</v>
      </c>
      <c r="N245" s="99">
        <v>2083</v>
      </c>
      <c r="O245" s="99">
        <f t="shared" si="30"/>
        <v>93.734999999999999</v>
      </c>
      <c r="P245" s="99">
        <f t="shared" si="31"/>
        <v>2176.7350000000001</v>
      </c>
      <c r="Q245" s="99"/>
      <c r="R245" s="99"/>
      <c r="S245" s="100"/>
      <c r="T245" s="101"/>
    </row>
    <row r="246" spans="2:20" x14ac:dyDescent="0.3">
      <c r="B246" s="98" t="s">
        <v>40</v>
      </c>
      <c r="C246" s="99">
        <v>4166</v>
      </c>
      <c r="D246" s="99">
        <v>2083</v>
      </c>
      <c r="E246" s="99">
        <f t="shared" si="28"/>
        <v>62.489999999999995</v>
      </c>
      <c r="F246" s="99">
        <f t="shared" si="29"/>
        <v>2145.4899999999998</v>
      </c>
      <c r="G246" s="99"/>
      <c r="H246" s="99"/>
      <c r="I246" s="100"/>
      <c r="J246" s="101"/>
      <c r="L246" s="98" t="s">
        <v>40</v>
      </c>
      <c r="M246" s="99">
        <v>4166</v>
      </c>
      <c r="N246" s="99">
        <v>2083</v>
      </c>
      <c r="O246" s="99">
        <f t="shared" si="30"/>
        <v>62.489999999999995</v>
      </c>
      <c r="P246" s="99">
        <f t="shared" si="31"/>
        <v>2145.4899999999998</v>
      </c>
      <c r="Q246" s="99"/>
      <c r="R246" s="99"/>
      <c r="S246" s="100"/>
      <c r="T246" s="101"/>
    </row>
    <row r="247" spans="2:20" ht="15" thickBot="1" x14ac:dyDescent="0.35">
      <c r="B247" s="103" t="s">
        <v>41</v>
      </c>
      <c r="C247" s="102">
        <v>2083</v>
      </c>
      <c r="D247" s="99">
        <v>2083</v>
      </c>
      <c r="E247" s="102">
        <f t="shared" si="28"/>
        <v>31.244999999999997</v>
      </c>
      <c r="F247" s="102">
        <f t="shared" si="29"/>
        <v>2114.2449999999999</v>
      </c>
      <c r="G247" s="102"/>
      <c r="H247" s="102"/>
      <c r="I247" s="104"/>
      <c r="J247" s="105" t="s">
        <v>42</v>
      </c>
      <c r="L247" s="103" t="s">
        <v>41</v>
      </c>
      <c r="M247" s="102">
        <v>2083</v>
      </c>
      <c r="N247" s="99">
        <v>2083</v>
      </c>
      <c r="O247" s="102">
        <f t="shared" si="30"/>
        <v>31.244999999999997</v>
      </c>
      <c r="P247" s="102">
        <f t="shared" si="31"/>
        <v>2114.2449999999999</v>
      </c>
      <c r="Q247" s="102"/>
      <c r="R247" s="102"/>
      <c r="S247" s="104"/>
      <c r="T247" s="105" t="s">
        <v>42</v>
      </c>
    </row>
    <row r="250" spans="2:20" x14ac:dyDescent="0.3">
      <c r="B250" s="77" t="s">
        <v>0</v>
      </c>
      <c r="C250" s="77" t="s">
        <v>141</v>
      </c>
      <c r="D250" s="112"/>
      <c r="E250" s="112"/>
      <c r="F250" s="79"/>
      <c r="G250" s="80"/>
      <c r="I250" s="81" t="s">
        <v>1</v>
      </c>
      <c r="J250" s="82">
        <v>100000</v>
      </c>
      <c r="L250" s="77" t="s">
        <v>0</v>
      </c>
      <c r="M250" s="77" t="s">
        <v>141</v>
      </c>
      <c r="N250" s="112"/>
      <c r="O250" s="112"/>
      <c r="P250" s="79"/>
      <c r="Q250" s="80"/>
      <c r="S250" s="81" t="s">
        <v>1</v>
      </c>
      <c r="T250" s="82">
        <v>100000</v>
      </c>
    </row>
    <row r="251" spans="2:20" x14ac:dyDescent="0.3">
      <c r="B251" s="77" t="s">
        <v>2</v>
      </c>
      <c r="C251" s="83"/>
      <c r="D251" s="79"/>
      <c r="E251" s="83"/>
      <c r="F251" s="81"/>
      <c r="G251" s="81"/>
      <c r="H251" s="84"/>
      <c r="I251" s="81" t="s">
        <v>3</v>
      </c>
      <c r="J251" s="85" t="s">
        <v>199</v>
      </c>
      <c r="L251" s="77" t="s">
        <v>2</v>
      </c>
      <c r="M251" s="83"/>
      <c r="N251" s="79"/>
      <c r="O251" s="83"/>
      <c r="P251" s="81"/>
      <c r="Q251" s="81"/>
      <c r="R251" s="84"/>
      <c r="S251" s="81" t="s">
        <v>3</v>
      </c>
      <c r="T251" s="85" t="s">
        <v>199</v>
      </c>
    </row>
    <row r="252" spans="2:20" x14ac:dyDescent="0.3">
      <c r="B252" s="77" t="s">
        <v>4</v>
      </c>
      <c r="C252" s="78"/>
      <c r="D252" s="79"/>
      <c r="E252" s="78"/>
      <c r="F252" s="81"/>
      <c r="G252" s="81"/>
      <c r="H252" s="81"/>
      <c r="I252" s="81" t="s">
        <v>5</v>
      </c>
      <c r="J252" s="86">
        <v>1.4999999999999999E-2</v>
      </c>
      <c r="L252" s="77" t="s">
        <v>4</v>
      </c>
      <c r="M252" s="78"/>
      <c r="N252" s="79"/>
      <c r="O252" s="78"/>
      <c r="P252" s="81"/>
      <c r="Q252" s="81"/>
      <c r="R252" s="81"/>
      <c r="S252" s="81" t="s">
        <v>5</v>
      </c>
      <c r="T252" s="86">
        <v>1.4999999999999999E-2</v>
      </c>
    </row>
    <row r="253" spans="2:20" ht="15" thickBot="1" x14ac:dyDescent="0.35">
      <c r="B253" s="77" t="s">
        <v>6</v>
      </c>
      <c r="C253" s="87"/>
      <c r="D253" s="87"/>
      <c r="E253" s="88"/>
      <c r="F253" s="88"/>
      <c r="G253" s="88"/>
      <c r="H253" s="88"/>
      <c r="I253" s="88" t="s">
        <v>7</v>
      </c>
      <c r="J253" s="78">
        <v>24</v>
      </c>
      <c r="L253" s="77" t="s">
        <v>6</v>
      </c>
      <c r="M253" s="87"/>
      <c r="N253" s="87"/>
      <c r="O253" s="88"/>
      <c r="P253" s="88"/>
      <c r="Q253" s="88"/>
      <c r="R253" s="88"/>
      <c r="S253" s="88" t="s">
        <v>7</v>
      </c>
      <c r="T253" s="78">
        <v>24</v>
      </c>
    </row>
    <row r="254" spans="2:20" ht="41.4" thickBot="1" x14ac:dyDescent="0.35">
      <c r="B254" s="89" t="s">
        <v>8</v>
      </c>
      <c r="C254" s="89" t="s">
        <v>9</v>
      </c>
      <c r="D254" s="89" t="s">
        <v>10</v>
      </c>
      <c r="E254" s="90" t="s">
        <v>11</v>
      </c>
      <c r="F254" s="91" t="s">
        <v>12</v>
      </c>
      <c r="G254" s="92" t="s">
        <v>13</v>
      </c>
      <c r="H254" s="92" t="s">
        <v>14</v>
      </c>
      <c r="I254" s="92" t="s">
        <v>15</v>
      </c>
      <c r="J254" s="93" t="s">
        <v>16</v>
      </c>
      <c r="L254" s="146" t="s">
        <v>8</v>
      </c>
      <c r="M254" s="143" t="s">
        <v>9</v>
      </c>
      <c r="N254" s="89" t="s">
        <v>10</v>
      </c>
      <c r="O254" s="90" t="s">
        <v>11</v>
      </c>
      <c r="P254" s="91" t="s">
        <v>12</v>
      </c>
      <c r="Q254" s="92" t="s">
        <v>13</v>
      </c>
      <c r="R254" s="92" t="s">
        <v>14</v>
      </c>
      <c r="S254" s="92" t="s">
        <v>15</v>
      </c>
      <c r="T254" s="93" t="s">
        <v>16</v>
      </c>
    </row>
    <row r="255" spans="2:20" x14ac:dyDescent="0.3">
      <c r="B255" s="94" t="s">
        <v>17</v>
      </c>
      <c r="C255" s="95">
        <f>J250</f>
        <v>100000</v>
      </c>
      <c r="D255" s="95">
        <f>J250/J253</f>
        <v>4166.666666666667</v>
      </c>
      <c r="E255" s="95">
        <f t="shared" ref="E255:E278" si="32">(C255*0.015)</f>
        <v>1500</v>
      </c>
      <c r="F255" s="95">
        <f t="shared" ref="F255:F278" si="33">SUM(D255:E255)</f>
        <v>5666.666666666667</v>
      </c>
      <c r="G255" s="95"/>
      <c r="H255" s="126"/>
      <c r="I255" s="96"/>
      <c r="J255" s="97"/>
      <c r="L255" s="106" t="s">
        <v>17</v>
      </c>
      <c r="M255" s="144">
        <f>T250</f>
        <v>100000</v>
      </c>
      <c r="N255" s="95">
        <f>T250/T253</f>
        <v>4166.666666666667</v>
      </c>
      <c r="O255" s="95">
        <f t="shared" ref="O255:O278" si="34">(M255*0.015)</f>
        <v>1500</v>
      </c>
      <c r="P255" s="95">
        <f t="shared" ref="P255:P278" si="35">SUM(N255:O255)</f>
        <v>5666.666666666667</v>
      </c>
      <c r="Q255" s="95"/>
      <c r="R255" s="126"/>
      <c r="S255" s="96"/>
      <c r="T255" s="97"/>
    </row>
    <row r="256" spans="2:20" x14ac:dyDescent="0.3">
      <c r="B256" s="98" t="s">
        <v>18</v>
      </c>
      <c r="C256" s="99">
        <v>95841</v>
      </c>
      <c r="D256" s="99">
        <v>4167</v>
      </c>
      <c r="E256" s="99">
        <f t="shared" si="32"/>
        <v>1437.615</v>
      </c>
      <c r="F256" s="99">
        <f t="shared" si="33"/>
        <v>5604.6149999999998</v>
      </c>
      <c r="G256" s="99"/>
      <c r="H256" s="127"/>
      <c r="I256" s="100"/>
      <c r="J256" s="101"/>
      <c r="L256" s="106" t="s">
        <v>18</v>
      </c>
      <c r="M256" s="145">
        <v>95841</v>
      </c>
      <c r="N256" s="99">
        <v>4167</v>
      </c>
      <c r="O256" s="99">
        <f t="shared" si="34"/>
        <v>1437.615</v>
      </c>
      <c r="P256" s="99">
        <f t="shared" si="35"/>
        <v>5604.6149999999998</v>
      </c>
      <c r="Q256" s="99"/>
      <c r="R256" s="127"/>
      <c r="S256" s="100"/>
      <c r="T256" s="101"/>
    </row>
    <row r="257" spans="2:20" x14ac:dyDescent="0.3">
      <c r="B257" s="98" t="s">
        <v>19</v>
      </c>
      <c r="C257" s="99">
        <v>91674</v>
      </c>
      <c r="D257" s="99">
        <v>4167</v>
      </c>
      <c r="E257" s="99">
        <f t="shared" si="32"/>
        <v>1375.11</v>
      </c>
      <c r="F257" s="99">
        <f t="shared" si="33"/>
        <v>5542.11</v>
      </c>
      <c r="G257" s="99"/>
      <c r="H257" s="127"/>
      <c r="I257" s="100"/>
      <c r="J257" s="101"/>
      <c r="L257" s="106" t="s">
        <v>19</v>
      </c>
      <c r="M257" s="145">
        <v>91674</v>
      </c>
      <c r="N257" s="99">
        <v>4167</v>
      </c>
      <c r="O257" s="99">
        <f t="shared" si="34"/>
        <v>1375.11</v>
      </c>
      <c r="P257" s="99">
        <f t="shared" si="35"/>
        <v>5542.11</v>
      </c>
      <c r="Q257" s="99"/>
      <c r="R257" s="127"/>
      <c r="S257" s="100"/>
      <c r="T257" s="101"/>
    </row>
    <row r="258" spans="2:20" ht="15" thickBot="1" x14ac:dyDescent="0.35">
      <c r="B258" s="98" t="s">
        <v>20</v>
      </c>
      <c r="C258" s="99">
        <v>87507</v>
      </c>
      <c r="D258" s="99">
        <v>4167</v>
      </c>
      <c r="E258" s="99">
        <f t="shared" si="32"/>
        <v>1312.605</v>
      </c>
      <c r="F258" s="99">
        <f t="shared" si="33"/>
        <v>5479.6049999999996</v>
      </c>
      <c r="G258" s="99"/>
      <c r="H258" s="127"/>
      <c r="I258" s="100"/>
      <c r="J258" s="101"/>
      <c r="L258" s="106" t="s">
        <v>20</v>
      </c>
      <c r="M258" s="145">
        <v>87507</v>
      </c>
      <c r="N258" s="99">
        <v>4167</v>
      </c>
      <c r="O258" s="99">
        <f t="shared" si="34"/>
        <v>1312.605</v>
      </c>
      <c r="P258" s="99">
        <f t="shared" si="35"/>
        <v>5479.6049999999996</v>
      </c>
      <c r="Q258" s="99"/>
      <c r="R258" s="127"/>
      <c r="S258" s="100"/>
      <c r="T258" s="101"/>
    </row>
    <row r="259" spans="2:20" x14ac:dyDescent="0.3">
      <c r="B259" s="98" t="s">
        <v>21</v>
      </c>
      <c r="C259" s="99">
        <v>83340</v>
      </c>
      <c r="D259" s="95">
        <v>4167</v>
      </c>
      <c r="E259" s="99">
        <f t="shared" si="32"/>
        <v>1250.0999999999999</v>
      </c>
      <c r="F259" s="99">
        <f t="shared" si="33"/>
        <v>5417.1</v>
      </c>
      <c r="G259" s="99"/>
      <c r="H259" s="99"/>
      <c r="I259" s="100"/>
      <c r="J259" s="101"/>
      <c r="L259" s="106" t="s">
        <v>21</v>
      </c>
      <c r="M259" s="145">
        <v>83340</v>
      </c>
      <c r="N259" s="95">
        <v>4167</v>
      </c>
      <c r="O259" s="99">
        <f t="shared" si="34"/>
        <v>1250.0999999999999</v>
      </c>
      <c r="P259" s="99">
        <f t="shared" si="35"/>
        <v>5417.1</v>
      </c>
      <c r="Q259" s="99"/>
      <c r="R259" s="99"/>
      <c r="S259" s="100"/>
      <c r="T259" s="101"/>
    </row>
    <row r="260" spans="2:20" x14ac:dyDescent="0.3">
      <c r="B260" s="98" t="s">
        <v>23</v>
      </c>
      <c r="C260" s="99">
        <v>79173</v>
      </c>
      <c r="D260" s="99">
        <v>4167</v>
      </c>
      <c r="E260" s="99">
        <f t="shared" si="32"/>
        <v>1187.595</v>
      </c>
      <c r="F260" s="99">
        <f t="shared" si="33"/>
        <v>5354.5950000000003</v>
      </c>
      <c r="G260" s="99"/>
      <c r="H260" s="99"/>
      <c r="I260" s="100"/>
      <c r="J260" s="101"/>
      <c r="L260" s="106" t="s">
        <v>23</v>
      </c>
      <c r="M260" s="145">
        <v>79173</v>
      </c>
      <c r="N260" s="99">
        <v>4167</v>
      </c>
      <c r="O260" s="99">
        <f t="shared" si="34"/>
        <v>1187.595</v>
      </c>
      <c r="P260" s="99">
        <f t="shared" si="35"/>
        <v>5354.5950000000003</v>
      </c>
      <c r="Q260" s="99"/>
      <c r="R260" s="99"/>
      <c r="S260" s="100"/>
      <c r="T260" s="101"/>
    </row>
    <row r="261" spans="2:20" ht="15" thickBot="1" x14ac:dyDescent="0.35">
      <c r="B261" s="98" t="s">
        <v>24</v>
      </c>
      <c r="C261" s="99">
        <v>75006</v>
      </c>
      <c r="D261" s="99">
        <v>4167</v>
      </c>
      <c r="E261" s="99">
        <f t="shared" si="32"/>
        <v>1125.0899999999999</v>
      </c>
      <c r="F261" s="99">
        <f t="shared" si="33"/>
        <v>5292.09</v>
      </c>
      <c r="G261" s="99"/>
      <c r="H261" s="99"/>
      <c r="I261" s="100"/>
      <c r="J261" s="101"/>
      <c r="L261" s="106" t="s">
        <v>24</v>
      </c>
      <c r="M261" s="145">
        <v>75006</v>
      </c>
      <c r="N261" s="99">
        <v>4167</v>
      </c>
      <c r="O261" s="99">
        <f t="shared" si="34"/>
        <v>1125.0899999999999</v>
      </c>
      <c r="P261" s="99">
        <f t="shared" si="35"/>
        <v>5292.09</v>
      </c>
      <c r="Q261" s="99"/>
      <c r="R261" s="99"/>
      <c r="S261" s="100"/>
      <c r="T261" s="101"/>
    </row>
    <row r="262" spans="2:20" x14ac:dyDescent="0.3">
      <c r="B262" s="98" t="s">
        <v>25</v>
      </c>
      <c r="C262" s="99">
        <v>70839</v>
      </c>
      <c r="D262" s="95">
        <v>4167</v>
      </c>
      <c r="E262" s="99">
        <f t="shared" si="32"/>
        <v>1062.585</v>
      </c>
      <c r="F262" s="99">
        <f t="shared" si="33"/>
        <v>5229.585</v>
      </c>
      <c r="G262" s="99"/>
      <c r="H262" s="99"/>
      <c r="I262" s="100"/>
      <c r="J262" s="101"/>
      <c r="L262" s="106" t="s">
        <v>25</v>
      </c>
      <c r="M262" s="145">
        <v>70839</v>
      </c>
      <c r="N262" s="95">
        <v>4167</v>
      </c>
      <c r="O262" s="99">
        <f t="shared" si="34"/>
        <v>1062.585</v>
      </c>
      <c r="P262" s="99">
        <f t="shared" si="35"/>
        <v>5229.585</v>
      </c>
      <c r="Q262" s="99"/>
      <c r="R262" s="99"/>
      <c r="S262" s="100"/>
      <c r="T262" s="101"/>
    </row>
    <row r="263" spans="2:20" x14ac:dyDescent="0.3">
      <c r="B263" s="98" t="s">
        <v>26</v>
      </c>
      <c r="C263" s="99">
        <v>66672</v>
      </c>
      <c r="D263" s="99">
        <v>4167</v>
      </c>
      <c r="E263" s="99">
        <f t="shared" si="32"/>
        <v>1000.0799999999999</v>
      </c>
      <c r="F263" s="99">
        <f t="shared" si="33"/>
        <v>5167.08</v>
      </c>
      <c r="G263" s="99"/>
      <c r="H263" s="99"/>
      <c r="I263" s="100"/>
      <c r="J263" s="101"/>
      <c r="L263" s="106" t="s">
        <v>26</v>
      </c>
      <c r="M263" s="145">
        <v>66672</v>
      </c>
      <c r="N263" s="99">
        <v>4167</v>
      </c>
      <c r="O263" s="99">
        <f t="shared" si="34"/>
        <v>1000.0799999999999</v>
      </c>
      <c r="P263" s="99">
        <f t="shared" si="35"/>
        <v>5167.08</v>
      </c>
      <c r="Q263" s="99"/>
      <c r="R263" s="99"/>
      <c r="S263" s="100"/>
      <c r="T263" s="101"/>
    </row>
    <row r="264" spans="2:20" x14ac:dyDescent="0.3">
      <c r="B264" s="98" t="s">
        <v>27</v>
      </c>
      <c r="C264" s="99">
        <v>62505</v>
      </c>
      <c r="D264" s="99">
        <v>4167</v>
      </c>
      <c r="E264" s="99">
        <f t="shared" si="32"/>
        <v>937.57499999999993</v>
      </c>
      <c r="F264" s="99">
        <f t="shared" si="33"/>
        <v>5104.5749999999998</v>
      </c>
      <c r="G264" s="99"/>
      <c r="H264" s="99"/>
      <c r="I264" s="100"/>
      <c r="J264" s="101"/>
      <c r="L264" s="106" t="s">
        <v>27</v>
      </c>
      <c r="M264" s="145">
        <v>62505</v>
      </c>
      <c r="N264" s="99">
        <v>4167</v>
      </c>
      <c r="O264" s="99">
        <f t="shared" si="34"/>
        <v>937.57499999999993</v>
      </c>
      <c r="P264" s="99">
        <f t="shared" si="35"/>
        <v>5104.5749999999998</v>
      </c>
      <c r="Q264" s="99"/>
      <c r="R264" s="99"/>
      <c r="S264" s="100"/>
      <c r="T264" s="101"/>
    </row>
    <row r="265" spans="2:20" ht="15" thickBot="1" x14ac:dyDescent="0.35">
      <c r="B265" s="98" t="s">
        <v>28</v>
      </c>
      <c r="C265" s="99">
        <v>58338</v>
      </c>
      <c r="D265" s="99">
        <v>4167</v>
      </c>
      <c r="E265" s="99">
        <f t="shared" si="32"/>
        <v>875.06999999999994</v>
      </c>
      <c r="F265" s="99">
        <f t="shared" si="33"/>
        <v>5042.07</v>
      </c>
      <c r="G265" s="99"/>
      <c r="H265" s="99"/>
      <c r="I265" s="100"/>
      <c r="J265" s="101"/>
      <c r="L265" s="106" t="s">
        <v>28</v>
      </c>
      <c r="M265" s="145">
        <v>58338</v>
      </c>
      <c r="N265" s="99">
        <v>4167</v>
      </c>
      <c r="O265" s="99">
        <f t="shared" si="34"/>
        <v>875.06999999999994</v>
      </c>
      <c r="P265" s="99">
        <f t="shared" si="35"/>
        <v>5042.07</v>
      </c>
      <c r="Q265" s="99"/>
      <c r="R265" s="99"/>
      <c r="S265" s="100"/>
      <c r="T265" s="101"/>
    </row>
    <row r="266" spans="2:20" x14ac:dyDescent="0.3">
      <c r="B266" s="98" t="s">
        <v>29</v>
      </c>
      <c r="C266" s="99">
        <v>54171</v>
      </c>
      <c r="D266" s="95">
        <v>4167</v>
      </c>
      <c r="E266" s="99">
        <f t="shared" si="32"/>
        <v>812.56499999999994</v>
      </c>
      <c r="F266" s="99">
        <f t="shared" si="33"/>
        <v>4979.5649999999996</v>
      </c>
      <c r="G266" s="99"/>
      <c r="H266" s="99"/>
      <c r="I266" s="100"/>
      <c r="J266" s="101"/>
      <c r="L266" s="106" t="s">
        <v>29</v>
      </c>
      <c r="M266" s="145">
        <v>54171</v>
      </c>
      <c r="N266" s="95">
        <v>4167</v>
      </c>
      <c r="O266" s="99">
        <f t="shared" si="34"/>
        <v>812.56499999999994</v>
      </c>
      <c r="P266" s="99">
        <f t="shared" si="35"/>
        <v>4979.5649999999996</v>
      </c>
      <c r="Q266" s="99"/>
      <c r="R266" s="99"/>
      <c r="S266" s="100"/>
      <c r="T266" s="101"/>
    </row>
    <row r="267" spans="2:20" x14ac:dyDescent="0.3">
      <c r="B267" s="98" t="s">
        <v>30</v>
      </c>
      <c r="C267" s="99">
        <v>50004</v>
      </c>
      <c r="D267" s="99">
        <v>4167</v>
      </c>
      <c r="E267" s="99">
        <f t="shared" si="32"/>
        <v>750.06</v>
      </c>
      <c r="F267" s="99">
        <f t="shared" si="33"/>
        <v>4917.0599999999995</v>
      </c>
      <c r="G267" s="99"/>
      <c r="H267" s="99"/>
      <c r="I267" s="100"/>
      <c r="J267" s="101"/>
      <c r="L267" s="106" t="s">
        <v>30</v>
      </c>
      <c r="M267" s="145">
        <v>50004</v>
      </c>
      <c r="N267" s="99">
        <v>4167</v>
      </c>
      <c r="O267" s="99">
        <f t="shared" si="34"/>
        <v>750.06</v>
      </c>
      <c r="P267" s="99">
        <f t="shared" si="35"/>
        <v>4917.0599999999995</v>
      </c>
      <c r="Q267" s="99"/>
      <c r="R267" s="99"/>
      <c r="S267" s="100"/>
      <c r="T267" s="101"/>
    </row>
    <row r="268" spans="2:20" ht="15" thickBot="1" x14ac:dyDescent="0.35">
      <c r="B268" s="98" t="s">
        <v>31</v>
      </c>
      <c r="C268" s="99">
        <v>45837</v>
      </c>
      <c r="D268" s="99">
        <v>4167</v>
      </c>
      <c r="E268" s="99">
        <f t="shared" si="32"/>
        <v>687.55499999999995</v>
      </c>
      <c r="F268" s="99">
        <f t="shared" si="33"/>
        <v>4854.5550000000003</v>
      </c>
      <c r="G268" s="99"/>
      <c r="H268" s="99"/>
      <c r="I268" s="100"/>
      <c r="J268" s="101"/>
      <c r="L268" s="106" t="s">
        <v>31</v>
      </c>
      <c r="M268" s="145">
        <v>45837</v>
      </c>
      <c r="N268" s="99">
        <v>4167</v>
      </c>
      <c r="O268" s="99">
        <f t="shared" si="34"/>
        <v>687.55499999999995</v>
      </c>
      <c r="P268" s="99">
        <f t="shared" si="35"/>
        <v>4854.5550000000003</v>
      </c>
      <c r="Q268" s="99"/>
      <c r="R268" s="99"/>
      <c r="S268" s="100"/>
      <c r="T268" s="101"/>
    </row>
    <row r="269" spans="2:20" x14ac:dyDescent="0.3">
      <c r="B269" s="98" t="s">
        <v>32</v>
      </c>
      <c r="C269" s="99">
        <v>41670</v>
      </c>
      <c r="D269" s="95">
        <v>4167</v>
      </c>
      <c r="E269" s="99">
        <f t="shared" si="32"/>
        <v>625.04999999999995</v>
      </c>
      <c r="F269" s="99">
        <f t="shared" si="33"/>
        <v>4792.05</v>
      </c>
      <c r="G269" s="99"/>
      <c r="H269" s="99"/>
      <c r="I269" s="100"/>
      <c r="J269" s="101"/>
      <c r="L269" s="106" t="s">
        <v>32</v>
      </c>
      <c r="M269" s="145">
        <v>41670</v>
      </c>
      <c r="N269" s="95">
        <v>4167</v>
      </c>
      <c r="O269" s="99">
        <f t="shared" si="34"/>
        <v>625.04999999999995</v>
      </c>
      <c r="P269" s="99">
        <f t="shared" si="35"/>
        <v>4792.05</v>
      </c>
      <c r="Q269" s="99"/>
      <c r="R269" s="99"/>
      <c r="S269" s="100"/>
      <c r="T269" s="101"/>
    </row>
    <row r="270" spans="2:20" x14ac:dyDescent="0.3">
      <c r="B270" s="98" t="s">
        <v>33</v>
      </c>
      <c r="C270" s="99">
        <v>37503</v>
      </c>
      <c r="D270" s="99">
        <v>4167</v>
      </c>
      <c r="E270" s="99">
        <f t="shared" si="32"/>
        <v>562.54499999999996</v>
      </c>
      <c r="F270" s="99">
        <f t="shared" si="33"/>
        <v>4729.5450000000001</v>
      </c>
      <c r="G270" s="99"/>
      <c r="H270" s="99"/>
      <c r="I270" s="100"/>
      <c r="J270" s="101"/>
      <c r="L270" s="106" t="s">
        <v>33</v>
      </c>
      <c r="M270" s="145">
        <v>37503</v>
      </c>
      <c r="N270" s="99">
        <v>4167</v>
      </c>
      <c r="O270" s="99">
        <f t="shared" si="34"/>
        <v>562.54499999999996</v>
      </c>
      <c r="P270" s="99">
        <f t="shared" si="35"/>
        <v>4729.5450000000001</v>
      </c>
      <c r="Q270" s="99"/>
      <c r="R270" s="99"/>
      <c r="S270" s="100"/>
      <c r="T270" s="101"/>
    </row>
    <row r="271" spans="2:20" x14ac:dyDescent="0.3">
      <c r="B271" s="98" t="s">
        <v>34</v>
      </c>
      <c r="C271" s="99">
        <v>33336</v>
      </c>
      <c r="D271" s="99">
        <v>4167</v>
      </c>
      <c r="E271" s="99">
        <f t="shared" si="32"/>
        <v>500.03999999999996</v>
      </c>
      <c r="F271" s="99">
        <f t="shared" si="33"/>
        <v>4667.04</v>
      </c>
      <c r="G271" s="99"/>
      <c r="H271" s="99"/>
      <c r="I271" s="100"/>
      <c r="J271" s="101"/>
      <c r="L271" s="106" t="s">
        <v>34</v>
      </c>
      <c r="M271" s="145">
        <v>33336</v>
      </c>
      <c r="N271" s="99">
        <v>4167</v>
      </c>
      <c r="O271" s="99">
        <f t="shared" si="34"/>
        <v>500.03999999999996</v>
      </c>
      <c r="P271" s="99">
        <f t="shared" si="35"/>
        <v>4667.04</v>
      </c>
      <c r="Q271" s="99"/>
      <c r="R271" s="99"/>
      <c r="S271" s="100"/>
      <c r="T271" s="101"/>
    </row>
    <row r="272" spans="2:20" ht="15" thickBot="1" x14ac:dyDescent="0.35">
      <c r="B272" s="98" t="s">
        <v>35</v>
      </c>
      <c r="C272" s="99">
        <v>29169</v>
      </c>
      <c r="D272" s="99">
        <v>4167</v>
      </c>
      <c r="E272" s="99">
        <f t="shared" si="32"/>
        <v>437.53499999999997</v>
      </c>
      <c r="F272" s="99">
        <f t="shared" si="33"/>
        <v>4604.5349999999999</v>
      </c>
      <c r="G272" s="99"/>
      <c r="H272" s="99"/>
      <c r="I272" s="100"/>
      <c r="J272" s="101"/>
      <c r="L272" s="106" t="s">
        <v>35</v>
      </c>
      <c r="M272" s="145">
        <v>29169</v>
      </c>
      <c r="N272" s="99">
        <v>4167</v>
      </c>
      <c r="O272" s="99">
        <f t="shared" si="34"/>
        <v>437.53499999999997</v>
      </c>
      <c r="P272" s="99">
        <f t="shared" si="35"/>
        <v>4604.5349999999999</v>
      </c>
      <c r="Q272" s="99"/>
      <c r="R272" s="99"/>
      <c r="S272" s="100"/>
      <c r="T272" s="101"/>
    </row>
    <row r="273" spans="1:20" x14ac:dyDescent="0.3">
      <c r="B273" s="98" t="s">
        <v>36</v>
      </c>
      <c r="C273" s="99">
        <v>25002</v>
      </c>
      <c r="D273" s="95">
        <v>4167</v>
      </c>
      <c r="E273" s="99">
        <f t="shared" si="32"/>
        <v>375.03</v>
      </c>
      <c r="F273" s="99">
        <f t="shared" si="33"/>
        <v>4542.03</v>
      </c>
      <c r="G273" s="99"/>
      <c r="H273" s="99"/>
      <c r="I273" s="100"/>
      <c r="J273" s="101"/>
      <c r="L273" s="106" t="s">
        <v>36</v>
      </c>
      <c r="M273" s="145">
        <v>25002</v>
      </c>
      <c r="N273" s="95">
        <v>4167</v>
      </c>
      <c r="O273" s="99">
        <f t="shared" si="34"/>
        <v>375.03</v>
      </c>
      <c r="P273" s="99">
        <f t="shared" si="35"/>
        <v>4542.03</v>
      </c>
      <c r="Q273" s="99"/>
      <c r="R273" s="99"/>
      <c r="S273" s="100"/>
      <c r="T273" s="101"/>
    </row>
    <row r="274" spans="1:20" x14ac:dyDescent="0.3">
      <c r="A274" s="42"/>
      <c r="B274" s="98" t="s">
        <v>37</v>
      </c>
      <c r="C274" s="99">
        <v>20835</v>
      </c>
      <c r="D274" s="99">
        <v>4167</v>
      </c>
      <c r="E274" s="99">
        <f t="shared" si="32"/>
        <v>312.52499999999998</v>
      </c>
      <c r="F274" s="99">
        <f t="shared" si="33"/>
        <v>4479.5249999999996</v>
      </c>
      <c r="G274" s="99"/>
      <c r="H274" s="99"/>
      <c r="I274" s="100"/>
      <c r="J274" s="101"/>
      <c r="L274" s="106" t="s">
        <v>37</v>
      </c>
      <c r="M274" s="145">
        <v>20835</v>
      </c>
      <c r="N274" s="99">
        <v>4167</v>
      </c>
      <c r="O274" s="99">
        <f t="shared" si="34"/>
        <v>312.52499999999998</v>
      </c>
      <c r="P274" s="99">
        <f t="shared" si="35"/>
        <v>4479.5249999999996</v>
      </c>
      <c r="Q274" s="99"/>
      <c r="R274" s="99"/>
      <c r="S274" s="100"/>
      <c r="T274" s="101"/>
    </row>
    <row r="275" spans="1:20" x14ac:dyDescent="0.3">
      <c r="B275" s="98" t="s">
        <v>38</v>
      </c>
      <c r="C275" s="99">
        <v>16668</v>
      </c>
      <c r="D275" s="99">
        <v>4167</v>
      </c>
      <c r="E275" s="99">
        <f t="shared" si="32"/>
        <v>250.01999999999998</v>
      </c>
      <c r="F275" s="99">
        <f t="shared" si="33"/>
        <v>4417.0200000000004</v>
      </c>
      <c r="G275" s="99"/>
      <c r="H275" s="99"/>
      <c r="I275" s="100"/>
      <c r="J275" s="101"/>
      <c r="L275" s="106" t="s">
        <v>38</v>
      </c>
      <c r="M275" s="145">
        <v>16668</v>
      </c>
      <c r="N275" s="99">
        <v>4167</v>
      </c>
      <c r="O275" s="99">
        <f t="shared" si="34"/>
        <v>250.01999999999998</v>
      </c>
      <c r="P275" s="99">
        <f t="shared" si="35"/>
        <v>4417.0200000000004</v>
      </c>
      <c r="Q275" s="99"/>
      <c r="R275" s="99"/>
      <c r="S275" s="100"/>
      <c r="T275" s="101"/>
    </row>
    <row r="276" spans="1:20" ht="15" thickBot="1" x14ac:dyDescent="0.35">
      <c r="B276" s="98" t="s">
        <v>39</v>
      </c>
      <c r="C276" s="99">
        <v>12501</v>
      </c>
      <c r="D276" s="99">
        <v>4167</v>
      </c>
      <c r="E276" s="99">
        <f t="shared" si="32"/>
        <v>187.51499999999999</v>
      </c>
      <c r="F276" s="99">
        <f t="shared" si="33"/>
        <v>4354.5150000000003</v>
      </c>
      <c r="G276" s="99"/>
      <c r="H276" s="99"/>
      <c r="I276" s="100"/>
      <c r="J276" s="101"/>
      <c r="L276" s="106" t="s">
        <v>39</v>
      </c>
      <c r="M276" s="145">
        <v>12501</v>
      </c>
      <c r="N276" s="99">
        <v>4167</v>
      </c>
      <c r="O276" s="99">
        <f t="shared" si="34"/>
        <v>187.51499999999999</v>
      </c>
      <c r="P276" s="99">
        <f t="shared" si="35"/>
        <v>4354.5150000000003</v>
      </c>
      <c r="Q276" s="99"/>
      <c r="R276" s="99"/>
      <c r="S276" s="100"/>
      <c r="T276" s="101"/>
    </row>
    <row r="277" spans="1:20" x14ac:dyDescent="0.3">
      <c r="B277" s="164" t="s">
        <v>40</v>
      </c>
      <c r="C277" s="165">
        <v>8334</v>
      </c>
      <c r="D277" s="170">
        <v>4167</v>
      </c>
      <c r="E277" s="165">
        <f t="shared" si="32"/>
        <v>125.00999999999999</v>
      </c>
      <c r="F277" s="165">
        <f t="shared" si="33"/>
        <v>4292.01</v>
      </c>
      <c r="G277" s="165"/>
      <c r="H277" s="165"/>
      <c r="I277" s="166"/>
      <c r="J277" s="167"/>
      <c r="L277" s="168" t="s">
        <v>40</v>
      </c>
      <c r="M277" s="169">
        <v>8334</v>
      </c>
      <c r="N277" s="170">
        <v>4167</v>
      </c>
      <c r="O277" s="165">
        <f t="shared" si="34"/>
        <v>125.00999999999999</v>
      </c>
      <c r="P277" s="165">
        <f t="shared" si="35"/>
        <v>4292.01</v>
      </c>
      <c r="Q277" s="165"/>
      <c r="R277" s="165"/>
      <c r="S277" s="166"/>
      <c r="T277" s="167"/>
    </row>
    <row r="278" spans="1:20" x14ac:dyDescent="0.3">
      <c r="B278" s="106" t="s">
        <v>41</v>
      </c>
      <c r="C278" s="99">
        <v>4167</v>
      </c>
      <c r="D278" s="99">
        <v>4167</v>
      </c>
      <c r="E278" s="99">
        <f t="shared" si="32"/>
        <v>62.504999999999995</v>
      </c>
      <c r="F278" s="99">
        <f t="shared" si="33"/>
        <v>4229.5050000000001</v>
      </c>
      <c r="G278" s="99"/>
      <c r="H278" s="99"/>
      <c r="I278" s="100"/>
      <c r="J278" s="124" t="s">
        <v>42</v>
      </c>
      <c r="K278" s="171"/>
      <c r="L278" s="106" t="s">
        <v>41</v>
      </c>
      <c r="M278" s="99">
        <v>4167</v>
      </c>
      <c r="N278" s="99">
        <v>4167</v>
      </c>
      <c r="O278" s="99">
        <f t="shared" si="34"/>
        <v>62.504999999999995</v>
      </c>
      <c r="P278" s="99">
        <f t="shared" si="35"/>
        <v>4229.5050000000001</v>
      </c>
      <c r="Q278" s="99"/>
      <c r="R278" s="99"/>
      <c r="S278" s="100"/>
      <c r="T278" s="124" t="s">
        <v>42</v>
      </c>
    </row>
    <row r="279" spans="1:20" x14ac:dyDescent="0.3">
      <c r="A279" s="44"/>
      <c r="B279" s="81"/>
      <c r="C279" s="118"/>
      <c r="D279" s="118"/>
      <c r="E279" s="118"/>
      <c r="F279" s="118"/>
      <c r="G279" s="118"/>
      <c r="H279" s="118"/>
      <c r="I279" s="119"/>
      <c r="J279" s="120"/>
      <c r="L279" s="81"/>
      <c r="M279" s="118"/>
      <c r="N279" s="118"/>
      <c r="O279" s="118"/>
      <c r="P279" s="118"/>
      <c r="Q279" s="118"/>
      <c r="R279" s="118"/>
      <c r="S279" s="119"/>
      <c r="T279" s="120"/>
    </row>
    <row r="280" spans="1:20" x14ac:dyDescent="0.3">
      <c r="A280" s="1"/>
      <c r="B280" s="81"/>
      <c r="C280" s="118"/>
      <c r="D280" s="118"/>
      <c r="E280" s="118"/>
      <c r="F280" s="118"/>
      <c r="G280" s="118"/>
      <c r="H280" s="118"/>
      <c r="I280" s="119"/>
      <c r="J280" s="120"/>
      <c r="L280" s="81"/>
      <c r="M280" s="118"/>
      <c r="N280" s="118"/>
      <c r="O280" s="118"/>
      <c r="P280" s="118"/>
      <c r="Q280" s="118"/>
      <c r="R280" s="118"/>
      <c r="S280" s="119"/>
      <c r="T280" s="120"/>
    </row>
    <row r="281" spans="1:20" x14ac:dyDescent="0.3">
      <c r="A281" s="1"/>
      <c r="B281" s="81"/>
      <c r="C281" s="118"/>
      <c r="D281" s="118"/>
      <c r="E281" s="118"/>
      <c r="F281" s="118"/>
      <c r="G281" s="118"/>
      <c r="H281" s="118"/>
      <c r="I281" s="119"/>
      <c r="J281" s="120"/>
      <c r="L281" s="81"/>
      <c r="M281" s="118"/>
      <c r="N281" s="118"/>
      <c r="O281" s="118"/>
      <c r="P281" s="118"/>
      <c r="Q281" s="118"/>
      <c r="R281" s="118"/>
      <c r="S281" s="119"/>
      <c r="T281" s="120"/>
    </row>
    <row r="285" spans="1:20" x14ac:dyDescent="0.3">
      <c r="B285" s="77" t="s">
        <v>0</v>
      </c>
      <c r="C285" s="77" t="s">
        <v>159</v>
      </c>
      <c r="E285" s="78"/>
      <c r="F285" s="79"/>
      <c r="G285" s="80"/>
      <c r="I285" s="81" t="s">
        <v>1</v>
      </c>
      <c r="J285" s="82">
        <v>70000</v>
      </c>
      <c r="L285" s="77" t="s">
        <v>0</v>
      </c>
      <c r="M285" s="77" t="s">
        <v>159</v>
      </c>
      <c r="O285" s="78"/>
      <c r="P285" s="79"/>
      <c r="Q285" s="80"/>
      <c r="S285" s="81" t="s">
        <v>1</v>
      </c>
      <c r="T285" s="82">
        <v>70000</v>
      </c>
    </row>
    <row r="286" spans="1:20" x14ac:dyDescent="0.3">
      <c r="B286" s="77" t="s">
        <v>2</v>
      </c>
      <c r="C286" s="83"/>
      <c r="D286" s="79"/>
      <c r="E286" s="83"/>
      <c r="F286" s="81"/>
      <c r="G286" s="81"/>
      <c r="H286" s="84"/>
      <c r="I286" s="81" t="s">
        <v>3</v>
      </c>
      <c r="J286" s="130" t="s">
        <v>160</v>
      </c>
      <c r="L286" s="77" t="s">
        <v>2</v>
      </c>
      <c r="M286" s="83"/>
      <c r="N286" s="79"/>
      <c r="O286" s="83"/>
      <c r="P286" s="81"/>
      <c r="Q286" s="81"/>
      <c r="R286" s="84"/>
      <c r="S286" s="81" t="s">
        <v>3</v>
      </c>
      <c r="T286" s="130" t="s">
        <v>160</v>
      </c>
    </row>
    <row r="287" spans="1:20" x14ac:dyDescent="0.3">
      <c r="B287" s="77" t="s">
        <v>4</v>
      </c>
      <c r="C287" s="78"/>
      <c r="D287" s="79"/>
      <c r="E287" s="78"/>
      <c r="G287" s="81"/>
      <c r="H287" s="81"/>
      <c r="I287" s="81" t="s">
        <v>5</v>
      </c>
      <c r="J287" s="86">
        <v>1.4999999999999999E-2</v>
      </c>
      <c r="L287" s="77" t="s">
        <v>4</v>
      </c>
      <c r="M287" s="78"/>
      <c r="N287" s="79"/>
      <c r="O287" s="78"/>
      <c r="Q287" s="81"/>
      <c r="R287" s="81"/>
      <c r="S287" s="81" t="s">
        <v>5</v>
      </c>
      <c r="T287" s="86">
        <v>1.4999999999999999E-2</v>
      </c>
    </row>
    <row r="288" spans="1:20" ht="15" thickBot="1" x14ac:dyDescent="0.35">
      <c r="B288" s="77" t="s">
        <v>6</v>
      </c>
      <c r="C288" s="87"/>
      <c r="D288" s="87"/>
      <c r="F288" s="88"/>
      <c r="G288" s="88"/>
      <c r="H288" s="88"/>
      <c r="I288" s="88" t="s">
        <v>7</v>
      </c>
      <c r="J288" s="78">
        <v>24</v>
      </c>
      <c r="L288" s="77" t="s">
        <v>6</v>
      </c>
      <c r="M288" s="87"/>
      <c r="N288" s="87"/>
      <c r="P288" s="88"/>
      <c r="Q288" s="88"/>
      <c r="R288" s="88"/>
      <c r="S288" s="88" t="s">
        <v>7</v>
      </c>
      <c r="T288" s="78">
        <v>24</v>
      </c>
    </row>
    <row r="289" spans="2:20" ht="41.4" thickBot="1" x14ac:dyDescent="0.35">
      <c r="B289" s="89" t="s">
        <v>8</v>
      </c>
      <c r="C289" s="89" t="s">
        <v>9</v>
      </c>
      <c r="D289" s="89" t="s">
        <v>10</v>
      </c>
      <c r="E289" s="90" t="s">
        <v>11</v>
      </c>
      <c r="F289" s="91" t="s">
        <v>12</v>
      </c>
      <c r="G289" s="92" t="s">
        <v>13</v>
      </c>
      <c r="H289" s="92" t="s">
        <v>14</v>
      </c>
      <c r="I289" s="92" t="s">
        <v>15</v>
      </c>
      <c r="J289" s="93" t="s">
        <v>16</v>
      </c>
      <c r="L289" s="89" t="s">
        <v>8</v>
      </c>
      <c r="M289" s="89" t="s">
        <v>9</v>
      </c>
      <c r="N289" s="89" t="s">
        <v>10</v>
      </c>
      <c r="O289" s="90" t="s">
        <v>11</v>
      </c>
      <c r="P289" s="91" t="s">
        <v>12</v>
      </c>
      <c r="Q289" s="92" t="s">
        <v>13</v>
      </c>
      <c r="R289" s="92" t="s">
        <v>14</v>
      </c>
      <c r="S289" s="92" t="s">
        <v>15</v>
      </c>
      <c r="T289" s="93" t="s">
        <v>16</v>
      </c>
    </row>
    <row r="290" spans="2:20" x14ac:dyDescent="0.3">
      <c r="B290" s="94" t="s">
        <v>17</v>
      </c>
      <c r="C290" s="95">
        <f>J285</f>
        <v>70000</v>
      </c>
      <c r="D290" s="95">
        <f>J285/J288</f>
        <v>2916.6666666666665</v>
      </c>
      <c r="E290" s="95">
        <f t="shared" ref="E290:E313" si="36">(C290*0.015)</f>
        <v>1050</v>
      </c>
      <c r="F290" s="95">
        <f t="shared" ref="F290:F313" si="37">SUM(D290:E290)</f>
        <v>3966.6666666666665</v>
      </c>
      <c r="G290" s="95"/>
      <c r="H290" s="126"/>
      <c r="I290" s="96"/>
      <c r="J290" s="97"/>
      <c r="L290" s="94" t="s">
        <v>17</v>
      </c>
      <c r="M290" s="95">
        <f>T285</f>
        <v>70000</v>
      </c>
      <c r="N290" s="95">
        <f>T285/T288</f>
        <v>2916.6666666666665</v>
      </c>
      <c r="O290" s="95">
        <f t="shared" ref="O290:O313" si="38">(M290*0.015)</f>
        <v>1050</v>
      </c>
      <c r="P290" s="95">
        <f t="shared" ref="P290:P313" si="39">SUM(N290:O290)</f>
        <v>3966.6666666666665</v>
      </c>
      <c r="Q290" s="95"/>
      <c r="R290" s="126"/>
      <c r="S290" s="96"/>
      <c r="T290" s="97"/>
    </row>
    <row r="291" spans="2:20" x14ac:dyDescent="0.3">
      <c r="B291" s="98" t="s">
        <v>18</v>
      </c>
      <c r="C291" s="99">
        <v>67091</v>
      </c>
      <c r="D291" s="99">
        <v>2917</v>
      </c>
      <c r="E291" s="99">
        <f t="shared" si="36"/>
        <v>1006.365</v>
      </c>
      <c r="F291" s="99">
        <f t="shared" si="37"/>
        <v>3923.3649999999998</v>
      </c>
      <c r="G291" s="99"/>
      <c r="H291" s="127"/>
      <c r="I291" s="129"/>
      <c r="J291" s="101"/>
      <c r="L291" s="98" t="s">
        <v>18</v>
      </c>
      <c r="M291" s="99">
        <v>67091</v>
      </c>
      <c r="N291" s="99">
        <v>2917</v>
      </c>
      <c r="O291" s="99">
        <f t="shared" si="38"/>
        <v>1006.365</v>
      </c>
      <c r="P291" s="99">
        <f t="shared" si="39"/>
        <v>3923.3649999999998</v>
      </c>
      <c r="Q291" s="99"/>
      <c r="R291" s="127"/>
      <c r="S291" s="129"/>
      <c r="T291" s="101"/>
    </row>
    <row r="292" spans="2:20" x14ac:dyDescent="0.3">
      <c r="B292" s="98" t="s">
        <v>19</v>
      </c>
      <c r="C292" s="99">
        <v>64174</v>
      </c>
      <c r="D292" s="99">
        <v>2917</v>
      </c>
      <c r="E292" s="99">
        <f t="shared" si="36"/>
        <v>962.61</v>
      </c>
      <c r="F292" s="99">
        <f t="shared" si="37"/>
        <v>3879.61</v>
      </c>
      <c r="G292" s="99"/>
      <c r="H292" s="127"/>
      <c r="I292" s="129"/>
      <c r="J292" s="101"/>
      <c r="L292" s="98" t="s">
        <v>19</v>
      </c>
      <c r="M292" s="99">
        <v>64174</v>
      </c>
      <c r="N292" s="99">
        <v>2917</v>
      </c>
      <c r="O292" s="99">
        <f t="shared" si="38"/>
        <v>962.61</v>
      </c>
      <c r="P292" s="99">
        <f t="shared" si="39"/>
        <v>3879.61</v>
      </c>
      <c r="Q292" s="99"/>
      <c r="R292" s="127"/>
      <c r="S292" s="129"/>
      <c r="T292" s="101"/>
    </row>
    <row r="293" spans="2:20" ht="15" thickBot="1" x14ac:dyDescent="0.35">
      <c r="B293" s="98" t="s">
        <v>20</v>
      </c>
      <c r="C293" s="99">
        <v>61257</v>
      </c>
      <c r="D293" s="99">
        <v>2917</v>
      </c>
      <c r="E293" s="99">
        <f t="shared" si="36"/>
        <v>918.85500000000002</v>
      </c>
      <c r="F293" s="99">
        <f t="shared" si="37"/>
        <v>3835.855</v>
      </c>
      <c r="G293" s="99"/>
      <c r="H293" s="127"/>
      <c r="I293" s="129"/>
      <c r="J293" s="101"/>
      <c r="L293" s="98" t="s">
        <v>20</v>
      </c>
      <c r="M293" s="99">
        <v>61257</v>
      </c>
      <c r="N293" s="99">
        <v>2917</v>
      </c>
      <c r="O293" s="99">
        <f t="shared" si="38"/>
        <v>918.85500000000002</v>
      </c>
      <c r="P293" s="99">
        <f t="shared" si="39"/>
        <v>3835.855</v>
      </c>
      <c r="Q293" s="99"/>
      <c r="R293" s="127"/>
      <c r="S293" s="129"/>
      <c r="T293" s="101"/>
    </row>
    <row r="294" spans="2:20" x14ac:dyDescent="0.3">
      <c r="B294" s="98" t="s">
        <v>21</v>
      </c>
      <c r="C294" s="99">
        <v>58340</v>
      </c>
      <c r="D294" s="95">
        <v>2917</v>
      </c>
      <c r="E294" s="99">
        <f t="shared" si="36"/>
        <v>875.1</v>
      </c>
      <c r="F294" s="99">
        <f t="shared" si="37"/>
        <v>3792.1</v>
      </c>
      <c r="G294" s="99"/>
      <c r="H294" s="127"/>
      <c r="I294" s="129"/>
      <c r="J294" s="101"/>
      <c r="L294" s="98" t="s">
        <v>21</v>
      </c>
      <c r="M294" s="99">
        <v>58340</v>
      </c>
      <c r="N294" s="95">
        <v>2917</v>
      </c>
      <c r="O294" s="99">
        <f t="shared" si="38"/>
        <v>875.1</v>
      </c>
      <c r="P294" s="99">
        <f t="shared" si="39"/>
        <v>3792.1</v>
      </c>
      <c r="Q294" s="99"/>
      <c r="R294" s="127"/>
      <c r="S294" s="129"/>
      <c r="T294" s="101"/>
    </row>
    <row r="295" spans="2:20" x14ac:dyDescent="0.3">
      <c r="B295" s="98" t="s">
        <v>23</v>
      </c>
      <c r="C295" s="99">
        <v>55423</v>
      </c>
      <c r="D295" s="99">
        <v>2917</v>
      </c>
      <c r="E295" s="99">
        <f t="shared" si="36"/>
        <v>831.34499999999991</v>
      </c>
      <c r="F295" s="99">
        <f t="shared" si="37"/>
        <v>3748.3449999999998</v>
      </c>
      <c r="G295" s="99"/>
      <c r="H295" s="127"/>
      <c r="I295" s="129"/>
      <c r="J295" s="101"/>
      <c r="L295" s="98" t="s">
        <v>23</v>
      </c>
      <c r="M295" s="99">
        <v>55423</v>
      </c>
      <c r="N295" s="99">
        <v>2917</v>
      </c>
      <c r="O295" s="99">
        <f t="shared" si="38"/>
        <v>831.34499999999991</v>
      </c>
      <c r="P295" s="99">
        <f t="shared" si="39"/>
        <v>3748.3449999999998</v>
      </c>
      <c r="Q295" s="99"/>
      <c r="R295" s="127"/>
      <c r="S295" s="129"/>
      <c r="T295" s="101"/>
    </row>
    <row r="296" spans="2:20" x14ac:dyDescent="0.3">
      <c r="B296" s="98" t="s">
        <v>24</v>
      </c>
      <c r="C296" s="99">
        <v>52506</v>
      </c>
      <c r="D296" s="99">
        <v>2917</v>
      </c>
      <c r="E296" s="99">
        <f t="shared" si="36"/>
        <v>787.58999999999992</v>
      </c>
      <c r="F296" s="99">
        <f t="shared" si="37"/>
        <v>3704.59</v>
      </c>
      <c r="G296" s="99"/>
      <c r="H296" s="127"/>
      <c r="I296" s="129"/>
      <c r="J296" s="101"/>
      <c r="L296" s="98" t="s">
        <v>24</v>
      </c>
      <c r="M296" s="99">
        <v>52506</v>
      </c>
      <c r="N296" s="99">
        <v>2917</v>
      </c>
      <c r="O296" s="99">
        <f t="shared" si="38"/>
        <v>787.58999999999992</v>
      </c>
      <c r="P296" s="99">
        <f t="shared" si="39"/>
        <v>3704.59</v>
      </c>
      <c r="Q296" s="99"/>
      <c r="R296" s="127"/>
      <c r="S296" s="129"/>
      <c r="T296" s="101"/>
    </row>
    <row r="297" spans="2:20" ht="15" thickBot="1" x14ac:dyDescent="0.35">
      <c r="B297" s="98" t="s">
        <v>25</v>
      </c>
      <c r="C297" s="99">
        <v>49589</v>
      </c>
      <c r="D297" s="99">
        <v>2917</v>
      </c>
      <c r="E297" s="99">
        <f t="shared" si="36"/>
        <v>743.83499999999992</v>
      </c>
      <c r="F297" s="99">
        <f t="shared" si="37"/>
        <v>3660.835</v>
      </c>
      <c r="G297" s="99"/>
      <c r="H297" s="127"/>
      <c r="I297" s="129"/>
      <c r="J297" s="101"/>
      <c r="L297" s="98" t="s">
        <v>25</v>
      </c>
      <c r="M297" s="99">
        <v>49589</v>
      </c>
      <c r="N297" s="99">
        <v>2917</v>
      </c>
      <c r="O297" s="99">
        <f t="shared" si="38"/>
        <v>743.83499999999992</v>
      </c>
      <c r="P297" s="99">
        <f t="shared" si="39"/>
        <v>3660.835</v>
      </c>
      <c r="Q297" s="99"/>
      <c r="R297" s="127"/>
      <c r="S297" s="129"/>
      <c r="T297" s="101"/>
    </row>
    <row r="298" spans="2:20" x14ac:dyDescent="0.3">
      <c r="B298" s="98" t="s">
        <v>26</v>
      </c>
      <c r="C298" s="99">
        <v>46672</v>
      </c>
      <c r="D298" s="95">
        <v>2917</v>
      </c>
      <c r="E298" s="99">
        <f t="shared" si="36"/>
        <v>700.07999999999993</v>
      </c>
      <c r="F298" s="99">
        <f t="shared" si="37"/>
        <v>3617.08</v>
      </c>
      <c r="G298" s="99"/>
      <c r="H298" s="127"/>
      <c r="I298" s="129"/>
      <c r="J298" s="101"/>
      <c r="L298" s="98" t="s">
        <v>26</v>
      </c>
      <c r="M298" s="99">
        <v>46672</v>
      </c>
      <c r="N298" s="95">
        <v>2917</v>
      </c>
      <c r="O298" s="99">
        <f t="shared" si="38"/>
        <v>700.07999999999993</v>
      </c>
      <c r="P298" s="99">
        <f t="shared" si="39"/>
        <v>3617.08</v>
      </c>
      <c r="Q298" s="99"/>
      <c r="R298" s="127"/>
      <c r="S298" s="129"/>
      <c r="T298" s="101"/>
    </row>
    <row r="299" spans="2:20" x14ac:dyDescent="0.3">
      <c r="B299" s="98" t="s">
        <v>27</v>
      </c>
      <c r="C299" s="99">
        <v>43755</v>
      </c>
      <c r="D299" s="99">
        <v>2917</v>
      </c>
      <c r="E299" s="99">
        <f t="shared" si="36"/>
        <v>656.32499999999993</v>
      </c>
      <c r="F299" s="99">
        <f t="shared" si="37"/>
        <v>3573.3249999999998</v>
      </c>
      <c r="G299" s="99"/>
      <c r="H299" s="127"/>
      <c r="I299" s="129"/>
      <c r="J299" s="101"/>
      <c r="L299" s="98" t="s">
        <v>27</v>
      </c>
      <c r="M299" s="99">
        <v>43755</v>
      </c>
      <c r="N299" s="99">
        <v>2917</v>
      </c>
      <c r="O299" s="99">
        <f t="shared" si="38"/>
        <v>656.32499999999993</v>
      </c>
      <c r="P299" s="99">
        <f t="shared" si="39"/>
        <v>3573.3249999999998</v>
      </c>
      <c r="Q299" s="99"/>
      <c r="R299" s="127"/>
      <c r="S299" s="129"/>
      <c r="T299" s="101"/>
    </row>
    <row r="300" spans="2:20" x14ac:dyDescent="0.3">
      <c r="B300" s="98" t="s">
        <v>28</v>
      </c>
      <c r="C300" s="99">
        <v>40838</v>
      </c>
      <c r="D300" s="99">
        <v>2917</v>
      </c>
      <c r="E300" s="99">
        <f t="shared" si="36"/>
        <v>612.56999999999994</v>
      </c>
      <c r="F300" s="99">
        <f t="shared" si="37"/>
        <v>3529.5699999999997</v>
      </c>
      <c r="G300" s="99"/>
      <c r="H300" s="127"/>
      <c r="I300" s="129"/>
      <c r="J300" s="101"/>
      <c r="L300" s="98" t="s">
        <v>28</v>
      </c>
      <c r="M300" s="99">
        <v>40838</v>
      </c>
      <c r="N300" s="99">
        <v>2917</v>
      </c>
      <c r="O300" s="99">
        <f t="shared" si="38"/>
        <v>612.56999999999994</v>
      </c>
      <c r="P300" s="99">
        <f t="shared" si="39"/>
        <v>3529.5699999999997</v>
      </c>
      <c r="Q300" s="99"/>
      <c r="R300" s="127"/>
      <c r="S300" s="129"/>
      <c r="T300" s="101"/>
    </row>
    <row r="301" spans="2:20" x14ac:dyDescent="0.3">
      <c r="B301" s="98" t="s">
        <v>29</v>
      </c>
      <c r="C301" s="99">
        <v>37921</v>
      </c>
      <c r="D301" s="99">
        <v>2917</v>
      </c>
      <c r="E301" s="99">
        <f t="shared" si="36"/>
        <v>568.81499999999994</v>
      </c>
      <c r="F301" s="99">
        <f t="shared" si="37"/>
        <v>3485.8150000000001</v>
      </c>
      <c r="G301" s="99"/>
      <c r="H301" s="127"/>
      <c r="I301" s="129"/>
      <c r="J301" s="101"/>
      <c r="L301" s="98" t="s">
        <v>29</v>
      </c>
      <c r="M301" s="99">
        <v>37921</v>
      </c>
      <c r="N301" s="99">
        <v>2917</v>
      </c>
      <c r="O301" s="99">
        <f t="shared" si="38"/>
        <v>568.81499999999994</v>
      </c>
      <c r="P301" s="99">
        <f t="shared" si="39"/>
        <v>3485.8150000000001</v>
      </c>
      <c r="Q301" s="99"/>
      <c r="R301" s="127"/>
      <c r="S301" s="129"/>
      <c r="T301" s="101"/>
    </row>
    <row r="302" spans="2:20" x14ac:dyDescent="0.3">
      <c r="B302" s="98" t="s">
        <v>30</v>
      </c>
      <c r="C302" s="99">
        <v>35004</v>
      </c>
      <c r="D302" s="99">
        <v>2917</v>
      </c>
      <c r="E302" s="99">
        <f t="shared" si="36"/>
        <v>525.05999999999995</v>
      </c>
      <c r="F302" s="99">
        <f t="shared" si="37"/>
        <v>3442.06</v>
      </c>
      <c r="G302" s="99"/>
      <c r="H302" s="127"/>
      <c r="I302" s="129"/>
      <c r="J302" s="101"/>
      <c r="L302" s="98" t="s">
        <v>30</v>
      </c>
      <c r="M302" s="99">
        <v>35004</v>
      </c>
      <c r="N302" s="99">
        <v>2917</v>
      </c>
      <c r="O302" s="99">
        <f t="shared" si="38"/>
        <v>525.05999999999995</v>
      </c>
      <c r="P302" s="99">
        <f t="shared" si="39"/>
        <v>3442.06</v>
      </c>
      <c r="Q302" s="99"/>
      <c r="R302" s="127"/>
      <c r="S302" s="129"/>
      <c r="T302" s="101"/>
    </row>
    <row r="303" spans="2:20" ht="15" thickBot="1" x14ac:dyDescent="0.35">
      <c r="B303" s="98" t="s">
        <v>31</v>
      </c>
      <c r="C303" s="99">
        <v>32087</v>
      </c>
      <c r="D303" s="99">
        <v>2917</v>
      </c>
      <c r="E303" s="99">
        <f t="shared" si="36"/>
        <v>481.30500000000001</v>
      </c>
      <c r="F303" s="99">
        <f t="shared" si="37"/>
        <v>3398.3049999999998</v>
      </c>
      <c r="G303" s="99"/>
      <c r="H303" s="127"/>
      <c r="I303" s="129"/>
      <c r="J303" s="101"/>
      <c r="L303" s="98" t="s">
        <v>31</v>
      </c>
      <c r="M303" s="99">
        <v>32087</v>
      </c>
      <c r="N303" s="99">
        <v>2917</v>
      </c>
      <c r="O303" s="99">
        <f t="shared" si="38"/>
        <v>481.30500000000001</v>
      </c>
      <c r="P303" s="99">
        <f t="shared" si="39"/>
        <v>3398.3049999999998</v>
      </c>
      <c r="Q303" s="99"/>
      <c r="R303" s="127"/>
      <c r="S303" s="129"/>
      <c r="T303" s="101"/>
    </row>
    <row r="304" spans="2:20" x14ac:dyDescent="0.3">
      <c r="B304" s="98" t="s">
        <v>32</v>
      </c>
      <c r="C304" s="99">
        <v>29170</v>
      </c>
      <c r="D304" s="95">
        <v>2917</v>
      </c>
      <c r="E304" s="99">
        <f t="shared" si="36"/>
        <v>437.55</v>
      </c>
      <c r="F304" s="99">
        <f t="shared" si="37"/>
        <v>3354.55</v>
      </c>
      <c r="G304" s="99"/>
      <c r="H304" s="127"/>
      <c r="I304" s="100"/>
      <c r="J304" s="101"/>
      <c r="L304" s="98" t="s">
        <v>32</v>
      </c>
      <c r="M304" s="99">
        <v>29170</v>
      </c>
      <c r="N304" s="95">
        <v>2917</v>
      </c>
      <c r="O304" s="99">
        <f t="shared" si="38"/>
        <v>437.55</v>
      </c>
      <c r="P304" s="99">
        <f t="shared" si="39"/>
        <v>3354.55</v>
      </c>
      <c r="Q304" s="99"/>
      <c r="R304" s="127"/>
      <c r="S304" s="100"/>
      <c r="T304" s="101"/>
    </row>
    <row r="305" spans="2:20" x14ac:dyDescent="0.3">
      <c r="B305" s="98" t="s">
        <v>33</v>
      </c>
      <c r="C305" s="99">
        <v>26253</v>
      </c>
      <c r="D305" s="99">
        <v>2917</v>
      </c>
      <c r="E305" s="99">
        <f t="shared" si="36"/>
        <v>393.79499999999996</v>
      </c>
      <c r="F305" s="99">
        <f t="shared" si="37"/>
        <v>3310.7950000000001</v>
      </c>
      <c r="G305" s="99"/>
      <c r="H305" s="127"/>
      <c r="I305" s="100"/>
      <c r="J305" s="101"/>
      <c r="L305" s="98" t="s">
        <v>33</v>
      </c>
      <c r="M305" s="99">
        <v>26253</v>
      </c>
      <c r="N305" s="99">
        <v>2917</v>
      </c>
      <c r="O305" s="99">
        <f t="shared" si="38"/>
        <v>393.79499999999996</v>
      </c>
      <c r="P305" s="99">
        <f t="shared" si="39"/>
        <v>3310.7950000000001</v>
      </c>
      <c r="Q305" s="99"/>
      <c r="R305" s="127"/>
      <c r="S305" s="100"/>
      <c r="T305" s="101"/>
    </row>
    <row r="306" spans="2:20" x14ac:dyDescent="0.3">
      <c r="B306" s="98" t="s">
        <v>34</v>
      </c>
      <c r="C306" s="99">
        <v>23336</v>
      </c>
      <c r="D306" s="99">
        <v>2917</v>
      </c>
      <c r="E306" s="99">
        <f t="shared" si="36"/>
        <v>350.03999999999996</v>
      </c>
      <c r="F306" s="99">
        <f t="shared" si="37"/>
        <v>3267.04</v>
      </c>
      <c r="G306" s="99"/>
      <c r="H306" s="127"/>
      <c r="I306" s="100"/>
      <c r="J306" s="101"/>
      <c r="L306" s="98" t="s">
        <v>34</v>
      </c>
      <c r="M306" s="99">
        <v>23336</v>
      </c>
      <c r="N306" s="99">
        <v>2917</v>
      </c>
      <c r="O306" s="99">
        <f t="shared" si="38"/>
        <v>350.03999999999996</v>
      </c>
      <c r="P306" s="99">
        <f t="shared" si="39"/>
        <v>3267.04</v>
      </c>
      <c r="Q306" s="99"/>
      <c r="R306" s="127"/>
      <c r="S306" s="100"/>
      <c r="T306" s="101"/>
    </row>
    <row r="307" spans="2:20" ht="15" thickBot="1" x14ac:dyDescent="0.35">
      <c r="B307" s="98" t="s">
        <v>35</v>
      </c>
      <c r="C307" s="99">
        <v>20419</v>
      </c>
      <c r="D307" s="99">
        <v>2917</v>
      </c>
      <c r="E307" s="99">
        <f t="shared" si="36"/>
        <v>306.28499999999997</v>
      </c>
      <c r="F307" s="99">
        <f t="shared" si="37"/>
        <v>3223.2849999999999</v>
      </c>
      <c r="G307" s="99"/>
      <c r="H307" s="127"/>
      <c r="I307" s="100"/>
      <c r="J307" s="101"/>
      <c r="L307" s="98" t="s">
        <v>35</v>
      </c>
      <c r="M307" s="99">
        <v>20419</v>
      </c>
      <c r="N307" s="99">
        <v>2917</v>
      </c>
      <c r="O307" s="99">
        <f t="shared" si="38"/>
        <v>306.28499999999997</v>
      </c>
      <c r="P307" s="99">
        <f t="shared" si="39"/>
        <v>3223.2849999999999</v>
      </c>
      <c r="Q307" s="99"/>
      <c r="R307" s="127"/>
      <c r="S307" s="100"/>
      <c r="T307" s="101"/>
    </row>
    <row r="308" spans="2:20" x14ac:dyDescent="0.3">
      <c r="B308" s="98" t="s">
        <v>36</v>
      </c>
      <c r="C308" s="99">
        <v>17502</v>
      </c>
      <c r="D308" s="95">
        <v>2917</v>
      </c>
      <c r="E308" s="99">
        <f t="shared" si="36"/>
        <v>262.52999999999997</v>
      </c>
      <c r="F308" s="99">
        <f t="shared" si="37"/>
        <v>3179.5299999999997</v>
      </c>
      <c r="G308" s="99"/>
      <c r="H308" s="99"/>
      <c r="I308" s="100"/>
      <c r="J308" s="101"/>
      <c r="L308" s="98" t="s">
        <v>36</v>
      </c>
      <c r="M308" s="99">
        <v>17502</v>
      </c>
      <c r="N308" s="95">
        <v>2917</v>
      </c>
      <c r="O308" s="99">
        <f t="shared" si="38"/>
        <v>262.52999999999997</v>
      </c>
      <c r="P308" s="99">
        <f t="shared" si="39"/>
        <v>3179.5299999999997</v>
      </c>
      <c r="Q308" s="99"/>
      <c r="R308" s="99"/>
      <c r="S308" s="100"/>
      <c r="T308" s="101"/>
    </row>
    <row r="309" spans="2:20" x14ac:dyDescent="0.3">
      <c r="B309" s="98" t="s">
        <v>37</v>
      </c>
      <c r="C309" s="99">
        <v>14585</v>
      </c>
      <c r="D309" s="99">
        <v>2917</v>
      </c>
      <c r="E309" s="99">
        <f t="shared" si="36"/>
        <v>218.77500000000001</v>
      </c>
      <c r="F309" s="99">
        <f t="shared" si="37"/>
        <v>3135.7750000000001</v>
      </c>
      <c r="G309" s="99"/>
      <c r="H309" s="99"/>
      <c r="I309" s="100"/>
      <c r="J309" s="101"/>
      <c r="L309" s="98" t="s">
        <v>37</v>
      </c>
      <c r="M309" s="99">
        <v>14585</v>
      </c>
      <c r="N309" s="99">
        <v>2917</v>
      </c>
      <c r="O309" s="99">
        <f t="shared" si="38"/>
        <v>218.77500000000001</v>
      </c>
      <c r="P309" s="99">
        <f t="shared" si="39"/>
        <v>3135.7750000000001</v>
      </c>
      <c r="Q309" s="99"/>
      <c r="R309" s="99"/>
      <c r="S309" s="100"/>
      <c r="T309" s="101"/>
    </row>
    <row r="310" spans="2:20" x14ac:dyDescent="0.3">
      <c r="B310" s="98" t="s">
        <v>38</v>
      </c>
      <c r="C310" s="99">
        <v>11668</v>
      </c>
      <c r="D310" s="99">
        <v>2917</v>
      </c>
      <c r="E310" s="99">
        <f t="shared" si="36"/>
        <v>175.01999999999998</v>
      </c>
      <c r="F310" s="99">
        <f t="shared" si="37"/>
        <v>3092.02</v>
      </c>
      <c r="G310" s="99"/>
      <c r="H310" s="99"/>
      <c r="I310" s="100"/>
      <c r="J310" s="101"/>
      <c r="L310" s="98" t="s">
        <v>38</v>
      </c>
      <c r="M310" s="99">
        <v>11668</v>
      </c>
      <c r="N310" s="99">
        <v>2917</v>
      </c>
      <c r="O310" s="99">
        <f t="shared" si="38"/>
        <v>175.01999999999998</v>
      </c>
      <c r="P310" s="99">
        <f t="shared" si="39"/>
        <v>3092.02</v>
      </c>
      <c r="Q310" s="99"/>
      <c r="R310" s="99"/>
      <c r="S310" s="100"/>
      <c r="T310" s="101"/>
    </row>
    <row r="311" spans="2:20" ht="15" thickBot="1" x14ac:dyDescent="0.35">
      <c r="B311" s="98" t="s">
        <v>39</v>
      </c>
      <c r="C311" s="99">
        <v>8751</v>
      </c>
      <c r="D311" s="99">
        <v>2917</v>
      </c>
      <c r="E311" s="99">
        <f t="shared" si="36"/>
        <v>131.26499999999999</v>
      </c>
      <c r="F311" s="99">
        <f t="shared" si="37"/>
        <v>3048.2649999999999</v>
      </c>
      <c r="G311" s="99"/>
      <c r="H311" s="99"/>
      <c r="I311" s="100"/>
      <c r="J311" s="101"/>
      <c r="L311" s="98" t="s">
        <v>39</v>
      </c>
      <c r="M311" s="99">
        <v>8751</v>
      </c>
      <c r="N311" s="99">
        <v>2917</v>
      </c>
      <c r="O311" s="99">
        <f t="shared" si="38"/>
        <v>131.26499999999999</v>
      </c>
      <c r="P311" s="99">
        <f t="shared" si="39"/>
        <v>3048.2649999999999</v>
      </c>
      <c r="Q311" s="99"/>
      <c r="R311" s="99"/>
      <c r="S311" s="100"/>
      <c r="T311" s="101"/>
    </row>
    <row r="312" spans="2:20" x14ac:dyDescent="0.3">
      <c r="B312" s="98" t="s">
        <v>40</v>
      </c>
      <c r="C312" s="99">
        <v>5834</v>
      </c>
      <c r="D312" s="95">
        <v>2917</v>
      </c>
      <c r="E312" s="99">
        <f t="shared" si="36"/>
        <v>87.509999999999991</v>
      </c>
      <c r="F312" s="99">
        <f t="shared" si="37"/>
        <v>3004.51</v>
      </c>
      <c r="G312" s="99"/>
      <c r="H312" s="99"/>
      <c r="I312" s="100"/>
      <c r="J312" s="101"/>
      <c r="L312" s="98" t="s">
        <v>40</v>
      </c>
      <c r="M312" s="99">
        <v>5834</v>
      </c>
      <c r="N312" s="95">
        <v>2917</v>
      </c>
      <c r="O312" s="99">
        <f t="shared" si="38"/>
        <v>87.509999999999991</v>
      </c>
      <c r="P312" s="99">
        <f t="shared" si="39"/>
        <v>3004.51</v>
      </c>
      <c r="Q312" s="99"/>
      <c r="R312" s="99"/>
      <c r="S312" s="100"/>
      <c r="T312" s="101"/>
    </row>
    <row r="313" spans="2:20" ht="15" thickBot="1" x14ac:dyDescent="0.35">
      <c r="B313" s="103" t="s">
        <v>41</v>
      </c>
      <c r="C313" s="102">
        <v>2917</v>
      </c>
      <c r="D313" s="99">
        <v>2917</v>
      </c>
      <c r="E313" s="102">
        <f t="shared" si="36"/>
        <v>43.754999999999995</v>
      </c>
      <c r="F313" s="102">
        <f t="shared" si="37"/>
        <v>2960.7550000000001</v>
      </c>
      <c r="G313" s="102"/>
      <c r="H313" s="102"/>
      <c r="I313" s="104"/>
      <c r="J313" s="105" t="s">
        <v>42</v>
      </c>
      <c r="L313" s="103" t="s">
        <v>41</v>
      </c>
      <c r="M313" s="102">
        <v>2917</v>
      </c>
      <c r="N313" s="99">
        <v>2917</v>
      </c>
      <c r="O313" s="102">
        <f t="shared" si="38"/>
        <v>43.754999999999995</v>
      </c>
      <c r="P313" s="102">
        <f t="shared" si="39"/>
        <v>2960.7550000000001</v>
      </c>
      <c r="Q313" s="102"/>
      <c r="R313" s="102"/>
      <c r="S313" s="104"/>
      <c r="T313" s="105" t="s">
        <v>42</v>
      </c>
    </row>
    <row r="316" spans="2:20" ht="15" thickBot="1" x14ac:dyDescent="0.35">
      <c r="B316" s="77" t="s">
        <v>6</v>
      </c>
      <c r="C316" s="87"/>
      <c r="D316" s="87"/>
      <c r="E316" s="88"/>
      <c r="F316" s="88"/>
      <c r="G316" s="88"/>
      <c r="H316" s="88"/>
      <c r="I316" s="88" t="s">
        <v>7</v>
      </c>
      <c r="J316" s="78">
        <v>24</v>
      </c>
      <c r="L316" s="77" t="s">
        <v>6</v>
      </c>
      <c r="M316" s="87"/>
      <c r="N316" s="87"/>
      <c r="O316" s="88"/>
      <c r="P316" s="88"/>
      <c r="Q316" s="88"/>
      <c r="R316" s="88"/>
      <c r="S316" s="88" t="s">
        <v>7</v>
      </c>
      <c r="T316" s="78">
        <v>24</v>
      </c>
    </row>
    <row r="317" spans="2:20" ht="41.4" thickBot="1" x14ac:dyDescent="0.35">
      <c r="B317" s="89" t="s">
        <v>8</v>
      </c>
      <c r="C317" s="89" t="s">
        <v>9</v>
      </c>
      <c r="D317" s="89" t="s">
        <v>10</v>
      </c>
      <c r="E317" s="90" t="s">
        <v>11</v>
      </c>
      <c r="F317" s="91" t="s">
        <v>12</v>
      </c>
      <c r="G317" s="92" t="s">
        <v>13</v>
      </c>
      <c r="H317" s="92" t="s">
        <v>14</v>
      </c>
      <c r="I317" s="92" t="s">
        <v>15</v>
      </c>
      <c r="J317" s="93" t="s">
        <v>16</v>
      </c>
      <c r="L317" s="89" t="s">
        <v>8</v>
      </c>
      <c r="M317" s="89" t="s">
        <v>9</v>
      </c>
      <c r="N317" s="89" t="s">
        <v>10</v>
      </c>
      <c r="O317" s="90" t="s">
        <v>11</v>
      </c>
      <c r="P317" s="91" t="s">
        <v>12</v>
      </c>
      <c r="Q317" s="92" t="s">
        <v>13</v>
      </c>
      <c r="R317" s="92" t="s">
        <v>14</v>
      </c>
      <c r="S317" s="92" t="s">
        <v>15</v>
      </c>
      <c r="T317" s="93" t="s">
        <v>16</v>
      </c>
    </row>
    <row r="318" spans="2:20" x14ac:dyDescent="0.3">
      <c r="B318" s="94" t="s">
        <v>17</v>
      </c>
      <c r="C318" s="95">
        <f>'12 mos'!J433</f>
        <v>0</v>
      </c>
      <c r="D318" s="95">
        <f>'12 mos'!J433/J316</f>
        <v>0</v>
      </c>
      <c r="E318" s="95">
        <f t="shared" ref="E318:E341" si="40">(C318*0.015)</f>
        <v>0</v>
      </c>
      <c r="F318" s="95">
        <f t="shared" ref="F318:F341" si="41">SUM(D318:E318)</f>
        <v>0</v>
      </c>
      <c r="G318" s="95"/>
      <c r="H318" s="95"/>
      <c r="I318" s="96"/>
      <c r="J318" s="97"/>
      <c r="L318" s="94" t="s">
        <v>17</v>
      </c>
      <c r="M318" s="95">
        <f>'12 mos'!T433</f>
        <v>0</v>
      </c>
      <c r="N318" s="95">
        <f>'12 mos'!T433/T316</f>
        <v>0</v>
      </c>
      <c r="O318" s="95">
        <f t="shared" ref="O318:O341" si="42">(M318*0.015)</f>
        <v>0</v>
      </c>
      <c r="P318" s="95">
        <f t="shared" ref="P318:P341" si="43">SUM(N318:O318)</f>
        <v>0</v>
      </c>
      <c r="Q318" s="95"/>
      <c r="R318" s="95"/>
      <c r="S318" s="96"/>
      <c r="T318" s="97"/>
    </row>
    <row r="319" spans="2:20" x14ac:dyDescent="0.3">
      <c r="B319" s="98" t="s">
        <v>18</v>
      </c>
      <c r="C319" s="99">
        <v>57500</v>
      </c>
      <c r="D319" s="99">
        <v>2500</v>
      </c>
      <c r="E319" s="99">
        <f t="shared" si="40"/>
        <v>862.5</v>
      </c>
      <c r="F319" s="99">
        <f t="shared" si="41"/>
        <v>3362.5</v>
      </c>
      <c r="G319" s="99"/>
      <c r="H319" s="99"/>
      <c r="I319" s="100"/>
      <c r="J319" s="101"/>
      <c r="L319" s="98" t="s">
        <v>18</v>
      </c>
      <c r="M319" s="99">
        <v>57500</v>
      </c>
      <c r="N319" s="99">
        <v>2500</v>
      </c>
      <c r="O319" s="99">
        <f t="shared" si="42"/>
        <v>862.5</v>
      </c>
      <c r="P319" s="99">
        <f t="shared" si="43"/>
        <v>3362.5</v>
      </c>
      <c r="Q319" s="99"/>
      <c r="R319" s="99"/>
      <c r="S319" s="100"/>
      <c r="T319" s="101"/>
    </row>
    <row r="320" spans="2:20" x14ac:dyDescent="0.3">
      <c r="B320" s="98" t="s">
        <v>19</v>
      </c>
      <c r="C320" s="99">
        <v>55000</v>
      </c>
      <c r="D320" s="99">
        <v>2500</v>
      </c>
      <c r="E320" s="99">
        <f t="shared" si="40"/>
        <v>825</v>
      </c>
      <c r="F320" s="99">
        <f t="shared" si="41"/>
        <v>3325</v>
      </c>
      <c r="G320" s="99"/>
      <c r="H320" s="99"/>
      <c r="I320" s="100"/>
      <c r="J320" s="101"/>
      <c r="L320" s="98" t="s">
        <v>19</v>
      </c>
      <c r="M320" s="99">
        <v>55000</v>
      </c>
      <c r="N320" s="99">
        <v>2500</v>
      </c>
      <c r="O320" s="99">
        <f t="shared" si="42"/>
        <v>825</v>
      </c>
      <c r="P320" s="99">
        <f t="shared" si="43"/>
        <v>3325</v>
      </c>
      <c r="Q320" s="99"/>
      <c r="R320" s="99"/>
      <c r="S320" s="100"/>
      <c r="T320" s="101"/>
    </row>
    <row r="321" spans="2:20" ht="15" thickBot="1" x14ac:dyDescent="0.35">
      <c r="B321" s="98" t="s">
        <v>20</v>
      </c>
      <c r="C321" s="99">
        <v>52500</v>
      </c>
      <c r="D321" s="99">
        <v>2500</v>
      </c>
      <c r="E321" s="99">
        <f t="shared" si="40"/>
        <v>787.5</v>
      </c>
      <c r="F321" s="99">
        <f t="shared" si="41"/>
        <v>3287.5</v>
      </c>
      <c r="G321" s="99"/>
      <c r="H321" s="99"/>
      <c r="I321" s="100"/>
      <c r="J321" s="101"/>
      <c r="L321" s="98" t="s">
        <v>20</v>
      </c>
      <c r="M321" s="99">
        <v>52500</v>
      </c>
      <c r="N321" s="99">
        <v>2500</v>
      </c>
      <c r="O321" s="99">
        <f t="shared" si="42"/>
        <v>787.5</v>
      </c>
      <c r="P321" s="99">
        <f t="shared" si="43"/>
        <v>3287.5</v>
      </c>
      <c r="Q321" s="99"/>
      <c r="R321" s="99"/>
      <c r="S321" s="100"/>
      <c r="T321" s="101"/>
    </row>
    <row r="322" spans="2:20" x14ac:dyDescent="0.3">
      <c r="B322" s="98" t="s">
        <v>21</v>
      </c>
      <c r="C322" s="99">
        <v>50000</v>
      </c>
      <c r="D322" s="95">
        <v>2500</v>
      </c>
      <c r="E322" s="99">
        <f t="shared" si="40"/>
        <v>750</v>
      </c>
      <c r="F322" s="99">
        <f t="shared" si="41"/>
        <v>3250</v>
      </c>
      <c r="G322" s="99"/>
      <c r="H322" s="99"/>
      <c r="I322" s="100"/>
      <c r="J322" s="101"/>
      <c r="L322" s="98" t="s">
        <v>21</v>
      </c>
      <c r="M322" s="99">
        <v>50000</v>
      </c>
      <c r="N322" s="95">
        <v>2500</v>
      </c>
      <c r="O322" s="99">
        <f t="shared" si="42"/>
        <v>750</v>
      </c>
      <c r="P322" s="99">
        <f t="shared" si="43"/>
        <v>3250</v>
      </c>
      <c r="Q322" s="99"/>
      <c r="R322" s="99"/>
      <c r="S322" s="100"/>
      <c r="T322" s="101"/>
    </row>
    <row r="323" spans="2:20" ht="15" thickBot="1" x14ac:dyDescent="0.35">
      <c r="B323" s="98" t="s">
        <v>23</v>
      </c>
      <c r="C323" s="99">
        <v>47500</v>
      </c>
      <c r="D323" s="99">
        <v>2500</v>
      </c>
      <c r="E323" s="99">
        <f t="shared" si="40"/>
        <v>712.5</v>
      </c>
      <c r="F323" s="99">
        <f t="shared" si="41"/>
        <v>3212.5</v>
      </c>
      <c r="G323" s="99"/>
      <c r="H323" s="99"/>
      <c r="I323" s="100"/>
      <c r="J323" s="101"/>
      <c r="L323" s="98" t="s">
        <v>23</v>
      </c>
      <c r="M323" s="99">
        <v>47500</v>
      </c>
      <c r="N323" s="99">
        <v>2500</v>
      </c>
      <c r="O323" s="99">
        <f t="shared" si="42"/>
        <v>712.5</v>
      </c>
      <c r="P323" s="99">
        <f t="shared" si="43"/>
        <v>3212.5</v>
      </c>
      <c r="Q323" s="99"/>
      <c r="R323" s="99"/>
      <c r="S323" s="100"/>
      <c r="T323" s="101"/>
    </row>
    <row r="324" spans="2:20" x14ac:dyDescent="0.3">
      <c r="B324" s="98" t="s">
        <v>24</v>
      </c>
      <c r="C324" s="99">
        <v>45000</v>
      </c>
      <c r="D324" s="95">
        <v>2500</v>
      </c>
      <c r="E324" s="99">
        <f t="shared" si="40"/>
        <v>675</v>
      </c>
      <c r="F324" s="99">
        <f t="shared" si="41"/>
        <v>3175</v>
      </c>
      <c r="G324" s="99"/>
      <c r="H324" s="99"/>
      <c r="I324" s="100"/>
      <c r="J324" s="101"/>
      <c r="L324" s="98" t="s">
        <v>24</v>
      </c>
      <c r="M324" s="99">
        <v>45000</v>
      </c>
      <c r="N324" s="95">
        <v>2500</v>
      </c>
      <c r="O324" s="99">
        <f t="shared" si="42"/>
        <v>675</v>
      </c>
      <c r="P324" s="99">
        <f t="shared" si="43"/>
        <v>3175</v>
      </c>
      <c r="Q324" s="99"/>
      <c r="R324" s="99"/>
      <c r="S324" s="100"/>
      <c r="T324" s="101"/>
    </row>
    <row r="325" spans="2:20" x14ac:dyDescent="0.3">
      <c r="B325" s="98" t="s">
        <v>25</v>
      </c>
      <c r="C325" s="99">
        <v>42500</v>
      </c>
      <c r="D325" s="99">
        <v>2500</v>
      </c>
      <c r="E325" s="99">
        <f t="shared" si="40"/>
        <v>637.5</v>
      </c>
      <c r="F325" s="99">
        <f t="shared" si="41"/>
        <v>3137.5</v>
      </c>
      <c r="G325" s="99"/>
      <c r="H325" s="99"/>
      <c r="I325" s="100"/>
      <c r="J325" s="101"/>
      <c r="L325" s="98" t="s">
        <v>25</v>
      </c>
      <c r="M325" s="99">
        <v>42500</v>
      </c>
      <c r="N325" s="99">
        <v>2500</v>
      </c>
      <c r="O325" s="99">
        <f t="shared" si="42"/>
        <v>637.5</v>
      </c>
      <c r="P325" s="99">
        <f t="shared" si="43"/>
        <v>3137.5</v>
      </c>
      <c r="Q325" s="99"/>
      <c r="R325" s="99"/>
      <c r="S325" s="100"/>
      <c r="T325" s="101"/>
    </row>
    <row r="326" spans="2:20" x14ac:dyDescent="0.3">
      <c r="B326" s="98" t="s">
        <v>26</v>
      </c>
      <c r="C326" s="99">
        <v>40000</v>
      </c>
      <c r="D326" s="99">
        <v>2500</v>
      </c>
      <c r="E326" s="99">
        <f t="shared" si="40"/>
        <v>600</v>
      </c>
      <c r="F326" s="99">
        <f t="shared" si="41"/>
        <v>3100</v>
      </c>
      <c r="G326" s="99"/>
      <c r="H326" s="99"/>
      <c r="I326" s="100"/>
      <c r="J326" s="101"/>
      <c r="L326" s="98" t="s">
        <v>26</v>
      </c>
      <c r="M326" s="99">
        <v>40000</v>
      </c>
      <c r="N326" s="99">
        <v>2500</v>
      </c>
      <c r="O326" s="99">
        <f t="shared" si="42"/>
        <v>600</v>
      </c>
      <c r="P326" s="99">
        <f t="shared" si="43"/>
        <v>3100</v>
      </c>
      <c r="Q326" s="99"/>
      <c r="R326" s="99"/>
      <c r="S326" s="100"/>
      <c r="T326" s="101"/>
    </row>
    <row r="327" spans="2:20" ht="15" thickBot="1" x14ac:dyDescent="0.35">
      <c r="B327" s="98" t="s">
        <v>27</v>
      </c>
      <c r="C327" s="99">
        <v>37500</v>
      </c>
      <c r="D327" s="99">
        <v>2500</v>
      </c>
      <c r="E327" s="99">
        <f t="shared" si="40"/>
        <v>562.5</v>
      </c>
      <c r="F327" s="99">
        <f t="shared" si="41"/>
        <v>3062.5</v>
      </c>
      <c r="G327" s="99"/>
      <c r="H327" s="99"/>
      <c r="I327" s="100"/>
      <c r="J327" s="101"/>
      <c r="L327" s="98" t="s">
        <v>27</v>
      </c>
      <c r="M327" s="99">
        <v>37500</v>
      </c>
      <c r="N327" s="99">
        <v>2500</v>
      </c>
      <c r="O327" s="99">
        <f t="shared" si="42"/>
        <v>562.5</v>
      </c>
      <c r="P327" s="99">
        <f t="shared" si="43"/>
        <v>3062.5</v>
      </c>
      <c r="Q327" s="99"/>
      <c r="R327" s="99"/>
      <c r="S327" s="100"/>
      <c r="T327" s="101"/>
    </row>
    <row r="328" spans="2:20" x14ac:dyDescent="0.3">
      <c r="B328" s="98" t="s">
        <v>28</v>
      </c>
      <c r="C328" s="99">
        <v>35000</v>
      </c>
      <c r="D328" s="95">
        <v>2500</v>
      </c>
      <c r="E328" s="99">
        <f t="shared" si="40"/>
        <v>525</v>
      </c>
      <c r="F328" s="99">
        <f t="shared" si="41"/>
        <v>3025</v>
      </c>
      <c r="G328" s="99"/>
      <c r="H328" s="99"/>
      <c r="I328" s="100"/>
      <c r="J328" s="101"/>
      <c r="L328" s="98" t="s">
        <v>28</v>
      </c>
      <c r="M328" s="99">
        <v>35000</v>
      </c>
      <c r="N328" s="95">
        <v>2500</v>
      </c>
      <c r="O328" s="99">
        <f t="shared" si="42"/>
        <v>525</v>
      </c>
      <c r="P328" s="99">
        <f t="shared" si="43"/>
        <v>3025</v>
      </c>
      <c r="Q328" s="99"/>
      <c r="R328" s="99"/>
      <c r="S328" s="100"/>
      <c r="T328" s="101"/>
    </row>
    <row r="329" spans="2:20" ht="15" thickBot="1" x14ac:dyDescent="0.35">
      <c r="B329" s="98" t="s">
        <v>29</v>
      </c>
      <c r="C329" s="99">
        <v>32500</v>
      </c>
      <c r="D329" s="99">
        <v>2500</v>
      </c>
      <c r="E329" s="99">
        <f t="shared" si="40"/>
        <v>487.5</v>
      </c>
      <c r="F329" s="99">
        <f t="shared" si="41"/>
        <v>2987.5</v>
      </c>
      <c r="G329" s="99"/>
      <c r="H329" s="99"/>
      <c r="I329" s="100"/>
      <c r="J329" s="101"/>
      <c r="L329" s="98" t="s">
        <v>29</v>
      </c>
      <c r="M329" s="99">
        <v>32500</v>
      </c>
      <c r="N329" s="99">
        <v>2500</v>
      </c>
      <c r="O329" s="99">
        <f t="shared" si="42"/>
        <v>487.5</v>
      </c>
      <c r="P329" s="99">
        <f t="shared" si="43"/>
        <v>2987.5</v>
      </c>
      <c r="Q329" s="99"/>
      <c r="R329" s="99"/>
      <c r="S329" s="100"/>
      <c r="T329" s="101"/>
    </row>
    <row r="330" spans="2:20" x14ac:dyDescent="0.3">
      <c r="B330" s="98" t="s">
        <v>30</v>
      </c>
      <c r="C330" s="99">
        <v>30000</v>
      </c>
      <c r="D330" s="95">
        <v>2500</v>
      </c>
      <c r="E330" s="99">
        <f t="shared" si="40"/>
        <v>450</v>
      </c>
      <c r="F330" s="99">
        <f t="shared" si="41"/>
        <v>2950</v>
      </c>
      <c r="G330" s="99"/>
      <c r="H330" s="99"/>
      <c r="I330" s="100"/>
      <c r="J330" s="101"/>
      <c r="L330" s="98" t="s">
        <v>30</v>
      </c>
      <c r="M330" s="99">
        <v>30000</v>
      </c>
      <c r="N330" s="95">
        <v>2500</v>
      </c>
      <c r="O330" s="99">
        <f t="shared" si="42"/>
        <v>450</v>
      </c>
      <c r="P330" s="99">
        <f t="shared" si="43"/>
        <v>2950</v>
      </c>
      <c r="Q330" s="99"/>
      <c r="R330" s="99"/>
      <c r="S330" s="100"/>
      <c r="T330" s="101"/>
    </row>
    <row r="331" spans="2:20" x14ac:dyDescent="0.3">
      <c r="B331" s="98" t="s">
        <v>31</v>
      </c>
      <c r="C331" s="99">
        <v>27500</v>
      </c>
      <c r="D331" s="99">
        <v>2500</v>
      </c>
      <c r="E331" s="99">
        <f t="shared" si="40"/>
        <v>412.5</v>
      </c>
      <c r="F331" s="99">
        <f t="shared" si="41"/>
        <v>2912.5</v>
      </c>
      <c r="G331" s="99"/>
      <c r="H331" s="99"/>
      <c r="I331" s="100"/>
      <c r="J331" s="101"/>
      <c r="L331" s="98" t="s">
        <v>31</v>
      </c>
      <c r="M331" s="99">
        <v>27500</v>
      </c>
      <c r="N331" s="99">
        <v>2500</v>
      </c>
      <c r="O331" s="99">
        <f t="shared" si="42"/>
        <v>412.5</v>
      </c>
      <c r="P331" s="99">
        <f t="shared" si="43"/>
        <v>2912.5</v>
      </c>
      <c r="Q331" s="99"/>
      <c r="R331" s="99"/>
      <c r="S331" s="100"/>
      <c r="T331" s="101"/>
    </row>
    <row r="332" spans="2:20" x14ac:dyDescent="0.3">
      <c r="B332" s="98" t="s">
        <v>32</v>
      </c>
      <c r="C332" s="99">
        <v>25000</v>
      </c>
      <c r="D332" s="99">
        <v>2500</v>
      </c>
      <c r="E332" s="99">
        <f t="shared" si="40"/>
        <v>375</v>
      </c>
      <c r="F332" s="99">
        <f t="shared" si="41"/>
        <v>2875</v>
      </c>
      <c r="G332" s="99"/>
      <c r="H332" s="99"/>
      <c r="I332" s="100"/>
      <c r="J332" s="101"/>
      <c r="L332" s="98" t="s">
        <v>32</v>
      </c>
      <c r="M332" s="99">
        <v>25000</v>
      </c>
      <c r="N332" s="99">
        <v>2500</v>
      </c>
      <c r="O332" s="99">
        <f t="shared" si="42"/>
        <v>375</v>
      </c>
      <c r="P332" s="99">
        <f t="shared" si="43"/>
        <v>2875</v>
      </c>
      <c r="Q332" s="99"/>
      <c r="R332" s="99"/>
      <c r="S332" s="100"/>
      <c r="T332" s="101"/>
    </row>
    <row r="333" spans="2:20" ht="15" thickBot="1" x14ac:dyDescent="0.35">
      <c r="B333" s="98" t="s">
        <v>33</v>
      </c>
      <c r="C333" s="99">
        <v>22500</v>
      </c>
      <c r="D333" s="99">
        <v>2500</v>
      </c>
      <c r="E333" s="99">
        <f t="shared" si="40"/>
        <v>337.5</v>
      </c>
      <c r="F333" s="99">
        <f t="shared" si="41"/>
        <v>2837.5</v>
      </c>
      <c r="G333" s="99"/>
      <c r="H333" s="99"/>
      <c r="I333" s="100"/>
      <c r="J333" s="101"/>
      <c r="L333" s="98" t="s">
        <v>33</v>
      </c>
      <c r="M333" s="99">
        <v>22500</v>
      </c>
      <c r="N333" s="99">
        <v>2500</v>
      </c>
      <c r="O333" s="99">
        <f t="shared" si="42"/>
        <v>337.5</v>
      </c>
      <c r="P333" s="99">
        <f t="shared" si="43"/>
        <v>2837.5</v>
      </c>
      <c r="Q333" s="99"/>
      <c r="R333" s="99"/>
      <c r="S333" s="100"/>
      <c r="T333" s="101"/>
    </row>
    <row r="334" spans="2:20" x14ac:dyDescent="0.3">
      <c r="B334" s="98" t="s">
        <v>34</v>
      </c>
      <c r="C334" s="99">
        <v>20000</v>
      </c>
      <c r="D334" s="95">
        <v>2500</v>
      </c>
      <c r="E334" s="99">
        <f t="shared" si="40"/>
        <v>300</v>
      </c>
      <c r="F334" s="99">
        <f t="shared" si="41"/>
        <v>2800</v>
      </c>
      <c r="G334" s="99"/>
      <c r="H334" s="99"/>
      <c r="I334" s="100"/>
      <c r="J334" s="101"/>
      <c r="L334" s="98" t="s">
        <v>34</v>
      </c>
      <c r="M334" s="99">
        <v>20000</v>
      </c>
      <c r="N334" s="95">
        <v>2500</v>
      </c>
      <c r="O334" s="99">
        <f t="shared" si="42"/>
        <v>300</v>
      </c>
      <c r="P334" s="99">
        <f t="shared" si="43"/>
        <v>2800</v>
      </c>
      <c r="Q334" s="99"/>
      <c r="R334" s="99"/>
      <c r="S334" s="100"/>
      <c r="T334" s="101"/>
    </row>
    <row r="335" spans="2:20" ht="15" thickBot="1" x14ac:dyDescent="0.35">
      <c r="B335" s="98" t="s">
        <v>35</v>
      </c>
      <c r="C335" s="99">
        <v>17500</v>
      </c>
      <c r="D335" s="99">
        <v>2500</v>
      </c>
      <c r="E335" s="99">
        <f t="shared" si="40"/>
        <v>262.5</v>
      </c>
      <c r="F335" s="99">
        <f t="shared" si="41"/>
        <v>2762.5</v>
      </c>
      <c r="G335" s="99"/>
      <c r="H335" s="99"/>
      <c r="I335" s="100"/>
      <c r="J335" s="101"/>
      <c r="L335" s="98" t="s">
        <v>35</v>
      </c>
      <c r="M335" s="99">
        <v>17500</v>
      </c>
      <c r="N335" s="99">
        <v>2500</v>
      </c>
      <c r="O335" s="99">
        <f t="shared" si="42"/>
        <v>262.5</v>
      </c>
      <c r="P335" s="99">
        <f t="shared" si="43"/>
        <v>2762.5</v>
      </c>
      <c r="Q335" s="99"/>
      <c r="R335" s="99"/>
      <c r="S335" s="100"/>
      <c r="T335" s="101"/>
    </row>
    <row r="336" spans="2:20" x14ac:dyDescent="0.3">
      <c r="B336" s="98" t="s">
        <v>36</v>
      </c>
      <c r="C336" s="99">
        <v>15000</v>
      </c>
      <c r="D336" s="95">
        <v>2500</v>
      </c>
      <c r="E336" s="99">
        <f t="shared" si="40"/>
        <v>225</v>
      </c>
      <c r="F336" s="99">
        <f t="shared" si="41"/>
        <v>2725</v>
      </c>
      <c r="G336" s="99"/>
      <c r="H336" s="99"/>
      <c r="I336" s="100"/>
      <c r="J336" s="101"/>
      <c r="L336" s="98" t="s">
        <v>36</v>
      </c>
      <c r="M336" s="99">
        <v>15000</v>
      </c>
      <c r="N336" s="95">
        <v>2500</v>
      </c>
      <c r="O336" s="99">
        <f t="shared" si="42"/>
        <v>225</v>
      </c>
      <c r="P336" s="99">
        <f t="shared" si="43"/>
        <v>2725</v>
      </c>
      <c r="Q336" s="99"/>
      <c r="R336" s="99"/>
      <c r="S336" s="100"/>
      <c r="T336" s="101"/>
    </row>
    <row r="337" spans="2:20" x14ac:dyDescent="0.3">
      <c r="B337" s="98" t="s">
        <v>37</v>
      </c>
      <c r="C337" s="99">
        <v>12500</v>
      </c>
      <c r="D337" s="99">
        <v>2500</v>
      </c>
      <c r="E337" s="99">
        <f t="shared" si="40"/>
        <v>187.5</v>
      </c>
      <c r="F337" s="99">
        <f t="shared" si="41"/>
        <v>2687.5</v>
      </c>
      <c r="G337" s="99"/>
      <c r="H337" s="99"/>
      <c r="I337" s="100"/>
      <c r="J337" s="101"/>
      <c r="L337" s="98" t="s">
        <v>37</v>
      </c>
      <c r="M337" s="99">
        <v>12500</v>
      </c>
      <c r="N337" s="99">
        <v>2500</v>
      </c>
      <c r="O337" s="99">
        <f t="shared" si="42"/>
        <v>187.5</v>
      </c>
      <c r="P337" s="99">
        <f t="shared" si="43"/>
        <v>2687.5</v>
      </c>
      <c r="Q337" s="99"/>
      <c r="R337" s="99"/>
      <c r="S337" s="100"/>
      <c r="T337" s="101"/>
    </row>
    <row r="338" spans="2:20" x14ac:dyDescent="0.3">
      <c r="B338" s="98" t="s">
        <v>38</v>
      </c>
      <c r="C338" s="99">
        <v>10000</v>
      </c>
      <c r="D338" s="99">
        <v>2500</v>
      </c>
      <c r="E338" s="99">
        <f t="shared" si="40"/>
        <v>150</v>
      </c>
      <c r="F338" s="99">
        <f t="shared" si="41"/>
        <v>2650</v>
      </c>
      <c r="G338" s="99"/>
      <c r="H338" s="99"/>
      <c r="I338" s="100"/>
      <c r="J338" s="101"/>
      <c r="L338" s="98" t="s">
        <v>38</v>
      </c>
      <c r="M338" s="99">
        <v>10000</v>
      </c>
      <c r="N338" s="99">
        <v>2500</v>
      </c>
      <c r="O338" s="99">
        <f t="shared" si="42"/>
        <v>150</v>
      </c>
      <c r="P338" s="99">
        <f t="shared" si="43"/>
        <v>2650</v>
      </c>
      <c r="Q338" s="99"/>
      <c r="R338" s="99"/>
      <c r="S338" s="100"/>
      <c r="T338" s="101"/>
    </row>
    <row r="339" spans="2:20" ht="15" thickBot="1" x14ac:dyDescent="0.35">
      <c r="B339" s="98" t="s">
        <v>39</v>
      </c>
      <c r="C339" s="99">
        <v>7500</v>
      </c>
      <c r="D339" s="99">
        <v>2500</v>
      </c>
      <c r="E339" s="99">
        <f t="shared" si="40"/>
        <v>112.5</v>
      </c>
      <c r="F339" s="99">
        <f t="shared" si="41"/>
        <v>2612.5</v>
      </c>
      <c r="G339" s="99"/>
      <c r="H339" s="99"/>
      <c r="I339" s="100"/>
      <c r="J339" s="101"/>
      <c r="L339" s="98" t="s">
        <v>39</v>
      </c>
      <c r="M339" s="99">
        <v>7500</v>
      </c>
      <c r="N339" s="99">
        <v>2500</v>
      </c>
      <c r="O339" s="99">
        <f t="shared" si="42"/>
        <v>112.5</v>
      </c>
      <c r="P339" s="99">
        <f t="shared" si="43"/>
        <v>2612.5</v>
      </c>
      <c r="Q339" s="99"/>
      <c r="R339" s="99"/>
      <c r="S339" s="100"/>
      <c r="T339" s="101"/>
    </row>
    <row r="340" spans="2:20" x14ac:dyDescent="0.3">
      <c r="B340" s="98" t="s">
        <v>40</v>
      </c>
      <c r="C340" s="99">
        <v>5000</v>
      </c>
      <c r="D340" s="95">
        <v>2500</v>
      </c>
      <c r="E340" s="99">
        <f t="shared" si="40"/>
        <v>75</v>
      </c>
      <c r="F340" s="99">
        <f t="shared" si="41"/>
        <v>2575</v>
      </c>
      <c r="G340" s="99"/>
      <c r="H340" s="99"/>
      <c r="I340" s="100"/>
      <c r="J340" s="101"/>
      <c r="L340" s="98" t="s">
        <v>40</v>
      </c>
      <c r="M340" s="99">
        <v>5000</v>
      </c>
      <c r="N340" s="95">
        <v>2500</v>
      </c>
      <c r="O340" s="99">
        <f t="shared" si="42"/>
        <v>75</v>
      </c>
      <c r="P340" s="99">
        <f t="shared" si="43"/>
        <v>2575</v>
      </c>
      <c r="Q340" s="99"/>
      <c r="R340" s="99"/>
      <c r="S340" s="100"/>
      <c r="T340" s="101"/>
    </row>
    <row r="341" spans="2:20" ht="15" thickBot="1" x14ac:dyDescent="0.35">
      <c r="B341" s="103" t="s">
        <v>41</v>
      </c>
      <c r="C341" s="102">
        <v>2500</v>
      </c>
      <c r="D341" s="99">
        <v>2500</v>
      </c>
      <c r="E341" s="102">
        <f t="shared" si="40"/>
        <v>37.5</v>
      </c>
      <c r="F341" s="102">
        <f t="shared" si="41"/>
        <v>2537.5</v>
      </c>
      <c r="G341" s="102"/>
      <c r="H341" s="102"/>
      <c r="I341" s="104"/>
      <c r="J341" s="105" t="s">
        <v>42</v>
      </c>
      <c r="L341" s="103" t="s">
        <v>41</v>
      </c>
      <c r="M341" s="102">
        <v>2500</v>
      </c>
      <c r="N341" s="99">
        <v>2500</v>
      </c>
      <c r="O341" s="102">
        <f t="shared" si="42"/>
        <v>37.5</v>
      </c>
      <c r="P341" s="102">
        <f t="shared" si="43"/>
        <v>2537.5</v>
      </c>
      <c r="Q341" s="102"/>
      <c r="R341" s="102"/>
      <c r="S341" s="104"/>
      <c r="T341" s="105" t="s">
        <v>42</v>
      </c>
    </row>
    <row r="342" spans="2:20" x14ac:dyDescent="0.3">
      <c r="F342" s="38">
        <f>SUM(F318:F341)</f>
        <v>67850</v>
      </c>
    </row>
    <row r="344" spans="2:20" x14ac:dyDescent="0.3">
      <c r="B344" s="77" t="s">
        <v>0</v>
      </c>
      <c r="C344" s="77" t="s">
        <v>220</v>
      </c>
      <c r="D344" s="112"/>
      <c r="E344" s="112"/>
      <c r="F344" s="79"/>
      <c r="G344" s="80"/>
      <c r="I344" s="81" t="s">
        <v>1</v>
      </c>
      <c r="J344" s="82">
        <v>70000</v>
      </c>
      <c r="L344" s="77" t="s">
        <v>0</v>
      </c>
      <c r="M344" s="77" t="s">
        <v>220</v>
      </c>
      <c r="N344" s="112"/>
      <c r="O344" s="112"/>
      <c r="P344" s="79"/>
      <c r="Q344" s="80"/>
      <c r="S344" s="81" t="s">
        <v>1</v>
      </c>
      <c r="T344" s="82">
        <v>300000</v>
      </c>
    </row>
    <row r="345" spans="2:20" x14ac:dyDescent="0.3">
      <c r="B345" s="77" t="s">
        <v>2</v>
      </c>
      <c r="C345" s="83"/>
      <c r="D345" s="79"/>
      <c r="E345" s="83"/>
      <c r="F345" s="81"/>
      <c r="G345" s="81"/>
      <c r="H345" s="84"/>
      <c r="I345" s="81" t="s">
        <v>3</v>
      </c>
      <c r="J345" s="85" t="s">
        <v>221</v>
      </c>
      <c r="L345" s="77" t="s">
        <v>2</v>
      </c>
      <c r="M345" s="83"/>
      <c r="N345" s="79"/>
      <c r="O345" s="83"/>
      <c r="P345" s="81"/>
      <c r="Q345" s="81"/>
      <c r="R345" s="84"/>
      <c r="S345" s="81" t="s">
        <v>3</v>
      </c>
      <c r="T345" s="85" t="s">
        <v>221</v>
      </c>
    </row>
    <row r="346" spans="2:20" x14ac:dyDescent="0.3">
      <c r="B346" s="77" t="s">
        <v>4</v>
      </c>
      <c r="C346" s="78"/>
      <c r="D346" s="79"/>
      <c r="E346" s="78"/>
      <c r="F346" s="81"/>
      <c r="G346" s="81"/>
      <c r="H346" s="81"/>
      <c r="I346" s="81" t="s">
        <v>5</v>
      </c>
      <c r="J346" s="86">
        <v>1.4999999999999999E-2</v>
      </c>
      <c r="L346" s="77" t="s">
        <v>4</v>
      </c>
      <c r="M346" s="78"/>
      <c r="N346" s="79"/>
      <c r="O346" s="78"/>
      <c r="P346" s="81"/>
      <c r="Q346" s="81"/>
      <c r="R346" s="81"/>
      <c r="S346" s="81" t="s">
        <v>5</v>
      </c>
      <c r="T346" s="86">
        <v>1.4999999999999999E-2</v>
      </c>
    </row>
    <row r="347" spans="2:20" ht="15" thickBot="1" x14ac:dyDescent="0.35">
      <c r="B347" s="77" t="s">
        <v>6</v>
      </c>
      <c r="C347" s="87"/>
      <c r="D347" s="87"/>
      <c r="E347" s="88"/>
      <c r="F347" s="88"/>
      <c r="G347" s="88"/>
      <c r="H347" s="88"/>
      <c r="I347" s="88" t="s">
        <v>7</v>
      </c>
      <c r="J347" s="78">
        <v>24</v>
      </c>
      <c r="L347" s="77" t="s">
        <v>6</v>
      </c>
      <c r="M347" s="87"/>
      <c r="N347" s="87"/>
      <c r="O347" s="88"/>
      <c r="P347" s="88"/>
      <c r="Q347" s="88"/>
      <c r="R347" s="88"/>
      <c r="S347" s="88" t="s">
        <v>7</v>
      </c>
      <c r="T347" s="78">
        <v>24</v>
      </c>
    </row>
    <row r="348" spans="2:20" ht="41.4" thickBot="1" x14ac:dyDescent="0.35">
      <c r="B348" s="89" t="s">
        <v>8</v>
      </c>
      <c r="C348" s="89" t="s">
        <v>9</v>
      </c>
      <c r="D348" s="89" t="s">
        <v>10</v>
      </c>
      <c r="E348" s="90" t="s">
        <v>11</v>
      </c>
      <c r="F348" s="91" t="s">
        <v>12</v>
      </c>
      <c r="G348" s="92" t="s">
        <v>13</v>
      </c>
      <c r="H348" s="92" t="s">
        <v>14</v>
      </c>
      <c r="I348" s="92" t="s">
        <v>15</v>
      </c>
      <c r="J348" s="93" t="s">
        <v>16</v>
      </c>
      <c r="L348" s="89" t="s">
        <v>8</v>
      </c>
      <c r="M348" s="89" t="s">
        <v>9</v>
      </c>
      <c r="N348" s="89" t="s">
        <v>10</v>
      </c>
      <c r="O348" s="90" t="s">
        <v>11</v>
      </c>
      <c r="P348" s="91" t="s">
        <v>12</v>
      </c>
      <c r="Q348" s="92" t="s">
        <v>13</v>
      </c>
      <c r="R348" s="92" t="s">
        <v>14</v>
      </c>
      <c r="S348" s="92" t="s">
        <v>15</v>
      </c>
      <c r="T348" s="93" t="s">
        <v>16</v>
      </c>
    </row>
    <row r="349" spans="2:20" x14ac:dyDescent="0.3">
      <c r="B349" s="94" t="s">
        <v>17</v>
      </c>
      <c r="C349" s="95">
        <f>J344</f>
        <v>70000</v>
      </c>
      <c r="D349" s="95">
        <f>J344/J347</f>
        <v>2916.6666666666665</v>
      </c>
      <c r="E349" s="95">
        <f t="shared" ref="E349:E372" si="44">(C349*0.015)</f>
        <v>1050</v>
      </c>
      <c r="F349" s="95">
        <f t="shared" ref="F349:F372" si="45">SUM(D349:E349)</f>
        <v>3966.6666666666665</v>
      </c>
      <c r="G349" s="95"/>
      <c r="H349" s="95"/>
      <c r="I349" s="96"/>
      <c r="J349" s="97"/>
      <c r="L349" s="94" t="s">
        <v>17</v>
      </c>
      <c r="M349" s="95">
        <f>T344</f>
        <v>300000</v>
      </c>
      <c r="N349" s="95">
        <f>T344/T347</f>
        <v>12500</v>
      </c>
      <c r="O349" s="95">
        <f t="shared" ref="O349:O372" si="46">(M349*0.015)</f>
        <v>4500</v>
      </c>
      <c r="P349" s="95">
        <f t="shared" ref="P349:P372" si="47">SUM(N349:O349)</f>
        <v>17000</v>
      </c>
      <c r="Q349" s="95"/>
      <c r="R349" s="95"/>
      <c r="S349" s="96"/>
      <c r="T349" s="97"/>
    </row>
    <row r="350" spans="2:20" x14ac:dyDescent="0.3">
      <c r="B350" s="98" t="s">
        <v>18</v>
      </c>
      <c r="C350" s="99">
        <v>67091</v>
      </c>
      <c r="D350" s="99">
        <v>2917</v>
      </c>
      <c r="E350" s="99">
        <f t="shared" si="44"/>
        <v>1006.365</v>
      </c>
      <c r="F350" s="99">
        <f t="shared" si="45"/>
        <v>3923.3649999999998</v>
      </c>
      <c r="G350" s="99"/>
      <c r="H350" s="99"/>
      <c r="I350" s="100"/>
      <c r="J350" s="101"/>
      <c r="L350" s="98" t="s">
        <v>18</v>
      </c>
      <c r="M350" s="99">
        <v>287500</v>
      </c>
      <c r="N350" s="99">
        <v>12500</v>
      </c>
      <c r="O350" s="99">
        <f t="shared" si="46"/>
        <v>4312.5</v>
      </c>
      <c r="P350" s="99">
        <f t="shared" si="47"/>
        <v>16812.5</v>
      </c>
      <c r="Q350" s="99"/>
      <c r="R350" s="99"/>
      <c r="S350" s="100"/>
      <c r="T350" s="101"/>
    </row>
    <row r="351" spans="2:20" x14ac:dyDescent="0.3">
      <c r="B351" s="98" t="s">
        <v>19</v>
      </c>
      <c r="C351" s="99">
        <v>64174</v>
      </c>
      <c r="D351" s="99">
        <v>2917</v>
      </c>
      <c r="E351" s="99">
        <f t="shared" si="44"/>
        <v>962.61</v>
      </c>
      <c r="F351" s="99">
        <f t="shared" si="45"/>
        <v>3879.61</v>
      </c>
      <c r="G351" s="99"/>
      <c r="H351" s="99"/>
      <c r="I351" s="100"/>
      <c r="J351" s="101"/>
      <c r="L351" s="98" t="s">
        <v>19</v>
      </c>
      <c r="M351" s="99">
        <v>275000</v>
      </c>
      <c r="N351" s="99">
        <v>12500</v>
      </c>
      <c r="O351" s="99">
        <f t="shared" si="46"/>
        <v>4125</v>
      </c>
      <c r="P351" s="99">
        <f t="shared" si="47"/>
        <v>16625</v>
      </c>
      <c r="Q351" s="99"/>
      <c r="R351" s="99"/>
      <c r="S351" s="100"/>
      <c r="T351" s="101"/>
    </row>
    <row r="352" spans="2:20" ht="15" thickBot="1" x14ac:dyDescent="0.35">
      <c r="B352" s="98" t="s">
        <v>20</v>
      </c>
      <c r="C352" s="99">
        <v>61257</v>
      </c>
      <c r="D352" s="99">
        <v>2917</v>
      </c>
      <c r="E352" s="99">
        <f t="shared" si="44"/>
        <v>918.85500000000002</v>
      </c>
      <c r="F352" s="99">
        <f t="shared" si="45"/>
        <v>3835.855</v>
      </c>
      <c r="G352" s="99"/>
      <c r="H352" s="99"/>
      <c r="I352" s="100"/>
      <c r="J352" s="101"/>
      <c r="L352" s="98" t="s">
        <v>20</v>
      </c>
      <c r="M352" s="99">
        <v>262500</v>
      </c>
      <c r="N352" s="99">
        <v>12500</v>
      </c>
      <c r="O352" s="99">
        <f t="shared" si="46"/>
        <v>3937.5</v>
      </c>
      <c r="P352" s="99">
        <f t="shared" si="47"/>
        <v>16437.5</v>
      </c>
      <c r="Q352" s="99"/>
      <c r="R352" s="99"/>
      <c r="S352" s="100"/>
      <c r="T352" s="101"/>
    </row>
    <row r="353" spans="2:20" ht="15" thickBot="1" x14ac:dyDescent="0.35">
      <c r="B353" s="98" t="s">
        <v>21</v>
      </c>
      <c r="C353" s="99">
        <v>58340</v>
      </c>
      <c r="D353" s="95">
        <v>2917</v>
      </c>
      <c r="E353" s="99">
        <f t="shared" si="44"/>
        <v>875.1</v>
      </c>
      <c r="F353" s="99">
        <f t="shared" si="45"/>
        <v>3792.1</v>
      </c>
      <c r="G353" s="99"/>
      <c r="H353" s="99"/>
      <c r="I353" s="100"/>
      <c r="J353" s="101"/>
      <c r="L353" s="98" t="s">
        <v>21</v>
      </c>
      <c r="M353" s="99">
        <v>250000</v>
      </c>
      <c r="N353" s="95">
        <v>12500</v>
      </c>
      <c r="O353" s="99">
        <f t="shared" si="46"/>
        <v>3750</v>
      </c>
      <c r="P353" s="99">
        <f t="shared" si="47"/>
        <v>16250</v>
      </c>
      <c r="Q353" s="99"/>
      <c r="R353" s="99"/>
      <c r="S353" s="100"/>
      <c r="T353" s="101"/>
    </row>
    <row r="354" spans="2:20" ht="15" thickBot="1" x14ac:dyDescent="0.35">
      <c r="B354" s="98" t="s">
        <v>23</v>
      </c>
      <c r="C354" s="99">
        <v>55423</v>
      </c>
      <c r="D354" s="95">
        <v>2917</v>
      </c>
      <c r="E354" s="99">
        <f t="shared" si="44"/>
        <v>831.34499999999991</v>
      </c>
      <c r="F354" s="99">
        <f t="shared" si="45"/>
        <v>3748.3449999999998</v>
      </c>
      <c r="G354" s="99"/>
      <c r="H354" s="99"/>
      <c r="I354" s="100"/>
      <c r="J354" s="101"/>
      <c r="L354" s="98" t="s">
        <v>23</v>
      </c>
      <c r="M354" s="99">
        <v>237500</v>
      </c>
      <c r="N354" s="99">
        <v>12500</v>
      </c>
      <c r="O354" s="99">
        <f t="shared" si="46"/>
        <v>3562.5</v>
      </c>
      <c r="P354" s="99">
        <f t="shared" si="47"/>
        <v>16062.5</v>
      </c>
      <c r="Q354" s="99"/>
      <c r="R354" s="99"/>
      <c r="S354" s="100"/>
      <c r="T354" s="101"/>
    </row>
    <row r="355" spans="2:20" x14ac:dyDescent="0.3">
      <c r="B355" s="98" t="s">
        <v>24</v>
      </c>
      <c r="C355" s="99">
        <v>52506</v>
      </c>
      <c r="D355" s="99">
        <v>2917</v>
      </c>
      <c r="E355" s="99">
        <f t="shared" si="44"/>
        <v>787.58999999999992</v>
      </c>
      <c r="F355" s="99">
        <f t="shared" si="45"/>
        <v>3704.59</v>
      </c>
      <c r="G355" s="99"/>
      <c r="H355" s="99"/>
      <c r="I355" s="100"/>
      <c r="J355" s="101"/>
      <c r="L355" s="98" t="s">
        <v>24</v>
      </c>
      <c r="M355" s="99">
        <v>225000</v>
      </c>
      <c r="N355" s="95">
        <v>12500</v>
      </c>
      <c r="O355" s="99">
        <f t="shared" si="46"/>
        <v>3375</v>
      </c>
      <c r="P355" s="99">
        <f t="shared" si="47"/>
        <v>15875</v>
      </c>
      <c r="Q355" s="99"/>
      <c r="R355" s="99"/>
      <c r="S355" s="100"/>
      <c r="T355" s="101"/>
    </row>
    <row r="356" spans="2:20" x14ac:dyDescent="0.3">
      <c r="B356" s="98" t="s">
        <v>25</v>
      </c>
      <c r="C356" s="99">
        <v>49589</v>
      </c>
      <c r="D356" s="99">
        <v>2917</v>
      </c>
      <c r="E356" s="99">
        <f t="shared" si="44"/>
        <v>743.83499999999992</v>
      </c>
      <c r="F356" s="99">
        <f t="shared" si="45"/>
        <v>3660.835</v>
      </c>
      <c r="G356" s="99"/>
      <c r="H356" s="99"/>
      <c r="I356" s="100"/>
      <c r="J356" s="101"/>
      <c r="L356" s="98" t="s">
        <v>25</v>
      </c>
      <c r="M356" s="99">
        <v>212500</v>
      </c>
      <c r="N356" s="99">
        <v>12500</v>
      </c>
      <c r="O356" s="99">
        <f t="shared" si="46"/>
        <v>3187.5</v>
      </c>
      <c r="P356" s="99">
        <f t="shared" si="47"/>
        <v>15687.5</v>
      </c>
      <c r="Q356" s="99"/>
      <c r="R356" s="99"/>
      <c r="S356" s="100"/>
      <c r="T356" s="101"/>
    </row>
    <row r="357" spans="2:20" ht="15" thickBot="1" x14ac:dyDescent="0.35">
      <c r="B357" s="98" t="s">
        <v>26</v>
      </c>
      <c r="C357" s="99">
        <v>46672</v>
      </c>
      <c r="D357" s="99">
        <v>2917</v>
      </c>
      <c r="E357" s="99">
        <f t="shared" si="44"/>
        <v>700.07999999999993</v>
      </c>
      <c r="F357" s="99">
        <f t="shared" si="45"/>
        <v>3617.08</v>
      </c>
      <c r="G357" s="99"/>
      <c r="H357" s="99"/>
      <c r="I357" s="100"/>
      <c r="J357" s="101"/>
      <c r="L357" s="98" t="s">
        <v>26</v>
      </c>
      <c r="M357" s="99">
        <v>200000</v>
      </c>
      <c r="N357" s="99">
        <v>12500</v>
      </c>
      <c r="O357" s="99">
        <f t="shared" si="46"/>
        <v>3000</v>
      </c>
      <c r="P357" s="99">
        <f t="shared" si="47"/>
        <v>15500</v>
      </c>
      <c r="Q357" s="99"/>
      <c r="R357" s="99"/>
      <c r="S357" s="100"/>
      <c r="T357" s="101"/>
    </row>
    <row r="358" spans="2:20" ht="15" thickBot="1" x14ac:dyDescent="0.35">
      <c r="B358" s="98" t="s">
        <v>27</v>
      </c>
      <c r="C358" s="99">
        <v>43755</v>
      </c>
      <c r="D358" s="95">
        <v>2917</v>
      </c>
      <c r="E358" s="99">
        <f t="shared" si="44"/>
        <v>656.32499999999993</v>
      </c>
      <c r="F358" s="99">
        <f t="shared" si="45"/>
        <v>3573.3249999999998</v>
      </c>
      <c r="G358" s="99"/>
      <c r="H358" s="99"/>
      <c r="I358" s="100"/>
      <c r="J358" s="101"/>
      <c r="L358" s="98" t="s">
        <v>27</v>
      </c>
      <c r="M358" s="99">
        <v>187500</v>
      </c>
      <c r="N358" s="99">
        <v>12500</v>
      </c>
      <c r="O358" s="99">
        <f t="shared" si="46"/>
        <v>2812.5</v>
      </c>
      <c r="P358" s="99">
        <f t="shared" si="47"/>
        <v>15312.5</v>
      </c>
      <c r="Q358" s="99"/>
      <c r="R358" s="99"/>
      <c r="S358" s="100"/>
      <c r="T358" s="101"/>
    </row>
    <row r="359" spans="2:20" x14ac:dyDescent="0.3">
      <c r="B359" s="98" t="s">
        <v>28</v>
      </c>
      <c r="C359" s="99">
        <v>40838</v>
      </c>
      <c r="D359" s="95">
        <v>2917</v>
      </c>
      <c r="E359" s="99">
        <f t="shared" si="44"/>
        <v>612.56999999999994</v>
      </c>
      <c r="F359" s="99">
        <f t="shared" si="45"/>
        <v>3529.5699999999997</v>
      </c>
      <c r="G359" s="99"/>
      <c r="H359" s="99"/>
      <c r="I359" s="100"/>
      <c r="J359" s="101"/>
      <c r="L359" s="98" t="s">
        <v>28</v>
      </c>
      <c r="M359" s="99">
        <v>175000</v>
      </c>
      <c r="N359" s="95">
        <v>12500</v>
      </c>
      <c r="O359" s="99">
        <f t="shared" si="46"/>
        <v>2625</v>
      </c>
      <c r="P359" s="99">
        <f t="shared" si="47"/>
        <v>15125</v>
      </c>
      <c r="Q359" s="99"/>
      <c r="R359" s="99"/>
      <c r="S359" s="100"/>
      <c r="T359" s="101"/>
    </row>
    <row r="360" spans="2:20" ht="15" thickBot="1" x14ac:dyDescent="0.35">
      <c r="B360" s="98" t="s">
        <v>29</v>
      </c>
      <c r="C360" s="99">
        <v>37921</v>
      </c>
      <c r="D360" s="99">
        <v>2917</v>
      </c>
      <c r="E360" s="99">
        <f t="shared" si="44"/>
        <v>568.81499999999994</v>
      </c>
      <c r="F360" s="99">
        <f t="shared" si="45"/>
        <v>3485.8150000000001</v>
      </c>
      <c r="G360" s="99"/>
      <c r="H360" s="99"/>
      <c r="I360" s="100"/>
      <c r="J360" s="101"/>
      <c r="L360" s="98" t="s">
        <v>29</v>
      </c>
      <c r="M360" s="99">
        <v>162500</v>
      </c>
      <c r="N360" s="99">
        <v>12500</v>
      </c>
      <c r="O360" s="99">
        <f t="shared" si="46"/>
        <v>2437.5</v>
      </c>
      <c r="P360" s="99">
        <f t="shared" si="47"/>
        <v>14937.5</v>
      </c>
      <c r="Q360" s="99"/>
      <c r="R360" s="99"/>
      <c r="S360" s="100"/>
      <c r="T360" s="101"/>
    </row>
    <row r="361" spans="2:20" x14ac:dyDescent="0.3">
      <c r="B361" s="98" t="s">
        <v>30</v>
      </c>
      <c r="C361" s="99">
        <v>35004</v>
      </c>
      <c r="D361" s="99">
        <v>2917</v>
      </c>
      <c r="E361" s="99">
        <f t="shared" si="44"/>
        <v>525.05999999999995</v>
      </c>
      <c r="F361" s="99">
        <f t="shared" si="45"/>
        <v>3442.06</v>
      </c>
      <c r="G361" s="99"/>
      <c r="H361" s="99"/>
      <c r="I361" s="100"/>
      <c r="J361" s="101"/>
      <c r="L361" s="98" t="s">
        <v>30</v>
      </c>
      <c r="M361" s="99">
        <v>150000</v>
      </c>
      <c r="N361" s="95">
        <v>12500</v>
      </c>
      <c r="O361" s="99">
        <f t="shared" si="46"/>
        <v>2250</v>
      </c>
      <c r="P361" s="99">
        <f t="shared" si="47"/>
        <v>14750</v>
      </c>
      <c r="Q361" s="99"/>
      <c r="R361" s="99"/>
      <c r="S361" s="100"/>
      <c r="T361" s="101"/>
    </row>
    <row r="362" spans="2:20" ht="15" thickBot="1" x14ac:dyDescent="0.35">
      <c r="B362" s="98" t="s">
        <v>31</v>
      </c>
      <c r="C362" s="99">
        <v>32087</v>
      </c>
      <c r="D362" s="99">
        <v>2917</v>
      </c>
      <c r="E362" s="99">
        <f t="shared" si="44"/>
        <v>481.30500000000001</v>
      </c>
      <c r="F362" s="99">
        <f t="shared" si="45"/>
        <v>3398.3049999999998</v>
      </c>
      <c r="G362" s="99"/>
      <c r="H362" s="99"/>
      <c r="I362" s="100"/>
      <c r="J362" s="101"/>
      <c r="L362" s="98" t="s">
        <v>31</v>
      </c>
      <c r="M362" s="99">
        <v>137500</v>
      </c>
      <c r="N362" s="99">
        <v>12500</v>
      </c>
      <c r="O362" s="99">
        <f t="shared" si="46"/>
        <v>2062.5</v>
      </c>
      <c r="P362" s="99">
        <f t="shared" si="47"/>
        <v>14562.5</v>
      </c>
      <c r="Q362" s="99"/>
      <c r="R362" s="99"/>
      <c r="S362" s="100"/>
      <c r="T362" s="101"/>
    </row>
    <row r="363" spans="2:20" ht="15" thickBot="1" x14ac:dyDescent="0.35">
      <c r="B363" s="98" t="s">
        <v>32</v>
      </c>
      <c r="C363" s="99">
        <v>29170</v>
      </c>
      <c r="D363" s="95">
        <v>2917</v>
      </c>
      <c r="E363" s="99">
        <f t="shared" si="44"/>
        <v>437.55</v>
      </c>
      <c r="F363" s="99">
        <f t="shared" si="45"/>
        <v>3354.55</v>
      </c>
      <c r="G363" s="99"/>
      <c r="H363" s="99"/>
      <c r="I363" s="100"/>
      <c r="J363" s="101"/>
      <c r="L363" s="98" t="s">
        <v>32</v>
      </c>
      <c r="M363" s="99">
        <v>125000</v>
      </c>
      <c r="N363" s="99">
        <v>12500</v>
      </c>
      <c r="O363" s="99">
        <f t="shared" si="46"/>
        <v>1875</v>
      </c>
      <c r="P363" s="99">
        <f t="shared" si="47"/>
        <v>14375</v>
      </c>
      <c r="Q363" s="99"/>
      <c r="R363" s="99"/>
      <c r="S363" s="100"/>
      <c r="T363" s="101"/>
    </row>
    <row r="364" spans="2:20" ht="15" thickBot="1" x14ac:dyDescent="0.35">
      <c r="B364" s="98" t="s">
        <v>33</v>
      </c>
      <c r="C364" s="99">
        <v>26253</v>
      </c>
      <c r="D364" s="95">
        <v>2917</v>
      </c>
      <c r="E364" s="99">
        <f t="shared" si="44"/>
        <v>393.79499999999996</v>
      </c>
      <c r="F364" s="99">
        <f t="shared" si="45"/>
        <v>3310.7950000000001</v>
      </c>
      <c r="G364" s="99"/>
      <c r="H364" s="99"/>
      <c r="I364" s="100"/>
      <c r="J364" s="101"/>
      <c r="L364" s="98" t="s">
        <v>33</v>
      </c>
      <c r="M364" s="99">
        <v>112500</v>
      </c>
      <c r="N364" s="99">
        <v>12500</v>
      </c>
      <c r="O364" s="99">
        <f t="shared" si="46"/>
        <v>1687.5</v>
      </c>
      <c r="P364" s="99">
        <f t="shared" si="47"/>
        <v>14187.5</v>
      </c>
      <c r="Q364" s="99"/>
      <c r="R364" s="99"/>
      <c r="S364" s="100"/>
      <c r="T364" s="101"/>
    </row>
    <row r="365" spans="2:20" x14ac:dyDescent="0.3">
      <c r="B365" s="98" t="s">
        <v>34</v>
      </c>
      <c r="C365" s="99">
        <v>23336</v>
      </c>
      <c r="D365" s="99">
        <v>2917</v>
      </c>
      <c r="E365" s="99">
        <f t="shared" si="44"/>
        <v>350.03999999999996</v>
      </c>
      <c r="F365" s="99">
        <f t="shared" si="45"/>
        <v>3267.04</v>
      </c>
      <c r="G365" s="99"/>
      <c r="H365" s="99"/>
      <c r="I365" s="100"/>
      <c r="J365" s="101"/>
      <c r="L365" s="98" t="s">
        <v>34</v>
      </c>
      <c r="M365" s="99">
        <v>100000</v>
      </c>
      <c r="N365" s="95">
        <v>12500</v>
      </c>
      <c r="O365" s="99">
        <f t="shared" si="46"/>
        <v>1500</v>
      </c>
      <c r="P365" s="99">
        <f t="shared" si="47"/>
        <v>14000</v>
      </c>
      <c r="Q365" s="99"/>
      <c r="R365" s="99"/>
      <c r="S365" s="100"/>
      <c r="T365" s="101"/>
    </row>
    <row r="366" spans="2:20" ht="15" thickBot="1" x14ac:dyDescent="0.35">
      <c r="B366" s="98" t="s">
        <v>35</v>
      </c>
      <c r="C366" s="99">
        <v>20419</v>
      </c>
      <c r="D366" s="99">
        <v>2917</v>
      </c>
      <c r="E366" s="99">
        <f t="shared" si="44"/>
        <v>306.28499999999997</v>
      </c>
      <c r="F366" s="99">
        <f t="shared" si="45"/>
        <v>3223.2849999999999</v>
      </c>
      <c r="G366" s="99"/>
      <c r="H366" s="99"/>
      <c r="I366" s="100"/>
      <c r="J366" s="101"/>
      <c r="L366" s="98" t="s">
        <v>35</v>
      </c>
      <c r="M366" s="99">
        <v>87500</v>
      </c>
      <c r="N366" s="99">
        <v>12500</v>
      </c>
      <c r="O366" s="99">
        <f t="shared" si="46"/>
        <v>1312.5</v>
      </c>
      <c r="P366" s="99">
        <f t="shared" si="47"/>
        <v>13812.5</v>
      </c>
      <c r="Q366" s="99"/>
      <c r="R366" s="99"/>
      <c r="S366" s="100"/>
      <c r="T366" s="101"/>
    </row>
    <row r="367" spans="2:20" ht="15" thickBot="1" x14ac:dyDescent="0.35">
      <c r="B367" s="98" t="s">
        <v>36</v>
      </c>
      <c r="C367" s="99">
        <v>17502</v>
      </c>
      <c r="D367" s="99">
        <v>2917</v>
      </c>
      <c r="E367" s="99">
        <f t="shared" si="44"/>
        <v>262.52999999999997</v>
      </c>
      <c r="F367" s="99">
        <f t="shared" si="45"/>
        <v>3179.5299999999997</v>
      </c>
      <c r="G367" s="99"/>
      <c r="H367" s="99"/>
      <c r="I367" s="100"/>
      <c r="J367" s="101"/>
      <c r="L367" s="98" t="s">
        <v>36</v>
      </c>
      <c r="M367" s="99">
        <v>75000</v>
      </c>
      <c r="N367" s="95">
        <v>12500</v>
      </c>
      <c r="O367" s="99">
        <f t="shared" si="46"/>
        <v>1125</v>
      </c>
      <c r="P367" s="99">
        <f t="shared" si="47"/>
        <v>13625</v>
      </c>
      <c r="Q367" s="99"/>
      <c r="R367" s="99"/>
      <c r="S367" s="100"/>
      <c r="T367" s="101"/>
    </row>
    <row r="368" spans="2:20" x14ac:dyDescent="0.3">
      <c r="B368" s="98" t="s">
        <v>37</v>
      </c>
      <c r="C368" s="99">
        <v>14585</v>
      </c>
      <c r="D368" s="95">
        <v>2917</v>
      </c>
      <c r="E368" s="99">
        <f t="shared" si="44"/>
        <v>218.77500000000001</v>
      </c>
      <c r="F368" s="99">
        <f t="shared" si="45"/>
        <v>3135.7750000000001</v>
      </c>
      <c r="G368" s="99"/>
      <c r="H368" s="99"/>
      <c r="I368" s="100"/>
      <c r="J368" s="101"/>
      <c r="L368" s="98" t="s">
        <v>37</v>
      </c>
      <c r="M368" s="99">
        <v>62500</v>
      </c>
      <c r="N368" s="99">
        <v>12500</v>
      </c>
      <c r="O368" s="99">
        <f t="shared" si="46"/>
        <v>937.5</v>
      </c>
      <c r="P368" s="99">
        <f t="shared" si="47"/>
        <v>13437.5</v>
      </c>
      <c r="Q368" s="99"/>
      <c r="R368" s="99"/>
      <c r="S368" s="100"/>
      <c r="T368" s="101"/>
    </row>
    <row r="369" spans="2:20" x14ac:dyDescent="0.3">
      <c r="B369" s="98" t="s">
        <v>38</v>
      </c>
      <c r="C369" s="99">
        <v>11668</v>
      </c>
      <c r="D369" s="99">
        <v>2917</v>
      </c>
      <c r="E369" s="99">
        <f t="shared" si="44"/>
        <v>175.01999999999998</v>
      </c>
      <c r="F369" s="99">
        <f t="shared" si="45"/>
        <v>3092.02</v>
      </c>
      <c r="G369" s="99"/>
      <c r="H369" s="99"/>
      <c r="I369" s="100"/>
      <c r="J369" s="101"/>
      <c r="L369" s="98" t="s">
        <v>38</v>
      </c>
      <c r="M369" s="99">
        <v>50000</v>
      </c>
      <c r="N369" s="99">
        <v>12500</v>
      </c>
      <c r="O369" s="99">
        <f t="shared" si="46"/>
        <v>750</v>
      </c>
      <c r="P369" s="99">
        <f t="shared" si="47"/>
        <v>13250</v>
      </c>
      <c r="Q369" s="99"/>
      <c r="R369" s="99"/>
      <c r="S369" s="100"/>
      <c r="T369" s="101"/>
    </row>
    <row r="370" spans="2:20" ht="15" thickBot="1" x14ac:dyDescent="0.35">
      <c r="B370" s="98" t="s">
        <v>39</v>
      </c>
      <c r="C370" s="99">
        <v>8751</v>
      </c>
      <c r="D370" s="99">
        <v>2917</v>
      </c>
      <c r="E370" s="99">
        <f t="shared" si="44"/>
        <v>131.26499999999999</v>
      </c>
      <c r="F370" s="99">
        <f t="shared" si="45"/>
        <v>3048.2649999999999</v>
      </c>
      <c r="G370" s="99"/>
      <c r="H370" s="99"/>
      <c r="I370" s="100"/>
      <c r="J370" s="101"/>
      <c r="L370" s="98" t="s">
        <v>39</v>
      </c>
      <c r="M370" s="99">
        <v>37500</v>
      </c>
      <c r="N370" s="99">
        <v>12500</v>
      </c>
      <c r="O370" s="99">
        <f t="shared" si="46"/>
        <v>562.5</v>
      </c>
      <c r="P370" s="99">
        <f t="shared" si="47"/>
        <v>13062.5</v>
      </c>
      <c r="Q370" s="99"/>
      <c r="R370" s="99"/>
      <c r="S370" s="100"/>
      <c r="T370" s="101"/>
    </row>
    <row r="371" spans="2:20" x14ac:dyDescent="0.3">
      <c r="B371" s="98" t="s">
        <v>40</v>
      </c>
      <c r="C371" s="99">
        <v>5834</v>
      </c>
      <c r="D371" s="95">
        <v>2917</v>
      </c>
      <c r="E371" s="99">
        <f t="shared" si="44"/>
        <v>87.509999999999991</v>
      </c>
      <c r="F371" s="99">
        <f t="shared" si="45"/>
        <v>3004.51</v>
      </c>
      <c r="G371" s="99"/>
      <c r="H371" s="99"/>
      <c r="I371" s="100"/>
      <c r="J371" s="101"/>
      <c r="L371" s="98" t="s">
        <v>40</v>
      </c>
      <c r="M371" s="99">
        <v>25000</v>
      </c>
      <c r="N371" s="95">
        <v>12500</v>
      </c>
      <c r="O371" s="99">
        <f t="shared" si="46"/>
        <v>375</v>
      </c>
      <c r="P371" s="99">
        <f t="shared" si="47"/>
        <v>12875</v>
      </c>
      <c r="Q371" s="99"/>
      <c r="R371" s="99"/>
      <c r="S371" s="100"/>
      <c r="T371" s="101"/>
    </row>
    <row r="372" spans="2:20" ht="15" thickBot="1" x14ac:dyDescent="0.35">
      <c r="B372" s="103" t="s">
        <v>41</v>
      </c>
      <c r="C372" s="102">
        <v>2917</v>
      </c>
      <c r="D372" s="99">
        <v>2917</v>
      </c>
      <c r="E372" s="102">
        <f t="shared" si="44"/>
        <v>43.754999999999995</v>
      </c>
      <c r="F372" s="102">
        <f t="shared" si="45"/>
        <v>2960.7550000000001</v>
      </c>
      <c r="G372" s="102"/>
      <c r="H372" s="102"/>
      <c r="I372" s="104"/>
      <c r="J372" s="105" t="s">
        <v>42</v>
      </c>
      <c r="L372" s="103" t="s">
        <v>41</v>
      </c>
      <c r="M372" s="102">
        <v>12500</v>
      </c>
      <c r="N372" s="99">
        <v>12500</v>
      </c>
      <c r="O372" s="102">
        <f t="shared" si="46"/>
        <v>187.5</v>
      </c>
      <c r="P372" s="102">
        <f t="shared" si="47"/>
        <v>12687.5</v>
      </c>
      <c r="Q372" s="102"/>
      <c r="R372" s="102"/>
      <c r="S372" s="104"/>
      <c r="T372" s="105" t="s">
        <v>42</v>
      </c>
    </row>
    <row r="375" spans="2:20" x14ac:dyDescent="0.3">
      <c r="B375" s="77" t="s">
        <v>0</v>
      </c>
      <c r="C375" s="77" t="s">
        <v>98</v>
      </c>
      <c r="D375" s="112"/>
      <c r="E375" s="112"/>
      <c r="F375" s="79"/>
      <c r="G375" s="80"/>
      <c r="I375" s="81" t="s">
        <v>1</v>
      </c>
      <c r="J375" s="82">
        <v>4000</v>
      </c>
    </row>
    <row r="376" spans="2:20" x14ac:dyDescent="0.3">
      <c r="B376" s="77" t="s">
        <v>2</v>
      </c>
      <c r="C376" s="83"/>
      <c r="D376" s="79"/>
      <c r="E376" s="83"/>
      <c r="F376" s="81"/>
      <c r="G376" s="81"/>
      <c r="H376" s="84"/>
      <c r="I376" s="81" t="s">
        <v>3</v>
      </c>
      <c r="J376" s="85"/>
    </row>
    <row r="377" spans="2:20" x14ac:dyDescent="0.3">
      <c r="B377" s="77" t="s">
        <v>4</v>
      </c>
      <c r="C377" s="78"/>
      <c r="D377" s="79"/>
      <c r="E377" s="78"/>
      <c r="F377" s="81"/>
      <c r="G377" s="81"/>
      <c r="H377" s="81"/>
      <c r="I377" s="81" t="s">
        <v>5</v>
      </c>
      <c r="J377" s="86">
        <v>1.4999999999999999E-2</v>
      </c>
    </row>
    <row r="378" spans="2:20" ht="15" thickBot="1" x14ac:dyDescent="0.35">
      <c r="B378" s="77" t="s">
        <v>6</v>
      </c>
      <c r="C378" s="87"/>
      <c r="D378" s="87"/>
      <c r="E378" s="88"/>
      <c r="F378" s="88"/>
      <c r="G378" s="88"/>
      <c r="H378" s="88"/>
      <c r="I378" s="88" t="s">
        <v>7</v>
      </c>
      <c r="J378" s="78">
        <v>24</v>
      </c>
    </row>
    <row r="379" spans="2:20" ht="41.4" thickBot="1" x14ac:dyDescent="0.35">
      <c r="B379" s="89" t="s">
        <v>8</v>
      </c>
      <c r="C379" s="89" t="s">
        <v>9</v>
      </c>
      <c r="D379" s="89" t="s">
        <v>10</v>
      </c>
      <c r="E379" s="90" t="s">
        <v>11</v>
      </c>
      <c r="F379" s="91" t="s">
        <v>12</v>
      </c>
      <c r="G379" s="92" t="s">
        <v>13</v>
      </c>
      <c r="H379" s="92" t="s">
        <v>14</v>
      </c>
      <c r="I379" s="92" t="s">
        <v>15</v>
      </c>
      <c r="J379" s="93" t="s">
        <v>16</v>
      </c>
    </row>
    <row r="380" spans="2:20" x14ac:dyDescent="0.3">
      <c r="B380" s="94" t="s">
        <v>17</v>
      </c>
      <c r="C380" s="95">
        <f>J375</f>
        <v>4000</v>
      </c>
      <c r="D380" s="95">
        <f>J375/J378</f>
        <v>166.66666666666666</v>
      </c>
      <c r="E380" s="95">
        <f t="shared" ref="E380:E403" si="48">(C380*0.015)</f>
        <v>60</v>
      </c>
      <c r="F380" s="95">
        <f t="shared" ref="F380:F403" si="49">SUM(D380:E380)</f>
        <v>226.66666666666666</v>
      </c>
      <c r="G380" s="95"/>
      <c r="H380" s="95"/>
      <c r="I380" s="96"/>
      <c r="J380" s="97"/>
    </row>
    <row r="381" spans="2:20" x14ac:dyDescent="0.3">
      <c r="B381" s="98" t="s">
        <v>18</v>
      </c>
      <c r="C381" s="99">
        <v>3841</v>
      </c>
      <c r="D381" s="99">
        <v>167</v>
      </c>
      <c r="E381" s="99">
        <f t="shared" si="48"/>
        <v>57.614999999999995</v>
      </c>
      <c r="F381" s="99">
        <f t="shared" si="49"/>
        <v>224.61500000000001</v>
      </c>
      <c r="G381" s="99"/>
      <c r="H381" s="99"/>
      <c r="I381" s="100"/>
      <c r="J381" s="101"/>
    </row>
    <row r="382" spans="2:20" x14ac:dyDescent="0.3">
      <c r="B382" s="98" t="s">
        <v>19</v>
      </c>
      <c r="C382" s="99">
        <v>3674</v>
      </c>
      <c r="D382" s="99">
        <v>167</v>
      </c>
      <c r="E382" s="99">
        <f t="shared" si="48"/>
        <v>55.11</v>
      </c>
      <c r="F382" s="99">
        <f t="shared" si="49"/>
        <v>222.11</v>
      </c>
      <c r="G382" s="99"/>
      <c r="H382" s="99"/>
      <c r="I382" s="100"/>
      <c r="J382" s="101"/>
    </row>
    <row r="383" spans="2:20" ht="15" thickBot="1" x14ac:dyDescent="0.35">
      <c r="B383" s="98" t="s">
        <v>20</v>
      </c>
      <c r="C383" s="99">
        <v>3507</v>
      </c>
      <c r="D383" s="99">
        <v>167</v>
      </c>
      <c r="E383" s="99">
        <f t="shared" si="48"/>
        <v>52.604999999999997</v>
      </c>
      <c r="F383" s="99">
        <f t="shared" si="49"/>
        <v>219.60499999999999</v>
      </c>
      <c r="G383" s="99"/>
      <c r="H383" s="99"/>
      <c r="I383" s="100"/>
      <c r="J383" s="101"/>
    </row>
    <row r="384" spans="2:20" ht="15" thickBot="1" x14ac:dyDescent="0.35">
      <c r="B384" s="98" t="s">
        <v>21</v>
      </c>
      <c r="C384" s="99">
        <v>3340</v>
      </c>
      <c r="D384" s="95">
        <v>167</v>
      </c>
      <c r="E384" s="99">
        <f t="shared" si="48"/>
        <v>50.1</v>
      </c>
      <c r="F384" s="99">
        <f t="shared" si="49"/>
        <v>217.1</v>
      </c>
      <c r="G384" s="99"/>
      <c r="H384" s="99"/>
      <c r="I384" s="100"/>
      <c r="J384" s="101"/>
    </row>
    <row r="385" spans="2:10" x14ac:dyDescent="0.3">
      <c r="B385" s="98" t="s">
        <v>23</v>
      </c>
      <c r="C385" s="99">
        <v>3173</v>
      </c>
      <c r="D385" s="95">
        <v>167</v>
      </c>
      <c r="E385" s="99">
        <f t="shared" si="48"/>
        <v>47.594999999999999</v>
      </c>
      <c r="F385" s="99">
        <f t="shared" si="49"/>
        <v>214.595</v>
      </c>
      <c r="G385" s="99"/>
      <c r="H385" s="99"/>
      <c r="I385" s="100"/>
      <c r="J385" s="101"/>
    </row>
    <row r="386" spans="2:10" ht="15" thickBot="1" x14ac:dyDescent="0.35">
      <c r="B386" s="98" t="s">
        <v>24</v>
      </c>
      <c r="C386" s="99">
        <v>3006</v>
      </c>
      <c r="D386" s="99">
        <v>167</v>
      </c>
      <c r="E386" s="99">
        <f t="shared" si="48"/>
        <v>45.089999999999996</v>
      </c>
      <c r="F386" s="99">
        <f t="shared" si="49"/>
        <v>212.09</v>
      </c>
      <c r="G386" s="99"/>
      <c r="H386" s="99"/>
      <c r="I386" s="100"/>
      <c r="J386" s="101"/>
    </row>
    <row r="387" spans="2:10" x14ac:dyDescent="0.3">
      <c r="B387" s="98" t="s">
        <v>25</v>
      </c>
      <c r="C387" s="99">
        <v>2839</v>
      </c>
      <c r="D387" s="95">
        <v>167</v>
      </c>
      <c r="E387" s="99">
        <f t="shared" si="48"/>
        <v>42.585000000000001</v>
      </c>
      <c r="F387" s="99">
        <f t="shared" si="49"/>
        <v>209.58500000000001</v>
      </c>
      <c r="G387" s="99"/>
      <c r="H387" s="99"/>
      <c r="I387" s="100"/>
      <c r="J387" s="101"/>
    </row>
    <row r="388" spans="2:10" x14ac:dyDescent="0.3">
      <c r="B388" s="98" t="s">
        <v>26</v>
      </c>
      <c r="C388" s="99">
        <v>2672</v>
      </c>
      <c r="D388" s="99">
        <v>167</v>
      </c>
      <c r="E388" s="99">
        <f t="shared" si="48"/>
        <v>40.08</v>
      </c>
      <c r="F388" s="99">
        <f t="shared" si="49"/>
        <v>207.07999999999998</v>
      </c>
      <c r="G388" s="99"/>
      <c r="H388" s="99"/>
      <c r="I388" s="100"/>
      <c r="J388" s="101"/>
    </row>
    <row r="389" spans="2:10" x14ac:dyDescent="0.3">
      <c r="B389" s="98" t="s">
        <v>27</v>
      </c>
      <c r="C389" s="99">
        <v>2505</v>
      </c>
      <c r="D389" s="99">
        <v>167</v>
      </c>
      <c r="E389" s="99">
        <f t="shared" si="48"/>
        <v>37.574999999999996</v>
      </c>
      <c r="F389" s="99">
        <f t="shared" si="49"/>
        <v>204.57499999999999</v>
      </c>
      <c r="G389" s="99"/>
      <c r="H389" s="99"/>
      <c r="I389" s="100"/>
      <c r="J389" s="101"/>
    </row>
    <row r="390" spans="2:10" ht="15" thickBot="1" x14ac:dyDescent="0.35">
      <c r="B390" s="98" t="s">
        <v>28</v>
      </c>
      <c r="C390" s="99">
        <v>2338</v>
      </c>
      <c r="D390" s="99">
        <v>167</v>
      </c>
      <c r="E390" s="99">
        <f t="shared" si="48"/>
        <v>35.07</v>
      </c>
      <c r="F390" s="99">
        <f t="shared" si="49"/>
        <v>202.07</v>
      </c>
      <c r="G390" s="99"/>
      <c r="H390" s="99"/>
      <c r="I390" s="100"/>
      <c r="J390" s="101"/>
    </row>
    <row r="391" spans="2:10" ht="15" thickBot="1" x14ac:dyDescent="0.35">
      <c r="B391" s="98" t="s">
        <v>29</v>
      </c>
      <c r="C391" s="99">
        <v>2171</v>
      </c>
      <c r="D391" s="95">
        <v>167</v>
      </c>
      <c r="E391" s="99">
        <f t="shared" si="48"/>
        <v>32.564999999999998</v>
      </c>
      <c r="F391" s="99">
        <f t="shared" si="49"/>
        <v>199.565</v>
      </c>
      <c r="G391" s="99"/>
      <c r="H391" s="99"/>
      <c r="I391" s="100"/>
      <c r="J391" s="101"/>
    </row>
    <row r="392" spans="2:10" x14ac:dyDescent="0.3">
      <c r="B392" s="98" t="s">
        <v>30</v>
      </c>
      <c r="C392" s="99">
        <v>2004</v>
      </c>
      <c r="D392" s="95">
        <v>167</v>
      </c>
      <c r="E392" s="99">
        <f t="shared" si="48"/>
        <v>30.06</v>
      </c>
      <c r="F392" s="99">
        <f t="shared" si="49"/>
        <v>197.06</v>
      </c>
      <c r="G392" s="99"/>
      <c r="H392" s="99"/>
      <c r="I392" s="100"/>
      <c r="J392" s="101"/>
    </row>
    <row r="393" spans="2:10" x14ac:dyDescent="0.3">
      <c r="B393" s="98" t="s">
        <v>31</v>
      </c>
      <c r="C393" s="99">
        <v>1837</v>
      </c>
      <c r="D393" s="99">
        <v>167</v>
      </c>
      <c r="E393" s="99">
        <f t="shared" si="48"/>
        <v>27.555</v>
      </c>
      <c r="F393" s="99">
        <f t="shared" si="49"/>
        <v>194.55500000000001</v>
      </c>
      <c r="G393" s="99"/>
      <c r="H393" s="99"/>
      <c r="I393" s="100"/>
      <c r="J393" s="101"/>
    </row>
    <row r="394" spans="2:10" ht="15" thickBot="1" x14ac:dyDescent="0.35">
      <c r="B394" s="98" t="s">
        <v>32</v>
      </c>
      <c r="C394" s="99">
        <v>1670</v>
      </c>
      <c r="D394" s="99">
        <v>167</v>
      </c>
      <c r="E394" s="99">
        <f t="shared" si="48"/>
        <v>25.05</v>
      </c>
      <c r="F394" s="99">
        <f t="shared" si="49"/>
        <v>192.05</v>
      </c>
      <c r="G394" s="99"/>
      <c r="H394" s="99"/>
      <c r="I394" s="100"/>
      <c r="J394" s="101"/>
    </row>
    <row r="395" spans="2:10" ht="15" thickBot="1" x14ac:dyDescent="0.35">
      <c r="B395" s="98" t="s">
        <v>33</v>
      </c>
      <c r="C395" s="99">
        <v>1503</v>
      </c>
      <c r="D395" s="95">
        <v>167</v>
      </c>
      <c r="E395" s="99">
        <f t="shared" si="48"/>
        <v>22.544999999999998</v>
      </c>
      <c r="F395" s="99">
        <f t="shared" si="49"/>
        <v>189.54499999999999</v>
      </c>
      <c r="G395" s="99"/>
      <c r="H395" s="99"/>
      <c r="I395" s="100"/>
      <c r="J395" s="101"/>
    </row>
    <row r="396" spans="2:10" x14ac:dyDescent="0.3">
      <c r="B396" s="98" t="s">
        <v>34</v>
      </c>
      <c r="C396" s="99">
        <v>1336</v>
      </c>
      <c r="D396" s="95">
        <v>167</v>
      </c>
      <c r="E396" s="99">
        <f t="shared" si="48"/>
        <v>20.04</v>
      </c>
      <c r="F396" s="99">
        <f t="shared" si="49"/>
        <v>187.04</v>
      </c>
      <c r="G396" s="99"/>
      <c r="H396" s="99"/>
      <c r="I396" s="100"/>
      <c r="J396" s="101"/>
    </row>
    <row r="397" spans="2:10" ht="15" thickBot="1" x14ac:dyDescent="0.35">
      <c r="B397" s="98" t="s">
        <v>35</v>
      </c>
      <c r="C397" s="99">
        <v>1169</v>
      </c>
      <c r="D397" s="99">
        <v>167</v>
      </c>
      <c r="E397" s="99">
        <f t="shared" si="48"/>
        <v>17.535</v>
      </c>
      <c r="F397" s="99">
        <f t="shared" si="49"/>
        <v>184.535</v>
      </c>
      <c r="G397" s="99"/>
      <c r="H397" s="99"/>
      <c r="I397" s="100"/>
      <c r="J397" s="101"/>
    </row>
    <row r="398" spans="2:10" x14ac:dyDescent="0.3">
      <c r="B398" s="98" t="s">
        <v>36</v>
      </c>
      <c r="C398" s="99">
        <v>1002</v>
      </c>
      <c r="D398" s="95">
        <v>167</v>
      </c>
      <c r="E398" s="99">
        <f t="shared" si="48"/>
        <v>15.03</v>
      </c>
      <c r="F398" s="99">
        <f t="shared" si="49"/>
        <v>182.03</v>
      </c>
      <c r="G398" s="99"/>
      <c r="H398" s="99"/>
      <c r="I398" s="100"/>
      <c r="J398" s="101"/>
    </row>
    <row r="399" spans="2:10" x14ac:dyDescent="0.3">
      <c r="B399" s="98" t="s">
        <v>37</v>
      </c>
      <c r="C399" s="99">
        <v>835</v>
      </c>
      <c r="D399" s="99">
        <v>167</v>
      </c>
      <c r="E399" s="99">
        <f t="shared" si="48"/>
        <v>12.525</v>
      </c>
      <c r="F399" s="99">
        <f t="shared" si="49"/>
        <v>179.52500000000001</v>
      </c>
      <c r="G399" s="99"/>
      <c r="H399" s="99"/>
      <c r="I399" s="100"/>
      <c r="J399" s="101"/>
    </row>
    <row r="400" spans="2:10" x14ac:dyDescent="0.3">
      <c r="B400" s="98" t="s">
        <v>38</v>
      </c>
      <c r="C400" s="99">
        <v>668</v>
      </c>
      <c r="D400" s="99">
        <v>167</v>
      </c>
      <c r="E400" s="99">
        <f t="shared" si="48"/>
        <v>10.02</v>
      </c>
      <c r="F400" s="99">
        <f t="shared" si="49"/>
        <v>177.02</v>
      </c>
      <c r="G400" s="99"/>
      <c r="H400" s="99"/>
      <c r="I400" s="100"/>
      <c r="J400" s="101"/>
    </row>
    <row r="401" spans="2:10" ht="15" thickBot="1" x14ac:dyDescent="0.35">
      <c r="B401" s="98" t="s">
        <v>39</v>
      </c>
      <c r="C401" s="99">
        <v>501</v>
      </c>
      <c r="D401" s="99">
        <v>167</v>
      </c>
      <c r="E401" s="99">
        <f t="shared" si="48"/>
        <v>7.5149999999999997</v>
      </c>
      <c r="F401" s="99">
        <f t="shared" si="49"/>
        <v>174.51499999999999</v>
      </c>
      <c r="G401" s="99"/>
      <c r="H401" s="99"/>
      <c r="I401" s="100"/>
      <c r="J401" s="101"/>
    </row>
    <row r="402" spans="2:10" x14ac:dyDescent="0.3">
      <c r="B402" s="98" t="s">
        <v>40</v>
      </c>
      <c r="C402" s="99">
        <v>334</v>
      </c>
      <c r="D402" s="95">
        <v>167</v>
      </c>
      <c r="E402" s="99">
        <f t="shared" si="48"/>
        <v>5.01</v>
      </c>
      <c r="F402" s="99">
        <f t="shared" si="49"/>
        <v>172.01</v>
      </c>
      <c r="G402" s="99"/>
      <c r="H402" s="99"/>
      <c r="I402" s="100"/>
      <c r="J402" s="101"/>
    </row>
    <row r="403" spans="2:10" ht="15" thickBot="1" x14ac:dyDescent="0.35">
      <c r="B403" s="103" t="s">
        <v>41</v>
      </c>
      <c r="C403" s="102">
        <v>167</v>
      </c>
      <c r="D403" s="99">
        <v>167</v>
      </c>
      <c r="E403" s="102">
        <f t="shared" si="48"/>
        <v>2.5049999999999999</v>
      </c>
      <c r="F403" s="102">
        <f t="shared" si="49"/>
        <v>169.505</v>
      </c>
      <c r="G403" s="102"/>
      <c r="H403" s="102"/>
      <c r="I403" s="104"/>
      <c r="J403" s="105" t="s">
        <v>42</v>
      </c>
    </row>
    <row r="404" spans="2:10" x14ac:dyDescent="0.3">
      <c r="E404" s="38">
        <f>SUM(E380:E403)</f>
        <v>751.37999999999965</v>
      </c>
      <c r="F404" s="38">
        <f>SUM(F380:F403)</f>
        <v>4759.046666666668</v>
      </c>
    </row>
  </sheetData>
  <mergeCells count="10">
    <mergeCell ref="F128:I128"/>
    <mergeCell ref="C129:D129"/>
    <mergeCell ref="E129:I129"/>
    <mergeCell ref="M126:O126"/>
    <mergeCell ref="R126:S126"/>
    <mergeCell ref="P128:S128"/>
    <mergeCell ref="M129:N129"/>
    <mergeCell ref="O129:S129"/>
    <mergeCell ref="C126:E126"/>
    <mergeCell ref="H126:I126"/>
  </mergeCells>
  <pageMargins left="0.25" right="0.25" top="0.75" bottom="0.75" header="0.3" footer="0.3"/>
  <pageSetup paperSize="5" scale="90" orientation="landscape" horizontalDpi="4294967292" verticalDpi="200" copies="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7328-D5F7-4552-99A5-3EDC63E2C3BD}">
  <dimension ref="A1:T436"/>
  <sheetViews>
    <sheetView topLeftCell="A358" workbookViewId="0">
      <selection activeCell="A374" sqref="A374:T409"/>
    </sheetView>
  </sheetViews>
  <sheetFormatPr defaultRowHeight="14.4" x14ac:dyDescent="0.3"/>
  <cols>
    <col min="1" max="1" width="2.77734375" customWidth="1"/>
    <col min="2" max="2" width="10" customWidth="1"/>
    <col min="11" max="11" width="10.21875" customWidth="1"/>
    <col min="12" max="12" width="9.77734375" customWidth="1"/>
  </cols>
  <sheetData>
    <row r="1" spans="1:20" x14ac:dyDescent="0.3">
      <c r="A1" s="1"/>
      <c r="B1" s="80" t="s">
        <v>0</v>
      </c>
      <c r="C1" s="77" t="s">
        <v>217</v>
      </c>
      <c r="D1" s="112"/>
      <c r="E1" s="112"/>
      <c r="F1" s="79"/>
      <c r="G1" s="80"/>
      <c r="I1" s="81" t="s">
        <v>1</v>
      </c>
      <c r="J1" s="82">
        <v>60000</v>
      </c>
      <c r="K1" s="1"/>
      <c r="L1" s="80" t="s">
        <v>0</v>
      </c>
      <c r="M1" s="77" t="s">
        <v>217</v>
      </c>
      <c r="N1" s="112"/>
      <c r="O1" s="112"/>
      <c r="P1" s="79"/>
      <c r="Q1" s="80"/>
      <c r="S1" s="81" t="s">
        <v>1</v>
      </c>
      <c r="T1" s="82">
        <v>60000</v>
      </c>
    </row>
    <row r="2" spans="1:20" x14ac:dyDescent="0.3">
      <c r="A2" s="1"/>
      <c r="B2" s="80" t="s">
        <v>2</v>
      </c>
      <c r="C2" s="131"/>
      <c r="D2" s="132"/>
      <c r="E2" s="83"/>
      <c r="F2" s="81"/>
      <c r="G2" s="81"/>
      <c r="H2" s="84"/>
      <c r="I2" s="81" t="s">
        <v>3</v>
      </c>
      <c r="J2" s="85" t="s">
        <v>218</v>
      </c>
      <c r="K2" s="1"/>
      <c r="L2" s="80" t="s">
        <v>2</v>
      </c>
      <c r="M2" s="131"/>
      <c r="N2" s="132"/>
      <c r="O2" s="83"/>
      <c r="P2" s="81"/>
      <c r="Q2" s="81"/>
      <c r="R2" s="84"/>
      <c r="S2" s="81" t="s">
        <v>3</v>
      </c>
      <c r="T2" s="85" t="s">
        <v>218</v>
      </c>
    </row>
    <row r="3" spans="1:20" x14ac:dyDescent="0.3">
      <c r="A3" s="1"/>
      <c r="B3" s="80" t="s">
        <v>4</v>
      </c>
      <c r="C3" s="112"/>
      <c r="D3" s="132"/>
      <c r="E3" s="78"/>
      <c r="F3" s="81"/>
      <c r="G3" s="81"/>
      <c r="H3" s="81"/>
      <c r="I3" s="81" t="s">
        <v>5</v>
      </c>
      <c r="J3" s="86">
        <v>1.4999999999999999E-2</v>
      </c>
      <c r="K3" s="1"/>
      <c r="L3" s="80" t="s">
        <v>4</v>
      </c>
      <c r="M3" s="112"/>
      <c r="N3" s="132"/>
      <c r="O3" s="78"/>
      <c r="P3" s="81"/>
      <c r="Q3" s="81"/>
      <c r="R3" s="81"/>
      <c r="S3" s="81" t="s">
        <v>5</v>
      </c>
      <c r="T3" s="86">
        <v>1.4999999999999999E-2</v>
      </c>
    </row>
    <row r="4" spans="1:20" ht="15" thickBot="1" x14ac:dyDescent="0.35">
      <c r="A4" s="1"/>
      <c r="B4" s="80" t="s">
        <v>6</v>
      </c>
      <c r="C4" s="87"/>
      <c r="D4" s="87"/>
      <c r="E4" s="88"/>
      <c r="F4" s="88"/>
      <c r="G4" s="88"/>
      <c r="H4" s="88"/>
      <c r="I4" s="88" t="s">
        <v>7</v>
      </c>
      <c r="J4" s="78">
        <v>36</v>
      </c>
      <c r="K4" s="1"/>
      <c r="L4" s="80" t="s">
        <v>6</v>
      </c>
      <c r="M4" s="87"/>
      <c r="N4" s="87"/>
      <c r="O4" s="88"/>
      <c r="P4" s="88"/>
      <c r="Q4" s="88"/>
      <c r="R4" s="88"/>
      <c r="S4" s="88" t="s">
        <v>7</v>
      </c>
      <c r="T4" s="78">
        <v>36</v>
      </c>
    </row>
    <row r="5" spans="1:20" ht="41.4" thickBot="1" x14ac:dyDescent="0.35">
      <c r="A5" s="1"/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K5" s="1"/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1:20" x14ac:dyDescent="0.3">
      <c r="A6" s="1"/>
      <c r="B6" s="94" t="s">
        <v>17</v>
      </c>
      <c r="C6" s="95">
        <f>J1</f>
        <v>60000</v>
      </c>
      <c r="D6" s="95">
        <f>J1/J4</f>
        <v>1666.6666666666667</v>
      </c>
      <c r="E6" s="95">
        <f t="shared" ref="E6:E29" si="0">(C6*0.015)</f>
        <v>900</v>
      </c>
      <c r="F6" s="95">
        <f t="shared" ref="F6:F29" si="1">SUM(D6:E6)</f>
        <v>2566.666666666667</v>
      </c>
      <c r="G6" s="95"/>
      <c r="H6" s="95"/>
      <c r="I6" s="96"/>
      <c r="J6" s="97"/>
      <c r="K6" s="1"/>
      <c r="L6" s="94" t="s">
        <v>17</v>
      </c>
      <c r="M6" s="95">
        <f>T1</f>
        <v>60000</v>
      </c>
      <c r="N6" s="95">
        <f>T1/T4</f>
        <v>1666.6666666666667</v>
      </c>
      <c r="O6" s="95">
        <f t="shared" ref="O6:O29" si="2">(M6*0.015)</f>
        <v>900</v>
      </c>
      <c r="P6" s="95">
        <f t="shared" ref="P6:P29" si="3">SUM(N6:O6)</f>
        <v>2566.666666666667</v>
      </c>
      <c r="Q6" s="95"/>
      <c r="R6" s="95"/>
      <c r="S6" s="96"/>
      <c r="T6" s="97"/>
    </row>
    <row r="7" spans="1:20" ht="15" thickBot="1" x14ac:dyDescent="0.35">
      <c r="A7" s="1"/>
      <c r="B7" s="98" t="s">
        <v>18</v>
      </c>
      <c r="C7" s="99">
        <v>58345</v>
      </c>
      <c r="D7" s="99">
        <v>1667</v>
      </c>
      <c r="E7" s="99">
        <f t="shared" si="0"/>
        <v>875.17499999999995</v>
      </c>
      <c r="F7" s="99">
        <f t="shared" si="1"/>
        <v>2542.1750000000002</v>
      </c>
      <c r="G7" s="99"/>
      <c r="H7" s="99"/>
      <c r="I7" s="100"/>
      <c r="J7" s="101"/>
      <c r="K7" s="1"/>
      <c r="L7" s="98" t="s">
        <v>18</v>
      </c>
      <c r="M7" s="99">
        <v>58345</v>
      </c>
      <c r="N7" s="99">
        <v>1667</v>
      </c>
      <c r="O7" s="99">
        <f t="shared" si="2"/>
        <v>875.17499999999995</v>
      </c>
      <c r="P7" s="99">
        <f t="shared" si="3"/>
        <v>2542.1750000000002</v>
      </c>
      <c r="Q7" s="99"/>
      <c r="R7" s="99"/>
      <c r="S7" s="100"/>
      <c r="T7" s="101"/>
    </row>
    <row r="8" spans="1:20" x14ac:dyDescent="0.3">
      <c r="B8" s="98" t="s">
        <v>19</v>
      </c>
      <c r="C8" s="99">
        <v>56678</v>
      </c>
      <c r="D8" s="95">
        <v>1667</v>
      </c>
      <c r="E8" s="99">
        <f t="shared" si="0"/>
        <v>850.17</v>
      </c>
      <c r="F8" s="99">
        <f t="shared" si="1"/>
        <v>2517.17</v>
      </c>
      <c r="G8" s="99"/>
      <c r="H8" s="99"/>
      <c r="I8" s="100"/>
      <c r="J8" s="101"/>
      <c r="L8" s="98" t="s">
        <v>19</v>
      </c>
      <c r="M8" s="99">
        <v>56678</v>
      </c>
      <c r="N8" s="95">
        <v>1667</v>
      </c>
      <c r="O8" s="99">
        <f t="shared" si="2"/>
        <v>850.17</v>
      </c>
      <c r="P8" s="99">
        <f t="shared" si="3"/>
        <v>2517.17</v>
      </c>
      <c r="Q8" s="99"/>
      <c r="R8" s="99"/>
      <c r="S8" s="100"/>
      <c r="T8" s="101"/>
    </row>
    <row r="9" spans="1:20" ht="15" thickBot="1" x14ac:dyDescent="0.35">
      <c r="B9" s="98" t="s">
        <v>20</v>
      </c>
      <c r="C9" s="99">
        <v>55011</v>
      </c>
      <c r="D9" s="99">
        <v>1667</v>
      </c>
      <c r="E9" s="99">
        <f t="shared" si="0"/>
        <v>825.16499999999996</v>
      </c>
      <c r="F9" s="99">
        <f t="shared" si="1"/>
        <v>2492.165</v>
      </c>
      <c r="G9" s="99"/>
      <c r="H9" s="99"/>
      <c r="I9" s="100"/>
      <c r="J9" s="101"/>
      <c r="L9" s="98" t="s">
        <v>20</v>
      </c>
      <c r="M9" s="99">
        <v>55011</v>
      </c>
      <c r="N9" s="99">
        <v>1667</v>
      </c>
      <c r="O9" s="99">
        <f t="shared" si="2"/>
        <v>825.16499999999996</v>
      </c>
      <c r="P9" s="99">
        <f t="shared" si="3"/>
        <v>2492.165</v>
      </c>
      <c r="Q9" s="99"/>
      <c r="R9" s="99"/>
      <c r="S9" s="100"/>
      <c r="T9" s="101"/>
    </row>
    <row r="10" spans="1:20" ht="15" thickBot="1" x14ac:dyDescent="0.35">
      <c r="B10" s="98" t="s">
        <v>21</v>
      </c>
      <c r="C10" s="99">
        <v>53344</v>
      </c>
      <c r="D10" s="95">
        <v>1667</v>
      </c>
      <c r="E10" s="99">
        <f t="shared" si="0"/>
        <v>800.16</v>
      </c>
      <c r="F10" s="99">
        <f t="shared" si="1"/>
        <v>2467.16</v>
      </c>
      <c r="G10" s="99"/>
      <c r="H10" s="99"/>
      <c r="I10" s="100"/>
      <c r="J10" s="101"/>
      <c r="L10" s="98" t="s">
        <v>21</v>
      </c>
      <c r="M10" s="99">
        <v>53344</v>
      </c>
      <c r="N10" s="95">
        <v>1667</v>
      </c>
      <c r="O10" s="99">
        <f t="shared" si="2"/>
        <v>800.16</v>
      </c>
      <c r="P10" s="99">
        <f t="shared" si="3"/>
        <v>2467.16</v>
      </c>
      <c r="Q10" s="99"/>
      <c r="R10" s="99"/>
      <c r="S10" s="100"/>
      <c r="T10" s="101"/>
    </row>
    <row r="11" spans="1:20" x14ac:dyDescent="0.3">
      <c r="B11" s="98" t="s">
        <v>23</v>
      </c>
      <c r="C11" s="99">
        <v>51677</v>
      </c>
      <c r="D11" s="95">
        <v>1667</v>
      </c>
      <c r="E11" s="99">
        <f t="shared" si="0"/>
        <v>775.15499999999997</v>
      </c>
      <c r="F11" s="99">
        <f t="shared" si="1"/>
        <v>2442.1549999999997</v>
      </c>
      <c r="G11" s="99"/>
      <c r="H11" s="99"/>
      <c r="I11" s="100"/>
      <c r="J11" s="101"/>
      <c r="L11" s="98" t="s">
        <v>23</v>
      </c>
      <c r="M11" s="99">
        <v>51677</v>
      </c>
      <c r="N11" s="95">
        <v>1667</v>
      </c>
      <c r="O11" s="99">
        <f t="shared" si="2"/>
        <v>775.15499999999997</v>
      </c>
      <c r="P11" s="99">
        <f t="shared" si="3"/>
        <v>2442.1549999999997</v>
      </c>
      <c r="Q11" s="99"/>
      <c r="R11" s="99"/>
      <c r="S11" s="100"/>
      <c r="T11" s="101"/>
    </row>
    <row r="12" spans="1:20" ht="15" thickBot="1" x14ac:dyDescent="0.35">
      <c r="B12" s="98" t="s">
        <v>24</v>
      </c>
      <c r="C12" s="99">
        <v>50010</v>
      </c>
      <c r="D12" s="99">
        <v>1667</v>
      </c>
      <c r="E12" s="99">
        <f t="shared" si="0"/>
        <v>750.15</v>
      </c>
      <c r="F12" s="99">
        <f t="shared" si="1"/>
        <v>2417.15</v>
      </c>
      <c r="G12" s="99"/>
      <c r="H12" s="99"/>
      <c r="I12" s="100"/>
      <c r="J12" s="101"/>
      <c r="L12" s="98" t="s">
        <v>24</v>
      </c>
      <c r="M12" s="99">
        <v>50010</v>
      </c>
      <c r="N12" s="99">
        <v>1667</v>
      </c>
      <c r="O12" s="99">
        <f t="shared" si="2"/>
        <v>750.15</v>
      </c>
      <c r="P12" s="99">
        <f t="shared" si="3"/>
        <v>2417.15</v>
      </c>
      <c r="Q12" s="99"/>
      <c r="R12" s="99"/>
      <c r="S12" s="100"/>
      <c r="T12" s="101"/>
    </row>
    <row r="13" spans="1:20" x14ac:dyDescent="0.3">
      <c r="B13" s="98" t="s">
        <v>25</v>
      </c>
      <c r="C13" s="99">
        <v>48343</v>
      </c>
      <c r="D13" s="95">
        <v>1667</v>
      </c>
      <c r="E13" s="99">
        <f t="shared" si="0"/>
        <v>725.14499999999998</v>
      </c>
      <c r="F13" s="99">
        <f t="shared" si="1"/>
        <v>2392.145</v>
      </c>
      <c r="G13" s="99"/>
      <c r="H13" s="99"/>
      <c r="I13" s="100"/>
      <c r="J13" s="101"/>
      <c r="L13" s="98" t="s">
        <v>25</v>
      </c>
      <c r="M13" s="99">
        <v>48343</v>
      </c>
      <c r="N13" s="95">
        <v>1667</v>
      </c>
      <c r="O13" s="99">
        <f t="shared" si="2"/>
        <v>725.14499999999998</v>
      </c>
      <c r="P13" s="99">
        <f t="shared" si="3"/>
        <v>2392.145</v>
      </c>
      <c r="Q13" s="99"/>
      <c r="R13" s="99"/>
      <c r="S13" s="100"/>
      <c r="T13" s="101"/>
    </row>
    <row r="14" spans="1:20" ht="15" thickBot="1" x14ac:dyDescent="0.35">
      <c r="B14" s="98" t="s">
        <v>26</v>
      </c>
      <c r="C14" s="99">
        <v>46676</v>
      </c>
      <c r="D14" s="99">
        <v>1667</v>
      </c>
      <c r="E14" s="99">
        <f t="shared" si="0"/>
        <v>700.14</v>
      </c>
      <c r="F14" s="99">
        <f t="shared" si="1"/>
        <v>2367.14</v>
      </c>
      <c r="G14" s="99"/>
      <c r="H14" s="99"/>
      <c r="I14" s="100"/>
      <c r="J14" s="101"/>
      <c r="L14" s="98" t="s">
        <v>26</v>
      </c>
      <c r="M14" s="99">
        <v>46676</v>
      </c>
      <c r="N14" s="99">
        <v>1667</v>
      </c>
      <c r="O14" s="99">
        <f t="shared" si="2"/>
        <v>700.14</v>
      </c>
      <c r="P14" s="99">
        <f t="shared" si="3"/>
        <v>2367.14</v>
      </c>
      <c r="Q14" s="99"/>
      <c r="R14" s="99"/>
      <c r="S14" s="100"/>
      <c r="T14" s="101"/>
    </row>
    <row r="15" spans="1:20" ht="15" thickBot="1" x14ac:dyDescent="0.35">
      <c r="B15" s="98" t="s">
        <v>27</v>
      </c>
      <c r="C15" s="99">
        <v>45009</v>
      </c>
      <c r="D15" s="95">
        <v>1667</v>
      </c>
      <c r="E15" s="99">
        <f t="shared" si="0"/>
        <v>675.13499999999999</v>
      </c>
      <c r="F15" s="99">
        <f t="shared" si="1"/>
        <v>2342.1350000000002</v>
      </c>
      <c r="G15" s="99"/>
      <c r="H15" s="99"/>
      <c r="I15" s="100"/>
      <c r="J15" s="101"/>
      <c r="L15" s="98" t="s">
        <v>27</v>
      </c>
      <c r="M15" s="99">
        <v>45009</v>
      </c>
      <c r="N15" s="95">
        <v>1667</v>
      </c>
      <c r="O15" s="99">
        <f t="shared" si="2"/>
        <v>675.13499999999999</v>
      </c>
      <c r="P15" s="99">
        <f t="shared" si="3"/>
        <v>2342.1350000000002</v>
      </c>
      <c r="Q15" s="99"/>
      <c r="R15" s="99"/>
      <c r="S15" s="100"/>
      <c r="T15" s="101"/>
    </row>
    <row r="16" spans="1:20" x14ac:dyDescent="0.3">
      <c r="B16" s="98" t="s">
        <v>28</v>
      </c>
      <c r="C16" s="99">
        <v>43342</v>
      </c>
      <c r="D16" s="95">
        <v>1667</v>
      </c>
      <c r="E16" s="99">
        <f t="shared" si="0"/>
        <v>650.13</v>
      </c>
      <c r="F16" s="99">
        <f t="shared" si="1"/>
        <v>2317.13</v>
      </c>
      <c r="G16" s="99"/>
      <c r="H16" s="99"/>
      <c r="I16" s="100"/>
      <c r="J16" s="101"/>
      <c r="L16" s="98" t="s">
        <v>28</v>
      </c>
      <c r="M16" s="99">
        <v>43342</v>
      </c>
      <c r="N16" s="95">
        <v>1667</v>
      </c>
      <c r="O16" s="99">
        <f t="shared" si="2"/>
        <v>650.13</v>
      </c>
      <c r="P16" s="99">
        <f t="shared" si="3"/>
        <v>2317.13</v>
      </c>
      <c r="Q16" s="99"/>
      <c r="R16" s="99"/>
      <c r="S16" s="100"/>
      <c r="T16" s="101"/>
    </row>
    <row r="17" spans="2:20" ht="15" thickBot="1" x14ac:dyDescent="0.35">
      <c r="B17" s="98" t="s">
        <v>29</v>
      </c>
      <c r="C17" s="99">
        <v>41675</v>
      </c>
      <c r="D17" s="99">
        <v>1667</v>
      </c>
      <c r="E17" s="99">
        <f t="shared" si="0"/>
        <v>625.125</v>
      </c>
      <c r="F17" s="99">
        <f t="shared" si="1"/>
        <v>2292.125</v>
      </c>
      <c r="G17" s="99"/>
      <c r="H17" s="99"/>
      <c r="I17" s="100"/>
      <c r="J17" s="101"/>
      <c r="L17" s="98" t="s">
        <v>29</v>
      </c>
      <c r="M17" s="99">
        <v>41675</v>
      </c>
      <c r="N17" s="99">
        <v>1667</v>
      </c>
      <c r="O17" s="99">
        <f t="shared" si="2"/>
        <v>625.125</v>
      </c>
      <c r="P17" s="99">
        <f t="shared" si="3"/>
        <v>2292.125</v>
      </c>
      <c r="Q17" s="99"/>
      <c r="R17" s="99"/>
      <c r="S17" s="100"/>
      <c r="T17" s="101"/>
    </row>
    <row r="18" spans="2:20" x14ac:dyDescent="0.3">
      <c r="B18" s="98" t="s">
        <v>30</v>
      </c>
      <c r="C18" s="99">
        <v>40008</v>
      </c>
      <c r="D18" s="95">
        <v>1667</v>
      </c>
      <c r="E18" s="99">
        <f t="shared" si="0"/>
        <v>600.12</v>
      </c>
      <c r="F18" s="99">
        <f t="shared" si="1"/>
        <v>2267.12</v>
      </c>
      <c r="G18" s="99"/>
      <c r="H18" s="99"/>
      <c r="I18" s="100"/>
      <c r="J18" s="101"/>
      <c r="L18" s="98" t="s">
        <v>30</v>
      </c>
      <c r="M18" s="99">
        <v>40008</v>
      </c>
      <c r="N18" s="95">
        <v>1667</v>
      </c>
      <c r="O18" s="99">
        <f t="shared" si="2"/>
        <v>600.12</v>
      </c>
      <c r="P18" s="99">
        <f t="shared" si="3"/>
        <v>2267.12</v>
      </c>
      <c r="Q18" s="99"/>
      <c r="R18" s="99"/>
      <c r="S18" s="100"/>
      <c r="T18" s="101"/>
    </row>
    <row r="19" spans="2:20" ht="15" thickBot="1" x14ac:dyDescent="0.35">
      <c r="B19" s="98" t="s">
        <v>31</v>
      </c>
      <c r="C19" s="99">
        <v>38341</v>
      </c>
      <c r="D19" s="99">
        <v>1667</v>
      </c>
      <c r="E19" s="99">
        <f t="shared" si="0"/>
        <v>575.11500000000001</v>
      </c>
      <c r="F19" s="99">
        <f t="shared" si="1"/>
        <v>2242.1149999999998</v>
      </c>
      <c r="G19" s="99"/>
      <c r="H19" s="99"/>
      <c r="I19" s="100"/>
      <c r="J19" s="101"/>
      <c r="L19" s="98" t="s">
        <v>31</v>
      </c>
      <c r="M19" s="99">
        <v>38341</v>
      </c>
      <c r="N19" s="99">
        <v>1667</v>
      </c>
      <c r="O19" s="99">
        <f t="shared" si="2"/>
        <v>575.11500000000001</v>
      </c>
      <c r="P19" s="99">
        <f t="shared" si="3"/>
        <v>2242.1149999999998</v>
      </c>
      <c r="Q19" s="99"/>
      <c r="R19" s="99"/>
      <c r="S19" s="100"/>
      <c r="T19" s="101"/>
    </row>
    <row r="20" spans="2:20" ht="15" thickBot="1" x14ac:dyDescent="0.35">
      <c r="B20" s="98" t="s">
        <v>32</v>
      </c>
      <c r="C20" s="99">
        <v>36674</v>
      </c>
      <c r="D20" s="95">
        <v>1667</v>
      </c>
      <c r="E20" s="99">
        <f t="shared" si="0"/>
        <v>550.11</v>
      </c>
      <c r="F20" s="99">
        <f t="shared" si="1"/>
        <v>2217.11</v>
      </c>
      <c r="G20" s="99"/>
      <c r="H20" s="99"/>
      <c r="I20" s="100"/>
      <c r="J20" s="101"/>
      <c r="L20" s="98" t="s">
        <v>32</v>
      </c>
      <c r="M20" s="99">
        <v>36674</v>
      </c>
      <c r="N20" s="95">
        <v>1667</v>
      </c>
      <c r="O20" s="99">
        <f t="shared" si="2"/>
        <v>550.11</v>
      </c>
      <c r="P20" s="99">
        <f t="shared" si="3"/>
        <v>2217.11</v>
      </c>
      <c r="Q20" s="99"/>
      <c r="R20" s="99"/>
      <c r="S20" s="100"/>
      <c r="T20" s="101"/>
    </row>
    <row r="21" spans="2:20" x14ac:dyDescent="0.3">
      <c r="B21" s="98" t="s">
        <v>33</v>
      </c>
      <c r="C21" s="99">
        <v>35007</v>
      </c>
      <c r="D21" s="95">
        <v>1667</v>
      </c>
      <c r="E21" s="99">
        <f t="shared" si="0"/>
        <v>525.10500000000002</v>
      </c>
      <c r="F21" s="99">
        <f t="shared" si="1"/>
        <v>2192.105</v>
      </c>
      <c r="G21" s="99"/>
      <c r="H21" s="99"/>
      <c r="I21" s="100"/>
      <c r="J21" s="101"/>
      <c r="L21" s="98" t="s">
        <v>33</v>
      </c>
      <c r="M21" s="99">
        <v>35007</v>
      </c>
      <c r="N21" s="95">
        <v>1667</v>
      </c>
      <c r="O21" s="99">
        <f t="shared" si="2"/>
        <v>525.10500000000002</v>
      </c>
      <c r="P21" s="99">
        <f t="shared" si="3"/>
        <v>2192.105</v>
      </c>
      <c r="Q21" s="99"/>
      <c r="R21" s="99"/>
      <c r="S21" s="100"/>
      <c r="T21" s="101"/>
    </row>
    <row r="22" spans="2:20" ht="15" thickBot="1" x14ac:dyDescent="0.35">
      <c r="B22" s="98" t="s">
        <v>34</v>
      </c>
      <c r="C22" s="99">
        <v>33340</v>
      </c>
      <c r="D22" s="99">
        <v>1667</v>
      </c>
      <c r="E22" s="99">
        <f t="shared" si="0"/>
        <v>500.09999999999997</v>
      </c>
      <c r="F22" s="99">
        <f t="shared" si="1"/>
        <v>2167.1</v>
      </c>
      <c r="G22" s="99"/>
      <c r="H22" s="99"/>
      <c r="I22" s="100"/>
      <c r="J22" s="101"/>
      <c r="L22" s="98" t="s">
        <v>34</v>
      </c>
      <c r="M22" s="99">
        <v>33340</v>
      </c>
      <c r="N22" s="99">
        <v>1667</v>
      </c>
      <c r="O22" s="99">
        <f t="shared" si="2"/>
        <v>500.09999999999997</v>
      </c>
      <c r="P22" s="99">
        <f t="shared" si="3"/>
        <v>2167.1</v>
      </c>
      <c r="Q22" s="99"/>
      <c r="R22" s="99"/>
      <c r="S22" s="100"/>
      <c r="T22" s="101"/>
    </row>
    <row r="23" spans="2:20" x14ac:dyDescent="0.3">
      <c r="B23" s="98" t="s">
        <v>35</v>
      </c>
      <c r="C23" s="99">
        <v>31673</v>
      </c>
      <c r="D23" s="95">
        <v>1667</v>
      </c>
      <c r="E23" s="99">
        <f t="shared" si="0"/>
        <v>475.09499999999997</v>
      </c>
      <c r="F23" s="99">
        <f t="shared" si="1"/>
        <v>2142.0949999999998</v>
      </c>
      <c r="G23" s="99"/>
      <c r="H23" s="99"/>
      <c r="I23" s="100"/>
      <c r="J23" s="101"/>
      <c r="L23" s="98" t="s">
        <v>35</v>
      </c>
      <c r="M23" s="99">
        <v>31673</v>
      </c>
      <c r="N23" s="95">
        <v>1667</v>
      </c>
      <c r="O23" s="99">
        <f t="shared" si="2"/>
        <v>475.09499999999997</v>
      </c>
      <c r="P23" s="99">
        <f t="shared" si="3"/>
        <v>2142.0949999999998</v>
      </c>
      <c r="Q23" s="99"/>
      <c r="R23" s="99"/>
      <c r="S23" s="100"/>
      <c r="T23" s="101"/>
    </row>
    <row r="24" spans="2:20" ht="15" thickBot="1" x14ac:dyDescent="0.35">
      <c r="B24" s="98" t="s">
        <v>36</v>
      </c>
      <c r="C24" s="99">
        <v>30006</v>
      </c>
      <c r="D24" s="99">
        <v>1667</v>
      </c>
      <c r="E24" s="99">
        <f t="shared" si="0"/>
        <v>450.09</v>
      </c>
      <c r="F24" s="99">
        <f t="shared" si="1"/>
        <v>2117.09</v>
      </c>
      <c r="G24" s="99"/>
      <c r="H24" s="99"/>
      <c r="I24" s="100"/>
      <c r="J24" s="101"/>
      <c r="L24" s="98" t="s">
        <v>36</v>
      </c>
      <c r="M24" s="99">
        <v>30006</v>
      </c>
      <c r="N24" s="99">
        <v>1667</v>
      </c>
      <c r="O24" s="99">
        <f t="shared" si="2"/>
        <v>450.09</v>
      </c>
      <c r="P24" s="99">
        <f t="shared" si="3"/>
        <v>2117.09</v>
      </c>
      <c r="Q24" s="99"/>
      <c r="R24" s="99"/>
      <c r="S24" s="100"/>
      <c r="T24" s="101"/>
    </row>
    <row r="25" spans="2:20" ht="15" thickBot="1" x14ac:dyDescent="0.35">
      <c r="B25" s="98" t="s">
        <v>37</v>
      </c>
      <c r="C25" s="99">
        <v>28339</v>
      </c>
      <c r="D25" s="95">
        <v>1667</v>
      </c>
      <c r="E25" s="99">
        <f t="shared" si="0"/>
        <v>425.08499999999998</v>
      </c>
      <c r="F25" s="99">
        <f t="shared" si="1"/>
        <v>2092.085</v>
      </c>
      <c r="G25" s="99"/>
      <c r="H25" s="99"/>
      <c r="I25" s="100"/>
      <c r="J25" s="101"/>
      <c r="L25" s="98" t="s">
        <v>37</v>
      </c>
      <c r="M25" s="99">
        <v>28339</v>
      </c>
      <c r="N25" s="95">
        <v>1667</v>
      </c>
      <c r="O25" s="99">
        <f t="shared" si="2"/>
        <v>425.08499999999998</v>
      </c>
      <c r="P25" s="99">
        <f t="shared" si="3"/>
        <v>2092.085</v>
      </c>
      <c r="Q25" s="99"/>
      <c r="R25" s="99"/>
      <c r="S25" s="100"/>
      <c r="T25" s="101"/>
    </row>
    <row r="26" spans="2:20" x14ac:dyDescent="0.3">
      <c r="B26" s="98" t="s">
        <v>38</v>
      </c>
      <c r="C26" s="99">
        <v>26672</v>
      </c>
      <c r="D26" s="95">
        <v>1667</v>
      </c>
      <c r="E26" s="99">
        <f t="shared" si="0"/>
        <v>400.08</v>
      </c>
      <c r="F26" s="99">
        <f t="shared" si="1"/>
        <v>2067.08</v>
      </c>
      <c r="G26" s="99"/>
      <c r="H26" s="99"/>
      <c r="I26" s="100"/>
      <c r="J26" s="101"/>
      <c r="L26" s="98" t="s">
        <v>38</v>
      </c>
      <c r="M26" s="99">
        <v>26672</v>
      </c>
      <c r="N26" s="95">
        <v>1667</v>
      </c>
      <c r="O26" s="99">
        <f t="shared" si="2"/>
        <v>400.08</v>
      </c>
      <c r="P26" s="99">
        <f t="shared" si="3"/>
        <v>2067.08</v>
      </c>
      <c r="Q26" s="99"/>
      <c r="R26" s="99"/>
      <c r="S26" s="100"/>
      <c r="T26" s="101"/>
    </row>
    <row r="27" spans="2:20" ht="15" thickBot="1" x14ac:dyDescent="0.35">
      <c r="B27" s="98" t="s">
        <v>39</v>
      </c>
      <c r="C27" s="99">
        <v>25005</v>
      </c>
      <c r="D27" s="99">
        <v>1667</v>
      </c>
      <c r="E27" s="99">
        <f t="shared" si="0"/>
        <v>375.07499999999999</v>
      </c>
      <c r="F27" s="99">
        <f t="shared" si="1"/>
        <v>2042.075</v>
      </c>
      <c r="G27" s="99"/>
      <c r="H27" s="99"/>
      <c r="I27" s="100"/>
      <c r="J27" s="101"/>
      <c r="L27" s="98" t="s">
        <v>39</v>
      </c>
      <c r="M27" s="99">
        <v>25005</v>
      </c>
      <c r="N27" s="99">
        <v>1667</v>
      </c>
      <c r="O27" s="99">
        <f t="shared" si="2"/>
        <v>375.07499999999999</v>
      </c>
      <c r="P27" s="99">
        <f t="shared" si="3"/>
        <v>2042.075</v>
      </c>
      <c r="Q27" s="99"/>
      <c r="R27" s="99"/>
      <c r="S27" s="100"/>
      <c r="T27" s="101"/>
    </row>
    <row r="28" spans="2:20" x14ac:dyDescent="0.3">
      <c r="B28" s="98" t="s">
        <v>40</v>
      </c>
      <c r="C28" s="99">
        <v>23338</v>
      </c>
      <c r="D28" s="95">
        <v>1667</v>
      </c>
      <c r="E28" s="99">
        <f t="shared" si="0"/>
        <v>350.07</v>
      </c>
      <c r="F28" s="99">
        <f t="shared" si="1"/>
        <v>2017.07</v>
      </c>
      <c r="G28" s="99"/>
      <c r="H28" s="99"/>
      <c r="I28" s="100"/>
      <c r="J28" s="101"/>
      <c r="L28" s="98" t="s">
        <v>40</v>
      </c>
      <c r="M28" s="99">
        <v>23338</v>
      </c>
      <c r="N28" s="95">
        <v>1667</v>
      </c>
      <c r="O28" s="99">
        <f t="shared" si="2"/>
        <v>350.07</v>
      </c>
      <c r="P28" s="99">
        <f t="shared" si="3"/>
        <v>2017.07</v>
      </c>
      <c r="Q28" s="99"/>
      <c r="R28" s="99"/>
      <c r="S28" s="100"/>
      <c r="T28" s="101"/>
    </row>
    <row r="29" spans="2:20" ht="15" thickBot="1" x14ac:dyDescent="0.35">
      <c r="B29" s="103" t="s">
        <v>41</v>
      </c>
      <c r="C29" s="102">
        <v>21671</v>
      </c>
      <c r="D29" s="99">
        <v>1667</v>
      </c>
      <c r="E29" s="102">
        <f t="shared" si="0"/>
        <v>325.065</v>
      </c>
      <c r="F29" s="102">
        <f t="shared" si="1"/>
        <v>1992.0650000000001</v>
      </c>
      <c r="G29" s="102"/>
      <c r="H29" s="102"/>
      <c r="I29" s="104"/>
      <c r="J29" s="105"/>
      <c r="L29" s="103" t="s">
        <v>41</v>
      </c>
      <c r="M29" s="102">
        <v>21671</v>
      </c>
      <c r="N29" s="99">
        <v>1667</v>
      </c>
      <c r="O29" s="102">
        <f t="shared" si="2"/>
        <v>325.065</v>
      </c>
      <c r="P29" s="102">
        <f t="shared" si="3"/>
        <v>1992.0650000000001</v>
      </c>
      <c r="Q29" s="102"/>
      <c r="R29" s="102"/>
      <c r="S29" s="104"/>
      <c r="T29" s="105"/>
    </row>
    <row r="30" spans="2:20" x14ac:dyDescent="0.3">
      <c r="F30" s="38">
        <f>SUM(F6:F29)</f>
        <v>54710.426666666666</v>
      </c>
      <c r="P30" s="38">
        <f>SUM(P6:P29)</f>
        <v>54710.426666666666</v>
      </c>
    </row>
    <row r="34" spans="2:20" ht="15" thickBot="1" x14ac:dyDescent="0.35"/>
    <row r="35" spans="2:20" x14ac:dyDescent="0.3">
      <c r="B35" s="98" t="s">
        <v>144</v>
      </c>
      <c r="C35" s="99">
        <v>20004</v>
      </c>
      <c r="D35" s="95">
        <v>1667</v>
      </c>
      <c r="E35" s="99">
        <f t="shared" ref="E35:E46" si="4">(C35*0.015)</f>
        <v>300.06</v>
      </c>
      <c r="F35" s="99">
        <f t="shared" ref="F35:F46" si="5">SUM(D35:E35)</f>
        <v>1967.06</v>
      </c>
      <c r="G35" s="99"/>
      <c r="H35" s="99"/>
      <c r="I35" s="100"/>
      <c r="J35" s="101"/>
      <c r="L35" s="98" t="s">
        <v>144</v>
      </c>
      <c r="M35" s="99">
        <v>20004</v>
      </c>
      <c r="N35" s="95">
        <v>1667</v>
      </c>
      <c r="O35" s="99">
        <f t="shared" ref="O35:O46" si="6">(M35*0.015)</f>
        <v>300.06</v>
      </c>
      <c r="P35" s="99">
        <f t="shared" ref="P35:P46" si="7">SUM(N35:O35)</f>
        <v>1967.06</v>
      </c>
      <c r="Q35" s="99"/>
      <c r="R35" s="99"/>
      <c r="S35" s="100"/>
      <c r="T35" s="101"/>
    </row>
    <row r="36" spans="2:20" ht="15" thickBot="1" x14ac:dyDescent="0.35">
      <c r="B36" s="98" t="s">
        <v>145</v>
      </c>
      <c r="C36" s="99">
        <v>18337</v>
      </c>
      <c r="D36" s="99">
        <v>1667</v>
      </c>
      <c r="E36" s="99">
        <f t="shared" si="4"/>
        <v>275.05500000000001</v>
      </c>
      <c r="F36" s="99">
        <f t="shared" si="5"/>
        <v>1942.0550000000001</v>
      </c>
      <c r="G36" s="99"/>
      <c r="H36" s="99"/>
      <c r="I36" s="100"/>
      <c r="J36" s="101"/>
      <c r="L36" s="98" t="s">
        <v>145</v>
      </c>
      <c r="M36" s="99">
        <v>18337</v>
      </c>
      <c r="N36" s="99">
        <v>1667</v>
      </c>
      <c r="O36" s="99">
        <f t="shared" si="6"/>
        <v>275.05500000000001</v>
      </c>
      <c r="P36" s="99">
        <f t="shared" si="7"/>
        <v>1942.0550000000001</v>
      </c>
      <c r="Q36" s="99"/>
      <c r="R36" s="99"/>
      <c r="S36" s="100"/>
      <c r="T36" s="101"/>
    </row>
    <row r="37" spans="2:20" x14ac:dyDescent="0.3">
      <c r="B37" s="98" t="s">
        <v>146</v>
      </c>
      <c r="C37" s="99">
        <v>16670</v>
      </c>
      <c r="D37" s="95">
        <v>1667</v>
      </c>
      <c r="E37" s="99">
        <f t="shared" si="4"/>
        <v>250.04999999999998</v>
      </c>
      <c r="F37" s="99">
        <f t="shared" si="5"/>
        <v>1917.05</v>
      </c>
      <c r="G37" s="99"/>
      <c r="H37" s="99"/>
      <c r="I37" s="100"/>
      <c r="J37" s="101"/>
      <c r="L37" s="98" t="s">
        <v>146</v>
      </c>
      <c r="M37" s="99">
        <v>16670</v>
      </c>
      <c r="N37" s="95">
        <v>1667</v>
      </c>
      <c r="O37" s="99">
        <f t="shared" si="6"/>
        <v>250.04999999999998</v>
      </c>
      <c r="P37" s="99">
        <f t="shared" si="7"/>
        <v>1917.05</v>
      </c>
      <c r="Q37" s="99"/>
      <c r="R37" s="99"/>
      <c r="S37" s="100"/>
      <c r="T37" s="101"/>
    </row>
    <row r="38" spans="2:20" ht="15" thickBot="1" x14ac:dyDescent="0.35">
      <c r="B38" s="98" t="s">
        <v>147</v>
      </c>
      <c r="C38" s="99">
        <v>15003</v>
      </c>
      <c r="D38" s="99">
        <v>1667</v>
      </c>
      <c r="E38" s="99">
        <f t="shared" si="4"/>
        <v>225.04499999999999</v>
      </c>
      <c r="F38" s="99">
        <f t="shared" si="5"/>
        <v>1892.0450000000001</v>
      </c>
      <c r="G38" s="99"/>
      <c r="H38" s="99"/>
      <c r="I38" s="100"/>
      <c r="J38" s="101"/>
      <c r="L38" s="98" t="s">
        <v>147</v>
      </c>
      <c r="M38" s="99">
        <v>15003</v>
      </c>
      <c r="N38" s="99">
        <v>1667</v>
      </c>
      <c r="O38" s="99">
        <f t="shared" si="6"/>
        <v>225.04499999999999</v>
      </c>
      <c r="P38" s="99">
        <f t="shared" si="7"/>
        <v>1892.0450000000001</v>
      </c>
      <c r="Q38" s="99"/>
      <c r="R38" s="99"/>
      <c r="S38" s="100"/>
      <c r="T38" s="101"/>
    </row>
    <row r="39" spans="2:20" x14ac:dyDescent="0.3">
      <c r="B39" s="98" t="s">
        <v>148</v>
      </c>
      <c r="C39" s="99">
        <v>13336</v>
      </c>
      <c r="D39" s="95">
        <v>1667</v>
      </c>
      <c r="E39" s="99">
        <f t="shared" si="4"/>
        <v>200.04</v>
      </c>
      <c r="F39" s="99">
        <f t="shared" si="5"/>
        <v>1867.04</v>
      </c>
      <c r="G39" s="99"/>
      <c r="H39" s="99"/>
      <c r="I39" s="100"/>
      <c r="J39" s="101"/>
      <c r="L39" s="98" t="s">
        <v>148</v>
      </c>
      <c r="M39" s="99">
        <v>13336</v>
      </c>
      <c r="N39" s="95">
        <v>1667</v>
      </c>
      <c r="O39" s="99">
        <f t="shared" si="6"/>
        <v>200.04</v>
      </c>
      <c r="P39" s="99">
        <f t="shared" si="7"/>
        <v>1867.04</v>
      </c>
      <c r="Q39" s="99"/>
      <c r="R39" s="99"/>
      <c r="S39" s="100"/>
      <c r="T39" s="101"/>
    </row>
    <row r="40" spans="2:20" ht="15" thickBot="1" x14ac:dyDescent="0.35">
      <c r="B40" s="98" t="s">
        <v>149</v>
      </c>
      <c r="C40" s="99">
        <v>11669</v>
      </c>
      <c r="D40" s="99">
        <v>1667</v>
      </c>
      <c r="E40" s="99">
        <f t="shared" si="4"/>
        <v>175.035</v>
      </c>
      <c r="F40" s="99">
        <f t="shared" si="5"/>
        <v>1842.0350000000001</v>
      </c>
      <c r="G40" s="99"/>
      <c r="H40" s="99"/>
      <c r="I40" s="100"/>
      <c r="J40" s="101"/>
      <c r="L40" s="98" t="s">
        <v>149</v>
      </c>
      <c r="M40" s="99">
        <v>11669</v>
      </c>
      <c r="N40" s="99">
        <v>1667</v>
      </c>
      <c r="O40" s="99">
        <f t="shared" si="6"/>
        <v>175.035</v>
      </c>
      <c r="P40" s="99">
        <f t="shared" si="7"/>
        <v>1842.0350000000001</v>
      </c>
      <c r="Q40" s="99"/>
      <c r="R40" s="99"/>
      <c r="S40" s="100"/>
      <c r="T40" s="101"/>
    </row>
    <row r="41" spans="2:20" x14ac:dyDescent="0.3">
      <c r="B41" s="98" t="s">
        <v>150</v>
      </c>
      <c r="C41" s="99">
        <v>10002</v>
      </c>
      <c r="D41" s="95">
        <v>1667</v>
      </c>
      <c r="E41" s="99">
        <f t="shared" si="4"/>
        <v>150.03</v>
      </c>
      <c r="F41" s="99">
        <f t="shared" si="5"/>
        <v>1817.03</v>
      </c>
      <c r="G41" s="99"/>
      <c r="H41" s="99"/>
      <c r="I41" s="100"/>
      <c r="J41" s="101"/>
      <c r="L41" s="98" t="s">
        <v>150</v>
      </c>
      <c r="M41" s="99">
        <v>10002</v>
      </c>
      <c r="N41" s="95">
        <v>1667</v>
      </c>
      <c r="O41" s="99">
        <f t="shared" si="6"/>
        <v>150.03</v>
      </c>
      <c r="P41" s="99">
        <f t="shared" si="7"/>
        <v>1817.03</v>
      </c>
      <c r="Q41" s="99"/>
      <c r="R41" s="99"/>
      <c r="S41" s="100"/>
      <c r="T41" s="101"/>
    </row>
    <row r="42" spans="2:20" ht="15" thickBot="1" x14ac:dyDescent="0.35">
      <c r="B42" s="98" t="s">
        <v>151</v>
      </c>
      <c r="C42" s="99">
        <v>8335</v>
      </c>
      <c r="D42" s="99">
        <v>1667</v>
      </c>
      <c r="E42" s="99">
        <f t="shared" si="4"/>
        <v>125.02499999999999</v>
      </c>
      <c r="F42" s="99">
        <f t="shared" si="5"/>
        <v>1792.0250000000001</v>
      </c>
      <c r="G42" s="99"/>
      <c r="H42" s="99"/>
      <c r="I42" s="100"/>
      <c r="J42" s="101"/>
      <c r="L42" s="98" t="s">
        <v>151</v>
      </c>
      <c r="M42" s="99">
        <v>8335</v>
      </c>
      <c r="N42" s="99">
        <v>1667</v>
      </c>
      <c r="O42" s="99">
        <f t="shared" si="6"/>
        <v>125.02499999999999</v>
      </c>
      <c r="P42" s="99">
        <f t="shared" si="7"/>
        <v>1792.0250000000001</v>
      </c>
      <c r="Q42" s="99"/>
      <c r="R42" s="99"/>
      <c r="S42" s="100"/>
      <c r="T42" s="101"/>
    </row>
    <row r="43" spans="2:20" x14ac:dyDescent="0.3">
      <c r="B43" s="98" t="s">
        <v>152</v>
      </c>
      <c r="C43" s="99">
        <v>6668</v>
      </c>
      <c r="D43" s="95">
        <v>1667</v>
      </c>
      <c r="E43" s="99">
        <f t="shared" si="4"/>
        <v>100.02</v>
      </c>
      <c r="F43" s="99">
        <f t="shared" si="5"/>
        <v>1767.02</v>
      </c>
      <c r="G43" s="99"/>
      <c r="H43" s="99"/>
      <c r="I43" s="100"/>
      <c r="J43" s="101"/>
      <c r="L43" s="98" t="s">
        <v>152</v>
      </c>
      <c r="M43" s="99">
        <v>6668</v>
      </c>
      <c r="N43" s="95">
        <v>1667</v>
      </c>
      <c r="O43" s="99">
        <f t="shared" si="6"/>
        <v>100.02</v>
      </c>
      <c r="P43" s="99">
        <f t="shared" si="7"/>
        <v>1767.02</v>
      </c>
      <c r="Q43" s="99"/>
      <c r="R43" s="99"/>
      <c r="S43" s="100"/>
      <c r="T43" s="101"/>
    </row>
    <row r="44" spans="2:20" ht="15" thickBot="1" x14ac:dyDescent="0.35">
      <c r="B44" s="98" t="s">
        <v>153</v>
      </c>
      <c r="C44" s="99">
        <v>5001</v>
      </c>
      <c r="D44" s="99">
        <v>1667</v>
      </c>
      <c r="E44" s="99">
        <f t="shared" si="4"/>
        <v>75.015000000000001</v>
      </c>
      <c r="F44" s="99">
        <f t="shared" si="5"/>
        <v>1742.0150000000001</v>
      </c>
      <c r="G44" s="99"/>
      <c r="H44" s="99"/>
      <c r="I44" s="100"/>
      <c r="J44" s="101"/>
      <c r="L44" s="98" t="s">
        <v>153</v>
      </c>
      <c r="M44" s="99">
        <v>5001</v>
      </c>
      <c r="N44" s="99">
        <v>1667</v>
      </c>
      <c r="O44" s="99">
        <f t="shared" si="6"/>
        <v>75.015000000000001</v>
      </c>
      <c r="P44" s="99">
        <f t="shared" si="7"/>
        <v>1742.0150000000001</v>
      </c>
      <c r="Q44" s="99"/>
      <c r="R44" s="99"/>
      <c r="S44" s="100"/>
      <c r="T44" s="101"/>
    </row>
    <row r="45" spans="2:20" x14ac:dyDescent="0.3">
      <c r="B45" s="98" t="s">
        <v>154</v>
      </c>
      <c r="C45" s="99">
        <v>3334</v>
      </c>
      <c r="D45" s="95">
        <v>1667</v>
      </c>
      <c r="E45" s="99">
        <f t="shared" si="4"/>
        <v>50.01</v>
      </c>
      <c r="F45" s="99">
        <f t="shared" si="5"/>
        <v>1717.01</v>
      </c>
      <c r="G45" s="99"/>
      <c r="H45" s="99"/>
      <c r="I45" s="100"/>
      <c r="J45" s="101"/>
      <c r="L45" s="98" t="s">
        <v>154</v>
      </c>
      <c r="M45" s="99">
        <v>3334</v>
      </c>
      <c r="N45" s="95">
        <v>1667</v>
      </c>
      <c r="O45" s="99">
        <f t="shared" si="6"/>
        <v>50.01</v>
      </c>
      <c r="P45" s="99">
        <f t="shared" si="7"/>
        <v>1717.01</v>
      </c>
      <c r="Q45" s="99"/>
      <c r="R45" s="99"/>
      <c r="S45" s="100"/>
      <c r="T45" s="101"/>
    </row>
    <row r="46" spans="2:20" ht="15" thickBot="1" x14ac:dyDescent="0.35">
      <c r="B46" s="103" t="s">
        <v>155</v>
      </c>
      <c r="C46" s="102">
        <v>1667</v>
      </c>
      <c r="D46" s="99">
        <v>1667</v>
      </c>
      <c r="E46" s="102">
        <f t="shared" si="4"/>
        <v>25.004999999999999</v>
      </c>
      <c r="F46" s="102">
        <f t="shared" si="5"/>
        <v>1692.0050000000001</v>
      </c>
      <c r="G46" s="102"/>
      <c r="H46" s="102"/>
      <c r="I46" s="104"/>
      <c r="J46" s="105" t="s">
        <v>42</v>
      </c>
      <c r="L46" s="103" t="s">
        <v>155</v>
      </c>
      <c r="M46" s="102">
        <v>1667</v>
      </c>
      <c r="N46" s="99">
        <v>1667</v>
      </c>
      <c r="O46" s="102">
        <f t="shared" si="6"/>
        <v>25.004999999999999</v>
      </c>
      <c r="P46" s="102">
        <f t="shared" si="7"/>
        <v>1692.0050000000001</v>
      </c>
      <c r="Q46" s="102"/>
      <c r="R46" s="102"/>
      <c r="S46" s="104"/>
      <c r="T46" s="105" t="s">
        <v>42</v>
      </c>
    </row>
    <row r="47" spans="2:20" x14ac:dyDescent="0.3">
      <c r="E47" s="38">
        <f>SUM(E6:E46)</f>
        <v>16653.150000000001</v>
      </c>
    </row>
    <row r="49" spans="1:20" x14ac:dyDescent="0.3">
      <c r="A49" s="1"/>
      <c r="B49" s="80" t="s">
        <v>0</v>
      </c>
      <c r="C49" s="77" t="s">
        <v>226</v>
      </c>
      <c r="D49" s="112"/>
      <c r="E49" s="112"/>
      <c r="F49" s="79"/>
      <c r="G49" s="80"/>
      <c r="I49" s="81" t="s">
        <v>1</v>
      </c>
      <c r="J49" s="82">
        <v>100000</v>
      </c>
      <c r="L49" s="80" t="s">
        <v>0</v>
      </c>
      <c r="M49" s="77" t="s">
        <v>226</v>
      </c>
      <c r="N49" s="112"/>
      <c r="O49" s="112"/>
      <c r="P49" s="79"/>
      <c r="Q49" s="80"/>
      <c r="S49" s="81" t="s">
        <v>1</v>
      </c>
      <c r="T49" s="82">
        <v>100000</v>
      </c>
    </row>
    <row r="50" spans="1:20" x14ac:dyDescent="0.3">
      <c r="A50" s="1"/>
      <c r="B50" s="80" t="s">
        <v>2</v>
      </c>
      <c r="C50" s="131"/>
      <c r="D50" s="132"/>
      <c r="E50" s="83"/>
      <c r="F50" s="81"/>
      <c r="G50" s="81"/>
      <c r="H50" s="84"/>
      <c r="I50" s="81" t="s">
        <v>3</v>
      </c>
      <c r="J50" s="85" t="s">
        <v>232</v>
      </c>
      <c r="L50" s="80" t="s">
        <v>2</v>
      </c>
      <c r="M50" s="131"/>
      <c r="N50" s="132"/>
      <c r="O50" s="83"/>
      <c r="P50" s="81"/>
      <c r="Q50" s="81"/>
      <c r="R50" s="84"/>
      <c r="S50" s="81" t="s">
        <v>3</v>
      </c>
      <c r="T50" s="85" t="s">
        <v>232</v>
      </c>
    </row>
    <row r="51" spans="1:20" x14ac:dyDescent="0.3">
      <c r="A51" s="1"/>
      <c r="B51" s="80" t="s">
        <v>4</v>
      </c>
      <c r="C51" s="112"/>
      <c r="D51" s="132"/>
      <c r="E51" s="78"/>
      <c r="F51" s="81"/>
      <c r="G51" s="81"/>
      <c r="H51" s="81"/>
      <c r="I51" s="81" t="s">
        <v>5</v>
      </c>
      <c r="J51" s="86">
        <v>1.4999999999999999E-2</v>
      </c>
      <c r="L51" s="80" t="s">
        <v>4</v>
      </c>
      <c r="M51" s="112"/>
      <c r="N51" s="132"/>
      <c r="O51" s="78"/>
      <c r="P51" s="81"/>
      <c r="Q51" s="81"/>
      <c r="R51" s="81"/>
      <c r="S51" s="81" t="s">
        <v>5</v>
      </c>
      <c r="T51" s="86">
        <v>1.4999999999999999E-2</v>
      </c>
    </row>
    <row r="52" spans="1:20" ht="15" thickBot="1" x14ac:dyDescent="0.35">
      <c r="A52" s="1"/>
      <c r="B52" s="80" t="s">
        <v>6</v>
      </c>
      <c r="C52" s="87"/>
      <c r="D52" s="87"/>
      <c r="E52" s="88"/>
      <c r="F52" s="88"/>
      <c r="G52" s="88"/>
      <c r="H52" s="88"/>
      <c r="I52" s="88" t="s">
        <v>7</v>
      </c>
      <c r="J52" s="78">
        <v>36</v>
      </c>
      <c r="L52" s="80" t="s">
        <v>6</v>
      </c>
      <c r="M52" s="87"/>
      <c r="N52" s="87"/>
      <c r="O52" s="88"/>
      <c r="P52" s="88"/>
      <c r="Q52" s="88"/>
      <c r="R52" s="88"/>
      <c r="S52" s="88" t="s">
        <v>7</v>
      </c>
      <c r="T52" s="78">
        <v>36</v>
      </c>
    </row>
    <row r="53" spans="1:20" ht="41.4" thickBot="1" x14ac:dyDescent="0.35">
      <c r="A53" s="1"/>
      <c r="B53" s="89" t="s">
        <v>8</v>
      </c>
      <c r="C53" s="89" t="s">
        <v>9</v>
      </c>
      <c r="D53" s="89" t="s">
        <v>10</v>
      </c>
      <c r="E53" s="90" t="s">
        <v>11</v>
      </c>
      <c r="F53" s="91" t="s">
        <v>12</v>
      </c>
      <c r="G53" s="92" t="s">
        <v>13</v>
      </c>
      <c r="H53" s="92" t="s">
        <v>14</v>
      </c>
      <c r="I53" s="92" t="s">
        <v>15</v>
      </c>
      <c r="J53" s="93" t="s">
        <v>16</v>
      </c>
      <c r="L53" s="89" t="s">
        <v>8</v>
      </c>
      <c r="M53" s="89" t="s">
        <v>9</v>
      </c>
      <c r="N53" s="89" t="s">
        <v>10</v>
      </c>
      <c r="O53" s="90" t="s">
        <v>11</v>
      </c>
      <c r="P53" s="91" t="s">
        <v>12</v>
      </c>
      <c r="Q53" s="92" t="s">
        <v>13</v>
      </c>
      <c r="R53" s="92" t="s">
        <v>14</v>
      </c>
      <c r="S53" s="92" t="s">
        <v>15</v>
      </c>
      <c r="T53" s="155" t="s">
        <v>16</v>
      </c>
    </row>
    <row r="54" spans="1:20" x14ac:dyDescent="0.3">
      <c r="A54" s="1"/>
      <c r="B54" s="94" t="s">
        <v>17</v>
      </c>
      <c r="C54" s="95">
        <f>J49</f>
        <v>100000</v>
      </c>
      <c r="D54" s="95">
        <f>J49/J52</f>
        <v>2777.7777777777778</v>
      </c>
      <c r="E54" s="95">
        <f t="shared" ref="E54:E77" si="8">(C54*0.015)</f>
        <v>1500</v>
      </c>
      <c r="F54" s="95">
        <f t="shared" ref="F54:F77" si="9">SUM(D54:E54)</f>
        <v>4277.7777777777774</v>
      </c>
      <c r="G54" s="95"/>
      <c r="H54" s="95"/>
      <c r="I54" s="96"/>
      <c r="J54" s="97"/>
      <c r="L54" s="94" t="s">
        <v>17</v>
      </c>
      <c r="M54" s="95">
        <f>T49</f>
        <v>100000</v>
      </c>
      <c r="N54" s="95">
        <f>T49/T52</f>
        <v>2777.7777777777778</v>
      </c>
      <c r="O54" s="95">
        <f t="shared" ref="O54:O77" si="10">(M54*0.015)</f>
        <v>1500</v>
      </c>
      <c r="P54" s="95">
        <f t="shared" ref="P54:P77" si="11">SUM(N54:O54)</f>
        <v>4277.7777777777774</v>
      </c>
      <c r="Q54" s="95"/>
      <c r="R54" s="95"/>
      <c r="S54" s="159"/>
      <c r="T54" s="156"/>
    </row>
    <row r="55" spans="1:20" ht="15" thickBot="1" x14ac:dyDescent="0.35">
      <c r="A55" s="1"/>
      <c r="B55" s="98" t="s">
        <v>18</v>
      </c>
      <c r="C55" s="99">
        <v>97230</v>
      </c>
      <c r="D55" s="99">
        <v>2778</v>
      </c>
      <c r="E55" s="99">
        <f t="shared" si="8"/>
        <v>1458.45</v>
      </c>
      <c r="F55" s="99">
        <f t="shared" si="9"/>
        <v>4236.45</v>
      </c>
      <c r="G55" s="99"/>
      <c r="H55" s="99"/>
      <c r="I55" s="100"/>
      <c r="J55" s="101"/>
      <c r="L55" s="98" t="s">
        <v>18</v>
      </c>
      <c r="M55" s="99">
        <v>97230</v>
      </c>
      <c r="N55" s="99">
        <v>2778</v>
      </c>
      <c r="O55" s="99">
        <f t="shared" si="10"/>
        <v>1458.45</v>
      </c>
      <c r="P55" s="99">
        <f t="shared" si="11"/>
        <v>4236.45</v>
      </c>
      <c r="Q55" s="99"/>
      <c r="R55" s="99"/>
      <c r="S55" s="160"/>
      <c r="T55" s="157"/>
    </row>
    <row r="56" spans="1:20" x14ac:dyDescent="0.3">
      <c r="B56" s="98" t="s">
        <v>19</v>
      </c>
      <c r="C56" s="99">
        <v>94452</v>
      </c>
      <c r="D56" s="95">
        <v>2778</v>
      </c>
      <c r="E56" s="99">
        <f t="shared" si="8"/>
        <v>1416.78</v>
      </c>
      <c r="F56" s="99">
        <f t="shared" si="9"/>
        <v>4194.78</v>
      </c>
      <c r="G56" s="99"/>
      <c r="H56" s="99"/>
      <c r="I56" s="100"/>
      <c r="J56" s="101"/>
      <c r="L56" s="98" t="s">
        <v>19</v>
      </c>
      <c r="M56" s="99">
        <v>94452</v>
      </c>
      <c r="N56" s="95">
        <v>2778</v>
      </c>
      <c r="O56" s="99">
        <f t="shared" si="10"/>
        <v>1416.78</v>
      </c>
      <c r="P56" s="99">
        <f t="shared" si="11"/>
        <v>4194.78</v>
      </c>
      <c r="Q56" s="99"/>
      <c r="R56" s="99"/>
      <c r="S56" s="160"/>
      <c r="T56" s="157"/>
    </row>
    <row r="57" spans="1:20" ht="15" thickBot="1" x14ac:dyDescent="0.35">
      <c r="B57" s="98" t="s">
        <v>20</v>
      </c>
      <c r="C57" s="99">
        <v>91674</v>
      </c>
      <c r="D57" s="99">
        <v>2778</v>
      </c>
      <c r="E57" s="99">
        <f t="shared" si="8"/>
        <v>1375.11</v>
      </c>
      <c r="F57" s="99">
        <f t="shared" si="9"/>
        <v>4153.1099999999997</v>
      </c>
      <c r="G57" s="99"/>
      <c r="H57" s="99"/>
      <c r="I57" s="100"/>
      <c r="J57" s="101"/>
      <c r="L57" s="98" t="s">
        <v>20</v>
      </c>
      <c r="M57" s="99">
        <v>91674</v>
      </c>
      <c r="N57" s="99">
        <v>2778</v>
      </c>
      <c r="O57" s="99">
        <f t="shared" si="10"/>
        <v>1375.11</v>
      </c>
      <c r="P57" s="99">
        <f t="shared" si="11"/>
        <v>4153.1099999999997</v>
      </c>
      <c r="Q57" s="99"/>
      <c r="R57" s="99"/>
      <c r="S57" s="160"/>
      <c r="T57" s="157"/>
    </row>
    <row r="58" spans="1:20" x14ac:dyDescent="0.3">
      <c r="B58" s="98" t="s">
        <v>21</v>
      </c>
      <c r="C58" s="99">
        <v>88896</v>
      </c>
      <c r="D58" s="95">
        <v>2778</v>
      </c>
      <c r="E58" s="99">
        <f t="shared" si="8"/>
        <v>1333.44</v>
      </c>
      <c r="F58" s="99">
        <f t="shared" si="9"/>
        <v>4111.4400000000005</v>
      </c>
      <c r="G58" s="99"/>
      <c r="H58" s="99"/>
      <c r="I58" s="100"/>
      <c r="J58" s="101"/>
      <c r="L58" s="98" t="s">
        <v>21</v>
      </c>
      <c r="M58" s="99">
        <v>88896</v>
      </c>
      <c r="N58" s="95">
        <v>2778</v>
      </c>
      <c r="O58" s="99">
        <f t="shared" si="10"/>
        <v>1333.44</v>
      </c>
      <c r="P58" s="99">
        <f t="shared" si="11"/>
        <v>4111.4400000000005</v>
      </c>
      <c r="Q58" s="99"/>
      <c r="R58" s="99"/>
      <c r="S58" s="160"/>
      <c r="T58" s="157"/>
    </row>
    <row r="59" spans="1:20" ht="15" thickBot="1" x14ac:dyDescent="0.35">
      <c r="B59" s="98" t="s">
        <v>23</v>
      </c>
      <c r="C59" s="99">
        <v>86118</v>
      </c>
      <c r="D59" s="99">
        <v>2778</v>
      </c>
      <c r="E59" s="99">
        <f t="shared" si="8"/>
        <v>1291.77</v>
      </c>
      <c r="F59" s="99">
        <f t="shared" si="9"/>
        <v>4069.77</v>
      </c>
      <c r="G59" s="99"/>
      <c r="H59" s="99"/>
      <c r="I59" s="100"/>
      <c r="J59" s="101"/>
      <c r="L59" s="98" t="s">
        <v>23</v>
      </c>
      <c r="M59" s="99">
        <v>86118</v>
      </c>
      <c r="N59" s="99">
        <v>2778</v>
      </c>
      <c r="O59" s="99">
        <f t="shared" si="10"/>
        <v>1291.77</v>
      </c>
      <c r="P59" s="99">
        <f t="shared" si="11"/>
        <v>4069.77</v>
      </c>
      <c r="Q59" s="99"/>
      <c r="R59" s="99"/>
      <c r="S59" s="160"/>
      <c r="T59" s="157"/>
    </row>
    <row r="60" spans="1:20" x14ac:dyDescent="0.3">
      <c r="B60" s="98" t="s">
        <v>24</v>
      </c>
      <c r="C60" s="99">
        <v>83340</v>
      </c>
      <c r="D60" s="95">
        <v>2778</v>
      </c>
      <c r="E60" s="99">
        <f t="shared" si="8"/>
        <v>1250.0999999999999</v>
      </c>
      <c r="F60" s="99">
        <f t="shared" si="9"/>
        <v>4028.1</v>
      </c>
      <c r="G60" s="99"/>
      <c r="H60" s="99"/>
      <c r="I60" s="100"/>
      <c r="J60" s="101"/>
      <c r="L60" s="98" t="s">
        <v>24</v>
      </c>
      <c r="M60" s="99">
        <v>83340</v>
      </c>
      <c r="N60" s="95">
        <v>2778</v>
      </c>
      <c r="O60" s="99">
        <f t="shared" si="10"/>
        <v>1250.0999999999999</v>
      </c>
      <c r="P60" s="99">
        <f t="shared" si="11"/>
        <v>4028.1</v>
      </c>
      <c r="Q60" s="99"/>
      <c r="R60" s="99"/>
      <c r="S60" s="160"/>
      <c r="T60" s="157"/>
    </row>
    <row r="61" spans="1:20" ht="15" thickBot="1" x14ac:dyDescent="0.35">
      <c r="B61" s="98" t="s">
        <v>25</v>
      </c>
      <c r="C61" s="99">
        <v>80562</v>
      </c>
      <c r="D61" s="99">
        <v>2778</v>
      </c>
      <c r="E61" s="99">
        <f t="shared" si="8"/>
        <v>1208.43</v>
      </c>
      <c r="F61" s="99">
        <f t="shared" si="9"/>
        <v>3986.4300000000003</v>
      </c>
      <c r="G61" s="99"/>
      <c r="H61" s="99"/>
      <c r="I61" s="100"/>
      <c r="J61" s="101"/>
      <c r="L61" s="98" t="s">
        <v>25</v>
      </c>
      <c r="M61" s="99">
        <v>80562</v>
      </c>
      <c r="N61" s="99">
        <v>2778</v>
      </c>
      <c r="O61" s="99">
        <f t="shared" si="10"/>
        <v>1208.43</v>
      </c>
      <c r="P61" s="99">
        <f t="shared" si="11"/>
        <v>3986.4300000000003</v>
      </c>
      <c r="Q61" s="99"/>
      <c r="R61" s="99"/>
      <c r="S61" s="160"/>
      <c r="T61" s="157"/>
    </row>
    <row r="62" spans="1:20" x14ac:dyDescent="0.3">
      <c r="B62" s="98" t="s">
        <v>26</v>
      </c>
      <c r="C62" s="99">
        <v>77784</v>
      </c>
      <c r="D62" s="95">
        <v>2778</v>
      </c>
      <c r="E62" s="99">
        <f t="shared" si="8"/>
        <v>1166.76</v>
      </c>
      <c r="F62" s="99">
        <f t="shared" si="9"/>
        <v>3944.76</v>
      </c>
      <c r="G62" s="99"/>
      <c r="H62" s="99"/>
      <c r="I62" s="100"/>
      <c r="J62" s="101"/>
      <c r="L62" s="98" t="s">
        <v>26</v>
      </c>
      <c r="M62" s="99">
        <v>77784</v>
      </c>
      <c r="N62" s="95">
        <v>2778</v>
      </c>
      <c r="O62" s="99">
        <f t="shared" si="10"/>
        <v>1166.76</v>
      </c>
      <c r="P62" s="99">
        <f t="shared" si="11"/>
        <v>3944.76</v>
      </c>
      <c r="Q62" s="99"/>
      <c r="R62" s="99"/>
      <c r="S62" s="160"/>
      <c r="T62" s="157"/>
    </row>
    <row r="63" spans="1:20" ht="15" thickBot="1" x14ac:dyDescent="0.35">
      <c r="B63" s="98" t="s">
        <v>27</v>
      </c>
      <c r="C63" s="99">
        <v>75006</v>
      </c>
      <c r="D63" s="99">
        <v>2778</v>
      </c>
      <c r="E63" s="99">
        <f t="shared" si="8"/>
        <v>1125.0899999999999</v>
      </c>
      <c r="F63" s="99">
        <f t="shared" si="9"/>
        <v>3903.09</v>
      </c>
      <c r="G63" s="99"/>
      <c r="H63" s="99"/>
      <c r="I63" s="100"/>
      <c r="J63" s="101"/>
      <c r="L63" s="98" t="s">
        <v>27</v>
      </c>
      <c r="M63" s="99">
        <v>75006</v>
      </c>
      <c r="N63" s="99">
        <v>2778</v>
      </c>
      <c r="O63" s="99">
        <f t="shared" si="10"/>
        <v>1125.0899999999999</v>
      </c>
      <c r="P63" s="99">
        <f t="shared" si="11"/>
        <v>3903.09</v>
      </c>
      <c r="Q63" s="99"/>
      <c r="R63" s="99"/>
      <c r="S63" s="160"/>
      <c r="T63" s="157"/>
    </row>
    <row r="64" spans="1:20" x14ac:dyDescent="0.3">
      <c r="B64" s="98" t="s">
        <v>28</v>
      </c>
      <c r="C64" s="99">
        <v>72228</v>
      </c>
      <c r="D64" s="95">
        <v>2778</v>
      </c>
      <c r="E64" s="99">
        <f t="shared" si="8"/>
        <v>1083.42</v>
      </c>
      <c r="F64" s="99">
        <f t="shared" si="9"/>
        <v>3861.42</v>
      </c>
      <c r="G64" s="99"/>
      <c r="H64" s="99"/>
      <c r="I64" s="100"/>
      <c r="J64" s="101"/>
      <c r="L64" s="98" t="s">
        <v>28</v>
      </c>
      <c r="M64" s="99">
        <v>72228</v>
      </c>
      <c r="N64" s="95">
        <v>2778</v>
      </c>
      <c r="O64" s="99">
        <f t="shared" si="10"/>
        <v>1083.42</v>
      </c>
      <c r="P64" s="99">
        <f t="shared" si="11"/>
        <v>3861.42</v>
      </c>
      <c r="Q64" s="99"/>
      <c r="R64" s="99"/>
      <c r="S64" s="160"/>
      <c r="T64" s="157"/>
    </row>
    <row r="65" spans="2:20" ht="15" thickBot="1" x14ac:dyDescent="0.35">
      <c r="B65" s="98" t="s">
        <v>29</v>
      </c>
      <c r="C65" s="99">
        <v>69450</v>
      </c>
      <c r="D65" s="99">
        <v>2778</v>
      </c>
      <c r="E65" s="99">
        <f t="shared" si="8"/>
        <v>1041.75</v>
      </c>
      <c r="F65" s="99">
        <f t="shared" si="9"/>
        <v>3819.75</v>
      </c>
      <c r="G65" s="99"/>
      <c r="H65" s="99"/>
      <c r="I65" s="100"/>
      <c r="J65" s="101"/>
      <c r="L65" s="98" t="s">
        <v>29</v>
      </c>
      <c r="M65" s="99">
        <v>69450</v>
      </c>
      <c r="N65" s="99">
        <v>2778</v>
      </c>
      <c r="O65" s="99">
        <f t="shared" si="10"/>
        <v>1041.75</v>
      </c>
      <c r="P65" s="99">
        <f t="shared" si="11"/>
        <v>3819.75</v>
      </c>
      <c r="Q65" s="99"/>
      <c r="R65" s="99"/>
      <c r="S65" s="160"/>
      <c r="T65" s="157"/>
    </row>
    <row r="66" spans="2:20" x14ac:dyDescent="0.3">
      <c r="B66" s="98" t="s">
        <v>30</v>
      </c>
      <c r="C66" s="99">
        <v>66672</v>
      </c>
      <c r="D66" s="95">
        <v>2778</v>
      </c>
      <c r="E66" s="99">
        <f t="shared" si="8"/>
        <v>1000.0799999999999</v>
      </c>
      <c r="F66" s="99">
        <f t="shared" si="9"/>
        <v>3778.08</v>
      </c>
      <c r="G66" s="99"/>
      <c r="H66" s="99"/>
      <c r="I66" s="100"/>
      <c r="J66" s="101"/>
      <c r="L66" s="98" t="s">
        <v>30</v>
      </c>
      <c r="M66" s="99">
        <v>66672</v>
      </c>
      <c r="N66" s="95">
        <v>2778</v>
      </c>
      <c r="O66" s="99">
        <f t="shared" si="10"/>
        <v>1000.0799999999999</v>
      </c>
      <c r="P66" s="99">
        <f t="shared" si="11"/>
        <v>3778.08</v>
      </c>
      <c r="Q66" s="99"/>
      <c r="R66" s="99"/>
      <c r="S66" s="160"/>
      <c r="T66" s="157"/>
    </row>
    <row r="67" spans="2:20" ht="15" thickBot="1" x14ac:dyDescent="0.35">
      <c r="B67" s="98" t="s">
        <v>31</v>
      </c>
      <c r="C67" s="99">
        <v>63894</v>
      </c>
      <c r="D67" s="99">
        <v>2778</v>
      </c>
      <c r="E67" s="99">
        <f t="shared" si="8"/>
        <v>958.41</v>
      </c>
      <c r="F67" s="99">
        <f t="shared" si="9"/>
        <v>3736.41</v>
      </c>
      <c r="G67" s="99"/>
      <c r="H67" s="99"/>
      <c r="I67" s="100"/>
      <c r="J67" s="101"/>
      <c r="L67" s="98" t="s">
        <v>31</v>
      </c>
      <c r="M67" s="99">
        <v>63894</v>
      </c>
      <c r="N67" s="99">
        <v>2778</v>
      </c>
      <c r="O67" s="99">
        <f t="shared" si="10"/>
        <v>958.41</v>
      </c>
      <c r="P67" s="99">
        <f t="shared" si="11"/>
        <v>3736.41</v>
      </c>
      <c r="Q67" s="99"/>
      <c r="R67" s="99"/>
      <c r="S67" s="160"/>
      <c r="T67" s="157"/>
    </row>
    <row r="68" spans="2:20" x14ac:dyDescent="0.3">
      <c r="B68" s="98" t="s">
        <v>32</v>
      </c>
      <c r="C68" s="99">
        <v>61116</v>
      </c>
      <c r="D68" s="95">
        <v>2778</v>
      </c>
      <c r="E68" s="99">
        <f t="shared" si="8"/>
        <v>916.74</v>
      </c>
      <c r="F68" s="99">
        <f t="shared" si="9"/>
        <v>3694.74</v>
      </c>
      <c r="G68" s="99"/>
      <c r="H68" s="99"/>
      <c r="I68" s="100"/>
      <c r="J68" s="101"/>
      <c r="L68" s="98" t="s">
        <v>32</v>
      </c>
      <c r="M68" s="99">
        <v>61116</v>
      </c>
      <c r="N68" s="95">
        <v>2778</v>
      </c>
      <c r="O68" s="99">
        <f t="shared" si="10"/>
        <v>916.74</v>
      </c>
      <c r="P68" s="99">
        <f t="shared" si="11"/>
        <v>3694.74</v>
      </c>
      <c r="Q68" s="99"/>
      <c r="R68" s="99"/>
      <c r="S68" s="160"/>
      <c r="T68" s="157"/>
    </row>
    <row r="69" spans="2:20" ht="15" thickBot="1" x14ac:dyDescent="0.35">
      <c r="B69" s="98" t="s">
        <v>33</v>
      </c>
      <c r="C69" s="99">
        <v>58338</v>
      </c>
      <c r="D69" s="99">
        <v>2778</v>
      </c>
      <c r="E69" s="99">
        <f t="shared" si="8"/>
        <v>875.06999999999994</v>
      </c>
      <c r="F69" s="99">
        <f t="shared" si="9"/>
        <v>3653.0699999999997</v>
      </c>
      <c r="G69" s="99"/>
      <c r="H69" s="99"/>
      <c r="I69" s="100"/>
      <c r="J69" s="101"/>
      <c r="L69" s="98" t="s">
        <v>33</v>
      </c>
      <c r="M69" s="99">
        <v>58338</v>
      </c>
      <c r="N69" s="99">
        <v>2778</v>
      </c>
      <c r="O69" s="99">
        <f t="shared" si="10"/>
        <v>875.06999999999994</v>
      </c>
      <c r="P69" s="99">
        <f t="shared" si="11"/>
        <v>3653.0699999999997</v>
      </c>
      <c r="Q69" s="99"/>
      <c r="R69" s="99"/>
      <c r="S69" s="160"/>
      <c r="T69" s="157"/>
    </row>
    <row r="70" spans="2:20" x14ac:dyDescent="0.3">
      <c r="B70" s="98" t="s">
        <v>34</v>
      </c>
      <c r="C70" s="99">
        <v>55560</v>
      </c>
      <c r="D70" s="95">
        <v>2778</v>
      </c>
      <c r="E70" s="99">
        <f t="shared" si="8"/>
        <v>833.4</v>
      </c>
      <c r="F70" s="99">
        <f t="shared" si="9"/>
        <v>3611.4</v>
      </c>
      <c r="G70" s="99"/>
      <c r="H70" s="99"/>
      <c r="I70" s="100"/>
      <c r="J70" s="101"/>
      <c r="L70" s="98" t="s">
        <v>34</v>
      </c>
      <c r="M70" s="99">
        <v>55560</v>
      </c>
      <c r="N70" s="95">
        <v>2778</v>
      </c>
      <c r="O70" s="99">
        <f t="shared" si="10"/>
        <v>833.4</v>
      </c>
      <c r="P70" s="99">
        <f t="shared" si="11"/>
        <v>3611.4</v>
      </c>
      <c r="Q70" s="99"/>
      <c r="R70" s="99"/>
      <c r="S70" s="160"/>
      <c r="T70" s="157"/>
    </row>
    <row r="71" spans="2:20" ht="15" thickBot="1" x14ac:dyDescent="0.35">
      <c r="B71" s="98" t="s">
        <v>35</v>
      </c>
      <c r="C71" s="99">
        <v>52782</v>
      </c>
      <c r="D71" s="99">
        <v>2778</v>
      </c>
      <c r="E71" s="99">
        <f t="shared" si="8"/>
        <v>791.73</v>
      </c>
      <c r="F71" s="99">
        <f t="shared" si="9"/>
        <v>3569.73</v>
      </c>
      <c r="G71" s="99"/>
      <c r="H71" s="99"/>
      <c r="I71" s="100"/>
      <c r="J71" s="101"/>
      <c r="L71" s="98" t="s">
        <v>35</v>
      </c>
      <c r="M71" s="99">
        <v>52782</v>
      </c>
      <c r="N71" s="99">
        <v>2778</v>
      </c>
      <c r="O71" s="99">
        <f t="shared" si="10"/>
        <v>791.73</v>
      </c>
      <c r="P71" s="99">
        <f t="shared" si="11"/>
        <v>3569.73</v>
      </c>
      <c r="Q71" s="99"/>
      <c r="R71" s="99"/>
      <c r="S71" s="160"/>
      <c r="T71" s="157"/>
    </row>
    <row r="72" spans="2:20" x14ac:dyDescent="0.3">
      <c r="B72" s="98" t="s">
        <v>36</v>
      </c>
      <c r="C72" s="99">
        <v>50004</v>
      </c>
      <c r="D72" s="95">
        <v>2778</v>
      </c>
      <c r="E72" s="99">
        <f t="shared" si="8"/>
        <v>750.06</v>
      </c>
      <c r="F72" s="99">
        <f t="shared" si="9"/>
        <v>3528.06</v>
      </c>
      <c r="G72" s="99"/>
      <c r="H72" s="99"/>
      <c r="I72" s="100"/>
      <c r="J72" s="101"/>
      <c r="L72" s="98" t="s">
        <v>36</v>
      </c>
      <c r="M72" s="99">
        <v>50004</v>
      </c>
      <c r="N72" s="95">
        <v>2778</v>
      </c>
      <c r="O72" s="99">
        <f t="shared" si="10"/>
        <v>750.06</v>
      </c>
      <c r="P72" s="99">
        <f t="shared" si="11"/>
        <v>3528.06</v>
      </c>
      <c r="Q72" s="99"/>
      <c r="R72" s="99"/>
      <c r="S72" s="160"/>
      <c r="T72" s="157"/>
    </row>
    <row r="73" spans="2:20" ht="15" thickBot="1" x14ac:dyDescent="0.35">
      <c r="B73" s="98" t="s">
        <v>37</v>
      </c>
      <c r="C73" s="99">
        <v>47226</v>
      </c>
      <c r="D73" s="99">
        <v>2778</v>
      </c>
      <c r="E73" s="99">
        <f t="shared" si="8"/>
        <v>708.39</v>
      </c>
      <c r="F73" s="99">
        <f t="shared" si="9"/>
        <v>3486.39</v>
      </c>
      <c r="G73" s="99"/>
      <c r="H73" s="99"/>
      <c r="I73" s="100"/>
      <c r="J73" s="101"/>
      <c r="L73" s="98" t="s">
        <v>37</v>
      </c>
      <c r="M73" s="99">
        <v>47226</v>
      </c>
      <c r="N73" s="99">
        <v>2778</v>
      </c>
      <c r="O73" s="99">
        <f t="shared" si="10"/>
        <v>708.39</v>
      </c>
      <c r="P73" s="99">
        <f t="shared" si="11"/>
        <v>3486.39</v>
      </c>
      <c r="Q73" s="99"/>
      <c r="R73" s="99"/>
      <c r="S73" s="160"/>
      <c r="T73" s="157"/>
    </row>
    <row r="74" spans="2:20" x14ac:dyDescent="0.3">
      <c r="B74" s="98" t="s">
        <v>38</v>
      </c>
      <c r="C74" s="99">
        <v>44448</v>
      </c>
      <c r="D74" s="95">
        <v>2778</v>
      </c>
      <c r="E74" s="99">
        <f t="shared" si="8"/>
        <v>666.72</v>
      </c>
      <c r="F74" s="99">
        <f t="shared" si="9"/>
        <v>3444.7200000000003</v>
      </c>
      <c r="G74" s="99"/>
      <c r="H74" s="99"/>
      <c r="I74" s="100"/>
      <c r="J74" s="101"/>
      <c r="L74" s="98" t="s">
        <v>38</v>
      </c>
      <c r="M74" s="99">
        <v>44448</v>
      </c>
      <c r="N74" s="95">
        <v>2778</v>
      </c>
      <c r="O74" s="99">
        <f t="shared" si="10"/>
        <v>666.72</v>
      </c>
      <c r="P74" s="99">
        <f t="shared" si="11"/>
        <v>3444.7200000000003</v>
      </c>
      <c r="Q74" s="99"/>
      <c r="R74" s="99"/>
      <c r="S74" s="160"/>
      <c r="T74" s="157"/>
    </row>
    <row r="75" spans="2:20" ht="15" thickBot="1" x14ac:dyDescent="0.35">
      <c r="B75" s="98" t="s">
        <v>39</v>
      </c>
      <c r="C75" s="99">
        <v>41670</v>
      </c>
      <c r="D75" s="99">
        <v>2778</v>
      </c>
      <c r="E75" s="99">
        <f t="shared" si="8"/>
        <v>625.04999999999995</v>
      </c>
      <c r="F75" s="99">
        <f t="shared" si="9"/>
        <v>3403.05</v>
      </c>
      <c r="G75" s="99"/>
      <c r="H75" s="99"/>
      <c r="I75" s="100"/>
      <c r="J75" s="101"/>
      <c r="L75" s="98" t="s">
        <v>39</v>
      </c>
      <c r="M75" s="99">
        <v>41670</v>
      </c>
      <c r="N75" s="99">
        <v>2778</v>
      </c>
      <c r="O75" s="99">
        <f t="shared" si="10"/>
        <v>625.04999999999995</v>
      </c>
      <c r="P75" s="99">
        <f t="shared" si="11"/>
        <v>3403.05</v>
      </c>
      <c r="Q75" s="99"/>
      <c r="R75" s="99"/>
      <c r="S75" s="160"/>
      <c r="T75" s="157"/>
    </row>
    <row r="76" spans="2:20" x14ac:dyDescent="0.3">
      <c r="B76" s="98" t="s">
        <v>40</v>
      </c>
      <c r="C76" s="99">
        <v>38892</v>
      </c>
      <c r="D76" s="95">
        <v>2778</v>
      </c>
      <c r="E76" s="99">
        <f t="shared" si="8"/>
        <v>583.38</v>
      </c>
      <c r="F76" s="99">
        <f t="shared" si="9"/>
        <v>3361.38</v>
      </c>
      <c r="G76" s="99"/>
      <c r="H76" s="99"/>
      <c r="I76" s="100"/>
      <c r="J76" s="101"/>
      <c r="L76" s="98" t="s">
        <v>40</v>
      </c>
      <c r="M76" s="99">
        <v>38892</v>
      </c>
      <c r="N76" s="95">
        <v>2778</v>
      </c>
      <c r="O76" s="99">
        <f t="shared" si="10"/>
        <v>583.38</v>
      </c>
      <c r="P76" s="99">
        <f t="shared" si="11"/>
        <v>3361.38</v>
      </c>
      <c r="Q76" s="99"/>
      <c r="R76" s="99"/>
      <c r="S76" s="160"/>
      <c r="T76" s="157"/>
    </row>
    <row r="77" spans="2:20" ht="15" thickBot="1" x14ac:dyDescent="0.35">
      <c r="B77" s="103" t="s">
        <v>41</v>
      </c>
      <c r="C77" s="102">
        <v>36114</v>
      </c>
      <c r="D77" s="99">
        <v>2778</v>
      </c>
      <c r="E77" s="102">
        <f t="shared" si="8"/>
        <v>541.71</v>
      </c>
      <c r="F77" s="102">
        <f t="shared" si="9"/>
        <v>3319.71</v>
      </c>
      <c r="G77" s="102"/>
      <c r="H77" s="102"/>
      <c r="I77" s="104"/>
      <c r="J77" s="105"/>
      <c r="L77" s="103" t="s">
        <v>41</v>
      </c>
      <c r="M77" s="102">
        <v>36114</v>
      </c>
      <c r="N77" s="102">
        <v>2778</v>
      </c>
      <c r="O77" s="102">
        <f t="shared" si="10"/>
        <v>541.71</v>
      </c>
      <c r="P77" s="102">
        <f t="shared" si="11"/>
        <v>3319.71</v>
      </c>
      <c r="Q77" s="102"/>
      <c r="R77" s="102"/>
      <c r="S77" s="161"/>
      <c r="T77" s="158"/>
    </row>
    <row r="78" spans="2:20" x14ac:dyDescent="0.3">
      <c r="F78" s="38"/>
      <c r="P78" s="38"/>
    </row>
    <row r="84" spans="2:20" ht="15" thickBot="1" x14ac:dyDescent="0.35"/>
    <row r="85" spans="2:20" x14ac:dyDescent="0.3">
      <c r="B85" s="98" t="s">
        <v>144</v>
      </c>
      <c r="C85" s="99">
        <v>33336</v>
      </c>
      <c r="D85" s="95">
        <v>2778</v>
      </c>
      <c r="E85" s="99">
        <f t="shared" ref="E85:E96" si="12">(C85*0.015)</f>
        <v>500.03999999999996</v>
      </c>
      <c r="F85" s="99">
        <f t="shared" ref="F85:F96" si="13">SUM(D85:E85)</f>
        <v>3278.04</v>
      </c>
      <c r="G85" s="99"/>
      <c r="H85" s="99"/>
      <c r="I85" s="100"/>
      <c r="J85" s="101"/>
      <c r="L85" s="98" t="s">
        <v>144</v>
      </c>
      <c r="M85" s="99">
        <v>33336</v>
      </c>
      <c r="N85" s="95">
        <v>2778</v>
      </c>
      <c r="O85" s="99">
        <f t="shared" ref="O85:O96" si="14">(M85*0.015)</f>
        <v>500.03999999999996</v>
      </c>
      <c r="P85" s="99">
        <f t="shared" ref="P85:P96" si="15">SUM(N85:O85)</f>
        <v>3278.04</v>
      </c>
      <c r="Q85" s="99"/>
      <c r="R85" s="99"/>
      <c r="S85" s="100"/>
      <c r="T85" s="101"/>
    </row>
    <row r="86" spans="2:20" ht="15" thickBot="1" x14ac:dyDescent="0.35">
      <c r="B86" s="98" t="s">
        <v>145</v>
      </c>
      <c r="C86" s="99">
        <v>30558</v>
      </c>
      <c r="D86" s="99">
        <v>2778</v>
      </c>
      <c r="E86" s="99">
        <f t="shared" si="12"/>
        <v>458.37</v>
      </c>
      <c r="F86" s="99">
        <f t="shared" si="13"/>
        <v>3236.37</v>
      </c>
      <c r="G86" s="99"/>
      <c r="H86" s="99"/>
      <c r="I86" s="100"/>
      <c r="J86" s="101"/>
      <c r="L86" s="98" t="s">
        <v>145</v>
      </c>
      <c r="M86" s="99">
        <v>30558</v>
      </c>
      <c r="N86" s="99">
        <v>2778</v>
      </c>
      <c r="O86" s="99">
        <f t="shared" si="14"/>
        <v>458.37</v>
      </c>
      <c r="P86" s="99">
        <f t="shared" si="15"/>
        <v>3236.37</v>
      </c>
      <c r="Q86" s="99"/>
      <c r="R86" s="99"/>
      <c r="S86" s="100"/>
      <c r="T86" s="101"/>
    </row>
    <row r="87" spans="2:20" x14ac:dyDescent="0.3">
      <c r="B87" s="98" t="s">
        <v>146</v>
      </c>
      <c r="C87" s="99">
        <v>27780</v>
      </c>
      <c r="D87" s="95">
        <v>2778</v>
      </c>
      <c r="E87" s="99">
        <f t="shared" si="12"/>
        <v>416.7</v>
      </c>
      <c r="F87" s="99">
        <f t="shared" si="13"/>
        <v>3194.7</v>
      </c>
      <c r="G87" s="99"/>
      <c r="H87" s="99"/>
      <c r="I87" s="100"/>
      <c r="J87" s="101"/>
      <c r="L87" s="98" t="s">
        <v>146</v>
      </c>
      <c r="M87" s="99">
        <v>27780</v>
      </c>
      <c r="N87" s="95">
        <v>2778</v>
      </c>
      <c r="O87" s="99">
        <f t="shared" si="14"/>
        <v>416.7</v>
      </c>
      <c r="P87" s="99">
        <f t="shared" si="15"/>
        <v>3194.7</v>
      </c>
      <c r="Q87" s="99"/>
      <c r="R87" s="99"/>
      <c r="S87" s="100"/>
      <c r="T87" s="101"/>
    </row>
    <row r="88" spans="2:20" ht="15" thickBot="1" x14ac:dyDescent="0.35">
      <c r="B88" s="98" t="s">
        <v>147</v>
      </c>
      <c r="C88" s="99">
        <v>25002</v>
      </c>
      <c r="D88" s="99">
        <v>2778</v>
      </c>
      <c r="E88" s="99">
        <f t="shared" si="12"/>
        <v>375.03</v>
      </c>
      <c r="F88" s="99">
        <f t="shared" si="13"/>
        <v>3153.0299999999997</v>
      </c>
      <c r="G88" s="99"/>
      <c r="H88" s="99"/>
      <c r="I88" s="100"/>
      <c r="J88" s="101"/>
      <c r="L88" s="98" t="s">
        <v>147</v>
      </c>
      <c r="M88" s="99">
        <v>25002</v>
      </c>
      <c r="N88" s="99">
        <v>2778</v>
      </c>
      <c r="O88" s="99">
        <f t="shared" si="14"/>
        <v>375.03</v>
      </c>
      <c r="P88" s="99">
        <f t="shared" si="15"/>
        <v>3153.0299999999997</v>
      </c>
      <c r="Q88" s="99"/>
      <c r="R88" s="99"/>
      <c r="S88" s="100"/>
      <c r="T88" s="101"/>
    </row>
    <row r="89" spans="2:20" x14ac:dyDescent="0.3">
      <c r="B89" s="98" t="s">
        <v>148</v>
      </c>
      <c r="C89" s="99">
        <v>22224</v>
      </c>
      <c r="D89" s="95">
        <v>2778</v>
      </c>
      <c r="E89" s="99">
        <f t="shared" si="12"/>
        <v>333.36</v>
      </c>
      <c r="F89" s="99">
        <f t="shared" si="13"/>
        <v>3111.36</v>
      </c>
      <c r="G89" s="99"/>
      <c r="H89" s="99"/>
      <c r="I89" s="100"/>
      <c r="J89" s="101"/>
      <c r="L89" s="98" t="s">
        <v>148</v>
      </c>
      <c r="M89" s="99">
        <v>22224</v>
      </c>
      <c r="N89" s="95">
        <v>2778</v>
      </c>
      <c r="O89" s="99">
        <f t="shared" si="14"/>
        <v>333.36</v>
      </c>
      <c r="P89" s="99">
        <f t="shared" si="15"/>
        <v>3111.36</v>
      </c>
      <c r="Q89" s="99"/>
      <c r="R89" s="99"/>
      <c r="S89" s="100"/>
      <c r="T89" s="101"/>
    </row>
    <row r="90" spans="2:20" ht="15" thickBot="1" x14ac:dyDescent="0.35">
      <c r="B90" s="98" t="s">
        <v>149</v>
      </c>
      <c r="C90" s="99">
        <v>19446</v>
      </c>
      <c r="D90" s="99">
        <v>2778</v>
      </c>
      <c r="E90" s="99">
        <f t="shared" si="12"/>
        <v>291.69</v>
      </c>
      <c r="F90" s="99">
        <f t="shared" si="13"/>
        <v>3069.69</v>
      </c>
      <c r="G90" s="99"/>
      <c r="H90" s="99"/>
      <c r="I90" s="100"/>
      <c r="J90" s="101"/>
      <c r="L90" s="98" t="s">
        <v>149</v>
      </c>
      <c r="M90" s="99">
        <v>19446</v>
      </c>
      <c r="N90" s="99">
        <v>2778</v>
      </c>
      <c r="O90" s="99">
        <f t="shared" si="14"/>
        <v>291.69</v>
      </c>
      <c r="P90" s="99">
        <f t="shared" si="15"/>
        <v>3069.69</v>
      </c>
      <c r="Q90" s="99"/>
      <c r="R90" s="99"/>
      <c r="S90" s="100"/>
      <c r="T90" s="101"/>
    </row>
    <row r="91" spans="2:20" x14ac:dyDescent="0.3">
      <c r="B91" s="98" t="s">
        <v>150</v>
      </c>
      <c r="C91" s="99">
        <v>16668</v>
      </c>
      <c r="D91" s="95">
        <v>2778</v>
      </c>
      <c r="E91" s="99">
        <f t="shared" si="12"/>
        <v>250.01999999999998</v>
      </c>
      <c r="F91" s="99">
        <f t="shared" si="13"/>
        <v>3028.02</v>
      </c>
      <c r="G91" s="99"/>
      <c r="H91" s="99"/>
      <c r="I91" s="100"/>
      <c r="J91" s="101"/>
      <c r="L91" s="98" t="s">
        <v>150</v>
      </c>
      <c r="M91" s="99">
        <v>16668</v>
      </c>
      <c r="N91" s="95">
        <v>2778</v>
      </c>
      <c r="O91" s="99">
        <f t="shared" si="14"/>
        <v>250.01999999999998</v>
      </c>
      <c r="P91" s="99">
        <f t="shared" si="15"/>
        <v>3028.02</v>
      </c>
      <c r="Q91" s="99"/>
      <c r="R91" s="99"/>
      <c r="S91" s="100"/>
      <c r="T91" s="101"/>
    </row>
    <row r="92" spans="2:20" ht="15" thickBot="1" x14ac:dyDescent="0.35">
      <c r="B92" s="98" t="s">
        <v>151</v>
      </c>
      <c r="C92" s="99">
        <v>13890</v>
      </c>
      <c r="D92" s="99">
        <v>2778</v>
      </c>
      <c r="E92" s="99">
        <f t="shared" si="12"/>
        <v>208.35</v>
      </c>
      <c r="F92" s="99">
        <f t="shared" si="13"/>
        <v>2986.35</v>
      </c>
      <c r="G92" s="99"/>
      <c r="H92" s="99"/>
      <c r="I92" s="100"/>
      <c r="J92" s="101"/>
      <c r="L92" s="98" t="s">
        <v>151</v>
      </c>
      <c r="M92" s="99">
        <v>13890</v>
      </c>
      <c r="N92" s="99">
        <v>2778</v>
      </c>
      <c r="O92" s="99">
        <f t="shared" si="14"/>
        <v>208.35</v>
      </c>
      <c r="P92" s="99">
        <f t="shared" si="15"/>
        <v>2986.35</v>
      </c>
      <c r="Q92" s="99"/>
      <c r="R92" s="99"/>
      <c r="S92" s="100"/>
      <c r="T92" s="101"/>
    </row>
    <row r="93" spans="2:20" x14ac:dyDescent="0.3">
      <c r="B93" s="98" t="s">
        <v>152</v>
      </c>
      <c r="C93" s="99">
        <v>11112</v>
      </c>
      <c r="D93" s="95">
        <v>2778</v>
      </c>
      <c r="E93" s="99">
        <f t="shared" si="12"/>
        <v>166.68</v>
      </c>
      <c r="F93" s="99">
        <f t="shared" si="13"/>
        <v>2944.68</v>
      </c>
      <c r="G93" s="99"/>
      <c r="H93" s="99"/>
      <c r="I93" s="100"/>
      <c r="J93" s="101"/>
      <c r="L93" s="98" t="s">
        <v>152</v>
      </c>
      <c r="M93" s="99">
        <v>11112</v>
      </c>
      <c r="N93" s="95">
        <v>2778</v>
      </c>
      <c r="O93" s="99">
        <f t="shared" si="14"/>
        <v>166.68</v>
      </c>
      <c r="P93" s="99">
        <f t="shared" si="15"/>
        <v>2944.68</v>
      </c>
      <c r="Q93" s="99"/>
      <c r="R93" s="99"/>
      <c r="S93" s="100"/>
      <c r="T93" s="101"/>
    </row>
    <row r="94" spans="2:20" ht="15" thickBot="1" x14ac:dyDescent="0.35">
      <c r="B94" s="98" t="s">
        <v>153</v>
      </c>
      <c r="C94" s="99">
        <v>8334</v>
      </c>
      <c r="D94" s="99">
        <v>2778</v>
      </c>
      <c r="E94" s="99">
        <f t="shared" si="12"/>
        <v>125.00999999999999</v>
      </c>
      <c r="F94" s="99">
        <f t="shared" si="13"/>
        <v>2903.01</v>
      </c>
      <c r="G94" s="99"/>
      <c r="H94" s="99"/>
      <c r="I94" s="100"/>
      <c r="J94" s="101"/>
      <c r="L94" s="98" t="s">
        <v>153</v>
      </c>
      <c r="M94" s="99">
        <v>8334</v>
      </c>
      <c r="N94" s="99">
        <v>2778</v>
      </c>
      <c r="O94" s="99">
        <f t="shared" si="14"/>
        <v>125.00999999999999</v>
      </c>
      <c r="P94" s="99">
        <f t="shared" si="15"/>
        <v>2903.01</v>
      </c>
      <c r="Q94" s="99"/>
      <c r="R94" s="99"/>
      <c r="S94" s="100"/>
      <c r="T94" s="101"/>
    </row>
    <row r="95" spans="2:20" x14ac:dyDescent="0.3">
      <c r="B95" s="98" t="s">
        <v>154</v>
      </c>
      <c r="C95" s="99">
        <v>5556</v>
      </c>
      <c r="D95" s="95">
        <v>2778</v>
      </c>
      <c r="E95" s="99">
        <f t="shared" si="12"/>
        <v>83.34</v>
      </c>
      <c r="F95" s="99">
        <f t="shared" si="13"/>
        <v>2861.34</v>
      </c>
      <c r="G95" s="99"/>
      <c r="H95" s="99"/>
      <c r="I95" s="100"/>
      <c r="J95" s="101"/>
      <c r="L95" s="98" t="s">
        <v>154</v>
      </c>
      <c r="M95" s="99">
        <v>5556</v>
      </c>
      <c r="N95" s="95">
        <v>2778</v>
      </c>
      <c r="O95" s="99">
        <f t="shared" si="14"/>
        <v>83.34</v>
      </c>
      <c r="P95" s="99">
        <f t="shared" si="15"/>
        <v>2861.34</v>
      </c>
      <c r="Q95" s="99"/>
      <c r="R95" s="99"/>
      <c r="S95" s="100"/>
      <c r="T95" s="101"/>
    </row>
    <row r="96" spans="2:20" ht="15" thickBot="1" x14ac:dyDescent="0.35">
      <c r="B96" s="103" t="s">
        <v>155</v>
      </c>
      <c r="C96" s="102">
        <v>2778</v>
      </c>
      <c r="D96" s="99">
        <v>2778</v>
      </c>
      <c r="E96" s="102">
        <f t="shared" si="12"/>
        <v>41.67</v>
      </c>
      <c r="F96" s="102">
        <f t="shared" si="13"/>
        <v>2819.67</v>
      </c>
      <c r="G96" s="102"/>
      <c r="H96" s="102"/>
      <c r="I96" s="104"/>
      <c r="J96" s="105" t="s">
        <v>42</v>
      </c>
      <c r="L96" s="103" t="s">
        <v>155</v>
      </c>
      <c r="M96" s="102">
        <v>2778</v>
      </c>
      <c r="N96" s="99">
        <v>2778</v>
      </c>
      <c r="O96" s="102">
        <f t="shared" si="14"/>
        <v>41.67</v>
      </c>
      <c r="P96" s="102">
        <f t="shared" si="15"/>
        <v>2819.67</v>
      </c>
      <c r="Q96" s="102"/>
      <c r="R96" s="102"/>
      <c r="S96" s="104"/>
      <c r="T96" s="105" t="s">
        <v>42</v>
      </c>
    </row>
    <row r="100" spans="1:10" x14ac:dyDescent="0.3">
      <c r="A100" s="1"/>
      <c r="B100" s="80" t="s">
        <v>0</v>
      </c>
      <c r="C100" s="77" t="s">
        <v>230</v>
      </c>
      <c r="D100" s="112"/>
      <c r="E100" s="112"/>
      <c r="F100" s="79"/>
      <c r="G100" s="80"/>
      <c r="I100" s="81" t="s">
        <v>1</v>
      </c>
      <c r="J100" s="82">
        <v>40000</v>
      </c>
    </row>
    <row r="101" spans="1:10" x14ac:dyDescent="0.3">
      <c r="A101" s="1"/>
      <c r="B101" s="80" t="s">
        <v>2</v>
      </c>
      <c r="C101" s="131"/>
      <c r="D101" s="132"/>
      <c r="E101" s="83"/>
      <c r="F101" s="81"/>
      <c r="G101" s="81"/>
      <c r="H101" s="84"/>
      <c r="I101" s="81" t="s">
        <v>3</v>
      </c>
      <c r="J101" s="85"/>
    </row>
    <row r="102" spans="1:10" x14ac:dyDescent="0.3">
      <c r="A102" s="1"/>
      <c r="B102" s="80" t="s">
        <v>4</v>
      </c>
      <c r="C102" s="112"/>
      <c r="D102" s="132"/>
      <c r="E102" s="78"/>
      <c r="F102" s="81"/>
      <c r="G102" s="81"/>
      <c r="H102" s="81"/>
      <c r="I102" s="81" t="s">
        <v>5</v>
      </c>
      <c r="J102" s="86">
        <v>1.4999999999999999E-2</v>
      </c>
    </row>
    <row r="103" spans="1:10" ht="15" thickBot="1" x14ac:dyDescent="0.35">
      <c r="A103" s="1"/>
      <c r="B103" s="80" t="s">
        <v>6</v>
      </c>
      <c r="C103" s="87"/>
      <c r="D103" s="87"/>
      <c r="E103" s="88"/>
      <c r="F103" s="88"/>
      <c r="G103" s="88"/>
      <c r="H103" s="88"/>
      <c r="I103" s="88" t="s">
        <v>7</v>
      </c>
      <c r="J103" s="78">
        <v>36</v>
      </c>
    </row>
    <row r="104" spans="1:10" ht="41.4" thickBot="1" x14ac:dyDescent="0.35">
      <c r="A104" s="1"/>
      <c r="B104" s="89" t="s">
        <v>8</v>
      </c>
      <c r="C104" s="89" t="s">
        <v>9</v>
      </c>
      <c r="D104" s="89" t="s">
        <v>10</v>
      </c>
      <c r="E104" s="90" t="s">
        <v>11</v>
      </c>
      <c r="F104" s="91" t="s">
        <v>12</v>
      </c>
      <c r="G104" s="92" t="s">
        <v>13</v>
      </c>
      <c r="H104" s="92" t="s">
        <v>14</v>
      </c>
      <c r="I104" s="92" t="s">
        <v>15</v>
      </c>
      <c r="J104" s="93" t="s">
        <v>16</v>
      </c>
    </row>
    <row r="105" spans="1:10" x14ac:dyDescent="0.3">
      <c r="A105" s="1"/>
      <c r="B105" s="94" t="s">
        <v>17</v>
      </c>
      <c r="C105" s="95">
        <f>J100</f>
        <v>40000</v>
      </c>
      <c r="D105" s="95">
        <f>J100/J103</f>
        <v>1111.1111111111111</v>
      </c>
      <c r="E105" s="95">
        <f t="shared" ref="E105:E128" si="16">(C105*0.015)</f>
        <v>600</v>
      </c>
      <c r="F105" s="95">
        <f t="shared" ref="F105:F128" si="17">SUM(D105:E105)</f>
        <v>1711.1111111111111</v>
      </c>
      <c r="G105" s="95"/>
      <c r="H105" s="95"/>
      <c r="I105" s="96"/>
      <c r="J105" s="97"/>
    </row>
    <row r="106" spans="1:10" ht="15" thickBot="1" x14ac:dyDescent="0.35">
      <c r="A106" s="1"/>
      <c r="B106" s="98" t="s">
        <v>18</v>
      </c>
      <c r="C106" s="99">
        <v>38885</v>
      </c>
      <c r="D106" s="99">
        <v>1111</v>
      </c>
      <c r="E106" s="99">
        <f t="shared" si="16"/>
        <v>583.27499999999998</v>
      </c>
      <c r="F106" s="99">
        <f t="shared" si="17"/>
        <v>1694.2750000000001</v>
      </c>
      <c r="G106" s="99"/>
      <c r="H106" s="99"/>
      <c r="I106" s="100"/>
      <c r="J106" s="101"/>
    </row>
    <row r="107" spans="1:10" x14ac:dyDescent="0.3">
      <c r="B107" s="98" t="s">
        <v>19</v>
      </c>
      <c r="C107" s="99">
        <v>37774</v>
      </c>
      <c r="D107" s="95">
        <v>1111</v>
      </c>
      <c r="E107" s="99">
        <f t="shared" si="16"/>
        <v>566.61</v>
      </c>
      <c r="F107" s="99">
        <f t="shared" si="17"/>
        <v>1677.6100000000001</v>
      </c>
      <c r="G107" s="99"/>
      <c r="H107" s="99"/>
      <c r="I107" s="100"/>
      <c r="J107" s="101"/>
    </row>
    <row r="108" spans="1:10" ht="15" thickBot="1" x14ac:dyDescent="0.35">
      <c r="B108" s="98" t="s">
        <v>20</v>
      </c>
      <c r="C108" s="99">
        <v>36663</v>
      </c>
      <c r="D108" s="99">
        <v>1111</v>
      </c>
      <c r="E108" s="99">
        <f t="shared" si="16"/>
        <v>549.94499999999994</v>
      </c>
      <c r="F108" s="99">
        <f t="shared" si="17"/>
        <v>1660.9449999999999</v>
      </c>
      <c r="G108" s="99"/>
      <c r="H108" s="99"/>
      <c r="I108" s="100"/>
      <c r="J108" s="101"/>
    </row>
    <row r="109" spans="1:10" ht="15" thickBot="1" x14ac:dyDescent="0.35">
      <c r="B109" s="98" t="s">
        <v>21</v>
      </c>
      <c r="C109" s="99">
        <v>35552</v>
      </c>
      <c r="D109" s="95">
        <v>1111</v>
      </c>
      <c r="E109" s="99">
        <f t="shared" si="16"/>
        <v>533.28</v>
      </c>
      <c r="F109" s="99">
        <f t="shared" si="17"/>
        <v>1644.28</v>
      </c>
      <c r="G109" s="99"/>
      <c r="H109" s="99"/>
      <c r="I109" s="100"/>
      <c r="J109" s="101"/>
    </row>
    <row r="110" spans="1:10" x14ac:dyDescent="0.3">
      <c r="B110" s="98" t="s">
        <v>23</v>
      </c>
      <c r="C110" s="99">
        <v>34441</v>
      </c>
      <c r="D110" s="95">
        <v>1111</v>
      </c>
      <c r="E110" s="99">
        <f t="shared" si="16"/>
        <v>516.61500000000001</v>
      </c>
      <c r="F110" s="99">
        <f t="shared" si="17"/>
        <v>1627.615</v>
      </c>
      <c r="G110" s="99"/>
      <c r="H110" s="99"/>
      <c r="I110" s="100"/>
      <c r="J110" s="101"/>
    </row>
    <row r="111" spans="1:10" ht="15" thickBot="1" x14ac:dyDescent="0.35">
      <c r="B111" s="98" t="s">
        <v>24</v>
      </c>
      <c r="C111" s="99">
        <v>33330</v>
      </c>
      <c r="D111" s="99">
        <v>1111</v>
      </c>
      <c r="E111" s="99">
        <f t="shared" si="16"/>
        <v>499.95</v>
      </c>
      <c r="F111" s="99">
        <f t="shared" si="17"/>
        <v>1610.95</v>
      </c>
      <c r="G111" s="99"/>
      <c r="H111" s="99"/>
      <c r="I111" s="100"/>
      <c r="J111" s="101"/>
    </row>
    <row r="112" spans="1:10" x14ac:dyDescent="0.3">
      <c r="B112" s="98" t="s">
        <v>25</v>
      </c>
      <c r="C112" s="99">
        <v>32219</v>
      </c>
      <c r="D112" s="95">
        <v>1111</v>
      </c>
      <c r="E112" s="99">
        <f t="shared" si="16"/>
        <v>483.28499999999997</v>
      </c>
      <c r="F112" s="99">
        <f t="shared" si="17"/>
        <v>1594.2849999999999</v>
      </c>
      <c r="G112" s="99"/>
      <c r="H112" s="99"/>
      <c r="I112" s="100"/>
      <c r="J112" s="101"/>
    </row>
    <row r="113" spans="2:10" ht="15" thickBot="1" x14ac:dyDescent="0.35">
      <c r="B113" s="98" t="s">
        <v>26</v>
      </c>
      <c r="C113" s="99">
        <v>31108</v>
      </c>
      <c r="D113" s="99">
        <v>1111</v>
      </c>
      <c r="E113" s="99">
        <f t="shared" si="16"/>
        <v>466.62</v>
      </c>
      <c r="F113" s="99">
        <f t="shared" si="17"/>
        <v>1577.62</v>
      </c>
      <c r="G113" s="99"/>
      <c r="H113" s="99"/>
      <c r="I113" s="100"/>
      <c r="J113" s="101"/>
    </row>
    <row r="114" spans="2:10" ht="15" thickBot="1" x14ac:dyDescent="0.35">
      <c r="B114" s="98" t="s">
        <v>27</v>
      </c>
      <c r="C114" s="99">
        <v>29997</v>
      </c>
      <c r="D114" s="95">
        <v>1111</v>
      </c>
      <c r="E114" s="99">
        <f t="shared" si="16"/>
        <v>449.95499999999998</v>
      </c>
      <c r="F114" s="99">
        <f t="shared" si="17"/>
        <v>1560.9549999999999</v>
      </c>
      <c r="G114" s="99"/>
      <c r="H114" s="99"/>
      <c r="I114" s="100"/>
      <c r="J114" s="101"/>
    </row>
    <row r="115" spans="2:10" x14ac:dyDescent="0.3">
      <c r="B115" s="98" t="s">
        <v>28</v>
      </c>
      <c r="C115" s="99">
        <v>28886</v>
      </c>
      <c r="D115" s="95">
        <v>1111</v>
      </c>
      <c r="E115" s="99">
        <f t="shared" si="16"/>
        <v>433.28999999999996</v>
      </c>
      <c r="F115" s="99">
        <f t="shared" si="17"/>
        <v>1544.29</v>
      </c>
      <c r="G115" s="99"/>
      <c r="H115" s="99"/>
      <c r="I115" s="100"/>
      <c r="J115" s="101"/>
    </row>
    <row r="116" spans="2:10" ht="15" thickBot="1" x14ac:dyDescent="0.35">
      <c r="B116" s="98" t="s">
        <v>29</v>
      </c>
      <c r="C116" s="99">
        <v>27775</v>
      </c>
      <c r="D116" s="99">
        <v>1111</v>
      </c>
      <c r="E116" s="99">
        <f t="shared" si="16"/>
        <v>416.625</v>
      </c>
      <c r="F116" s="99">
        <f t="shared" si="17"/>
        <v>1527.625</v>
      </c>
      <c r="G116" s="99"/>
      <c r="H116" s="99"/>
      <c r="I116" s="100"/>
      <c r="J116" s="101"/>
    </row>
    <row r="117" spans="2:10" x14ac:dyDescent="0.3">
      <c r="B117" s="98" t="s">
        <v>30</v>
      </c>
      <c r="C117" s="99">
        <v>26664</v>
      </c>
      <c r="D117" s="95">
        <v>1111</v>
      </c>
      <c r="E117" s="99">
        <f t="shared" si="16"/>
        <v>399.96</v>
      </c>
      <c r="F117" s="99">
        <f t="shared" si="17"/>
        <v>1510.96</v>
      </c>
      <c r="G117" s="99"/>
      <c r="H117" s="99"/>
      <c r="I117" s="100"/>
      <c r="J117" s="101"/>
    </row>
    <row r="118" spans="2:10" ht="15" thickBot="1" x14ac:dyDescent="0.35">
      <c r="B118" s="98" t="s">
        <v>31</v>
      </c>
      <c r="C118" s="99">
        <v>25553</v>
      </c>
      <c r="D118" s="99">
        <v>1111</v>
      </c>
      <c r="E118" s="99">
        <f t="shared" si="16"/>
        <v>383.29499999999996</v>
      </c>
      <c r="F118" s="99">
        <f t="shared" si="17"/>
        <v>1494.2950000000001</v>
      </c>
      <c r="G118" s="99"/>
      <c r="H118" s="99"/>
      <c r="I118" s="100"/>
      <c r="J118" s="101"/>
    </row>
    <row r="119" spans="2:10" ht="15" thickBot="1" x14ac:dyDescent="0.35">
      <c r="B119" s="98" t="s">
        <v>32</v>
      </c>
      <c r="C119" s="99">
        <v>24442</v>
      </c>
      <c r="D119" s="95">
        <v>1111</v>
      </c>
      <c r="E119" s="99">
        <f t="shared" si="16"/>
        <v>366.63</v>
      </c>
      <c r="F119" s="99">
        <f t="shared" si="17"/>
        <v>1477.63</v>
      </c>
      <c r="G119" s="99"/>
      <c r="H119" s="99"/>
      <c r="I119" s="100"/>
      <c r="J119" s="101"/>
    </row>
    <row r="120" spans="2:10" x14ac:dyDescent="0.3">
      <c r="B120" s="98" t="s">
        <v>33</v>
      </c>
      <c r="C120" s="99">
        <v>23331</v>
      </c>
      <c r="D120" s="95">
        <v>1111</v>
      </c>
      <c r="E120" s="99">
        <f t="shared" si="16"/>
        <v>349.96499999999997</v>
      </c>
      <c r="F120" s="99">
        <f t="shared" si="17"/>
        <v>1460.9649999999999</v>
      </c>
      <c r="G120" s="99"/>
      <c r="H120" s="99"/>
      <c r="I120" s="100"/>
      <c r="J120" s="101"/>
    </row>
    <row r="121" spans="2:10" ht="15" thickBot="1" x14ac:dyDescent="0.35">
      <c r="B121" s="98" t="s">
        <v>34</v>
      </c>
      <c r="C121" s="99">
        <v>22220</v>
      </c>
      <c r="D121" s="99">
        <v>1111</v>
      </c>
      <c r="E121" s="99">
        <f t="shared" si="16"/>
        <v>333.3</v>
      </c>
      <c r="F121" s="99">
        <f t="shared" si="17"/>
        <v>1444.3</v>
      </c>
      <c r="G121" s="99"/>
      <c r="H121" s="99"/>
      <c r="I121" s="100"/>
      <c r="J121" s="101"/>
    </row>
    <row r="122" spans="2:10" x14ac:dyDescent="0.3">
      <c r="B122" s="98" t="s">
        <v>35</v>
      </c>
      <c r="C122" s="99">
        <v>21109</v>
      </c>
      <c r="D122" s="95">
        <v>1111</v>
      </c>
      <c r="E122" s="99">
        <f t="shared" si="16"/>
        <v>316.63499999999999</v>
      </c>
      <c r="F122" s="99">
        <f t="shared" si="17"/>
        <v>1427.635</v>
      </c>
      <c r="G122" s="99"/>
      <c r="H122" s="99"/>
      <c r="I122" s="100"/>
      <c r="J122" s="101"/>
    </row>
    <row r="123" spans="2:10" ht="15" thickBot="1" x14ac:dyDescent="0.35">
      <c r="B123" s="98" t="s">
        <v>36</v>
      </c>
      <c r="C123" s="99">
        <v>19998</v>
      </c>
      <c r="D123" s="99">
        <v>1111</v>
      </c>
      <c r="E123" s="99">
        <f t="shared" si="16"/>
        <v>299.96999999999997</v>
      </c>
      <c r="F123" s="99">
        <f t="shared" si="17"/>
        <v>1410.97</v>
      </c>
      <c r="G123" s="99"/>
      <c r="H123" s="99"/>
      <c r="I123" s="100"/>
      <c r="J123" s="101"/>
    </row>
    <row r="124" spans="2:10" ht="15" thickBot="1" x14ac:dyDescent="0.35">
      <c r="B124" s="98" t="s">
        <v>37</v>
      </c>
      <c r="C124" s="99">
        <v>18887</v>
      </c>
      <c r="D124" s="95">
        <v>1111</v>
      </c>
      <c r="E124" s="99">
        <f t="shared" si="16"/>
        <v>283.30500000000001</v>
      </c>
      <c r="F124" s="99">
        <f t="shared" si="17"/>
        <v>1394.3050000000001</v>
      </c>
      <c r="G124" s="99"/>
      <c r="H124" s="99"/>
      <c r="I124" s="100"/>
      <c r="J124" s="101"/>
    </row>
    <row r="125" spans="2:10" x14ac:dyDescent="0.3">
      <c r="B125" s="98" t="s">
        <v>38</v>
      </c>
      <c r="C125" s="99">
        <v>17776</v>
      </c>
      <c r="D125" s="95">
        <v>1111</v>
      </c>
      <c r="E125" s="99">
        <f t="shared" si="16"/>
        <v>266.64</v>
      </c>
      <c r="F125" s="99">
        <f t="shared" si="17"/>
        <v>1377.6399999999999</v>
      </c>
      <c r="G125" s="99"/>
      <c r="H125" s="99"/>
      <c r="I125" s="100"/>
      <c r="J125" s="101"/>
    </row>
    <row r="126" spans="2:10" ht="15" thickBot="1" x14ac:dyDescent="0.35">
      <c r="B126" s="98" t="s">
        <v>39</v>
      </c>
      <c r="C126" s="99">
        <v>16665</v>
      </c>
      <c r="D126" s="99">
        <v>1111</v>
      </c>
      <c r="E126" s="99">
        <f t="shared" si="16"/>
        <v>249.97499999999999</v>
      </c>
      <c r="F126" s="99">
        <f t="shared" si="17"/>
        <v>1360.9749999999999</v>
      </c>
      <c r="G126" s="99"/>
      <c r="H126" s="99"/>
      <c r="I126" s="100"/>
      <c r="J126" s="101"/>
    </row>
    <row r="127" spans="2:10" x14ac:dyDescent="0.3">
      <c r="B127" s="98" t="s">
        <v>40</v>
      </c>
      <c r="C127" s="99">
        <v>15554</v>
      </c>
      <c r="D127" s="95">
        <v>1111</v>
      </c>
      <c r="E127" s="99">
        <f t="shared" si="16"/>
        <v>233.31</v>
      </c>
      <c r="F127" s="99">
        <f t="shared" si="17"/>
        <v>1344.31</v>
      </c>
      <c r="G127" s="99"/>
      <c r="H127" s="99"/>
      <c r="I127" s="100"/>
      <c r="J127" s="101"/>
    </row>
    <row r="128" spans="2:10" ht="15" thickBot="1" x14ac:dyDescent="0.35">
      <c r="B128" s="103" t="s">
        <v>41</v>
      </c>
      <c r="C128" s="102">
        <v>14443</v>
      </c>
      <c r="D128" s="99">
        <v>1111</v>
      </c>
      <c r="E128" s="102">
        <f t="shared" si="16"/>
        <v>216.64499999999998</v>
      </c>
      <c r="F128" s="102">
        <f t="shared" si="17"/>
        <v>1327.645</v>
      </c>
      <c r="G128" s="102"/>
      <c r="H128" s="102"/>
      <c r="I128" s="104"/>
      <c r="J128" s="105"/>
    </row>
    <row r="129" spans="2:10" x14ac:dyDescent="0.3">
      <c r="F129" s="38"/>
    </row>
    <row r="133" spans="2:10" ht="15" thickBot="1" x14ac:dyDescent="0.35"/>
    <row r="134" spans="2:10" ht="15" thickBot="1" x14ac:dyDescent="0.35">
      <c r="B134" s="98" t="s">
        <v>144</v>
      </c>
      <c r="C134" s="99">
        <v>13332</v>
      </c>
      <c r="D134" s="95">
        <v>1111</v>
      </c>
      <c r="E134" s="99">
        <f t="shared" ref="E134:E145" si="18">(C134*0.015)</f>
        <v>199.98</v>
      </c>
      <c r="F134" s="99">
        <f t="shared" ref="F134:F145" si="19">SUM(D134:E134)</f>
        <v>1310.98</v>
      </c>
      <c r="G134" s="99"/>
      <c r="H134" s="99"/>
      <c r="I134" s="100"/>
      <c r="J134" s="101"/>
    </row>
    <row r="135" spans="2:10" x14ac:dyDescent="0.3">
      <c r="B135" s="98" t="s">
        <v>145</v>
      </c>
      <c r="C135" s="99">
        <v>12221</v>
      </c>
      <c r="D135" s="95">
        <v>1111</v>
      </c>
      <c r="E135" s="99">
        <f t="shared" si="18"/>
        <v>183.315</v>
      </c>
      <c r="F135" s="99">
        <f t="shared" si="19"/>
        <v>1294.3150000000001</v>
      </c>
      <c r="G135" s="99"/>
      <c r="H135" s="99"/>
      <c r="I135" s="100"/>
      <c r="J135" s="101"/>
    </row>
    <row r="136" spans="2:10" ht="15" thickBot="1" x14ac:dyDescent="0.35">
      <c r="B136" s="98" t="s">
        <v>146</v>
      </c>
      <c r="C136" s="99">
        <v>11110</v>
      </c>
      <c r="D136" s="99">
        <v>1111</v>
      </c>
      <c r="E136" s="99">
        <f t="shared" si="18"/>
        <v>166.65</v>
      </c>
      <c r="F136" s="99">
        <f t="shared" si="19"/>
        <v>1277.6500000000001</v>
      </c>
      <c r="G136" s="99"/>
      <c r="H136" s="99"/>
      <c r="I136" s="100"/>
      <c r="J136" s="101"/>
    </row>
    <row r="137" spans="2:10" x14ac:dyDescent="0.3">
      <c r="B137" s="98" t="s">
        <v>147</v>
      </c>
      <c r="C137" s="99">
        <v>9999</v>
      </c>
      <c r="D137" s="95">
        <v>1111</v>
      </c>
      <c r="E137" s="99">
        <f t="shared" si="18"/>
        <v>149.98499999999999</v>
      </c>
      <c r="F137" s="99">
        <f t="shared" si="19"/>
        <v>1260.9849999999999</v>
      </c>
      <c r="G137" s="99"/>
      <c r="H137" s="99"/>
      <c r="I137" s="100"/>
      <c r="J137" s="101"/>
    </row>
    <row r="138" spans="2:10" ht="15" thickBot="1" x14ac:dyDescent="0.35">
      <c r="B138" s="98" t="s">
        <v>148</v>
      </c>
      <c r="C138" s="99">
        <v>8888</v>
      </c>
      <c r="D138" s="99">
        <v>1111</v>
      </c>
      <c r="E138" s="99">
        <f t="shared" si="18"/>
        <v>133.32</v>
      </c>
      <c r="F138" s="99">
        <f t="shared" si="19"/>
        <v>1244.32</v>
      </c>
      <c r="G138" s="99"/>
      <c r="H138" s="99"/>
      <c r="I138" s="100"/>
      <c r="J138" s="101"/>
    </row>
    <row r="139" spans="2:10" ht="15" thickBot="1" x14ac:dyDescent="0.35">
      <c r="B139" s="98" t="s">
        <v>149</v>
      </c>
      <c r="C139" s="99">
        <v>7777</v>
      </c>
      <c r="D139" s="95">
        <v>1111</v>
      </c>
      <c r="E139" s="99">
        <f t="shared" si="18"/>
        <v>116.655</v>
      </c>
      <c r="F139" s="99">
        <f t="shared" si="19"/>
        <v>1227.655</v>
      </c>
      <c r="G139" s="99"/>
      <c r="H139" s="99"/>
      <c r="I139" s="100"/>
      <c r="J139" s="101"/>
    </row>
    <row r="140" spans="2:10" x14ac:dyDescent="0.3">
      <c r="B140" s="98" t="s">
        <v>150</v>
      </c>
      <c r="C140" s="99">
        <v>6666</v>
      </c>
      <c r="D140" s="95">
        <v>1111</v>
      </c>
      <c r="E140" s="99">
        <f t="shared" si="18"/>
        <v>99.99</v>
      </c>
      <c r="F140" s="99">
        <f t="shared" si="19"/>
        <v>1210.99</v>
      </c>
      <c r="G140" s="99"/>
      <c r="H140" s="99"/>
      <c r="I140" s="100"/>
      <c r="J140" s="101"/>
    </row>
    <row r="141" spans="2:10" ht="15" thickBot="1" x14ac:dyDescent="0.35">
      <c r="B141" s="98" t="s">
        <v>151</v>
      </c>
      <c r="C141" s="99">
        <v>5555</v>
      </c>
      <c r="D141" s="99">
        <v>1111</v>
      </c>
      <c r="E141" s="99">
        <f t="shared" si="18"/>
        <v>83.325000000000003</v>
      </c>
      <c r="F141" s="99">
        <f t="shared" si="19"/>
        <v>1194.325</v>
      </c>
      <c r="G141" s="99"/>
      <c r="H141" s="99"/>
      <c r="I141" s="100"/>
      <c r="J141" s="101"/>
    </row>
    <row r="142" spans="2:10" x14ac:dyDescent="0.3">
      <c r="B142" s="98" t="s">
        <v>152</v>
      </c>
      <c r="C142" s="99">
        <v>4444</v>
      </c>
      <c r="D142" s="95">
        <v>1111</v>
      </c>
      <c r="E142" s="99">
        <f t="shared" si="18"/>
        <v>66.66</v>
      </c>
      <c r="F142" s="99">
        <f t="shared" si="19"/>
        <v>1177.6600000000001</v>
      </c>
      <c r="G142" s="99"/>
      <c r="H142" s="99"/>
      <c r="I142" s="100"/>
      <c r="J142" s="101"/>
    </row>
    <row r="143" spans="2:10" ht="15" thickBot="1" x14ac:dyDescent="0.35">
      <c r="B143" s="98" t="s">
        <v>153</v>
      </c>
      <c r="C143" s="99">
        <v>3333</v>
      </c>
      <c r="D143" s="99">
        <v>1111</v>
      </c>
      <c r="E143" s="99">
        <f t="shared" si="18"/>
        <v>49.994999999999997</v>
      </c>
      <c r="F143" s="99">
        <f t="shared" si="19"/>
        <v>1160.9949999999999</v>
      </c>
      <c r="G143" s="99"/>
      <c r="H143" s="99"/>
      <c r="I143" s="100"/>
      <c r="J143" s="101"/>
    </row>
    <row r="144" spans="2:10" x14ac:dyDescent="0.3">
      <c r="B144" s="98" t="s">
        <v>154</v>
      </c>
      <c r="C144" s="99">
        <v>2222</v>
      </c>
      <c r="D144" s="95">
        <v>1111</v>
      </c>
      <c r="E144" s="99">
        <f t="shared" si="18"/>
        <v>33.33</v>
      </c>
      <c r="F144" s="99">
        <f t="shared" si="19"/>
        <v>1144.33</v>
      </c>
      <c r="G144" s="99"/>
      <c r="H144" s="99"/>
      <c r="I144" s="100"/>
      <c r="J144" s="101"/>
    </row>
    <row r="145" spans="1:10" ht="15" thickBot="1" x14ac:dyDescent="0.35">
      <c r="B145" s="103" t="s">
        <v>155</v>
      </c>
      <c r="C145" s="102">
        <v>1111</v>
      </c>
      <c r="D145" s="99">
        <v>1111</v>
      </c>
      <c r="E145" s="102">
        <f t="shared" si="18"/>
        <v>16.664999999999999</v>
      </c>
      <c r="F145" s="102">
        <f t="shared" si="19"/>
        <v>1127.665</v>
      </c>
      <c r="G145" s="102"/>
      <c r="H145" s="102"/>
      <c r="I145" s="104"/>
      <c r="J145" s="105" t="s">
        <v>42</v>
      </c>
    </row>
    <row r="146" spans="1:10" x14ac:dyDescent="0.3">
      <c r="E146" s="38">
        <f>SUM(E105:E145)</f>
        <v>11098.95</v>
      </c>
    </row>
    <row r="149" spans="1:10" x14ac:dyDescent="0.3">
      <c r="A149" s="1"/>
      <c r="B149" s="77" t="s">
        <v>0</v>
      </c>
      <c r="C149" s="77" t="s">
        <v>224</v>
      </c>
      <c r="D149" s="112"/>
      <c r="E149" s="112"/>
      <c r="F149" s="79"/>
      <c r="G149" s="80"/>
      <c r="I149" s="81" t="s">
        <v>1</v>
      </c>
      <c r="J149" s="82">
        <v>75000</v>
      </c>
    </row>
    <row r="150" spans="1:10" x14ac:dyDescent="0.3">
      <c r="A150" s="1"/>
      <c r="B150" s="77" t="s">
        <v>2</v>
      </c>
      <c r="C150" s="83"/>
      <c r="D150" s="79"/>
      <c r="E150" s="83"/>
      <c r="F150" s="81"/>
      <c r="G150" s="81"/>
      <c r="H150" s="84"/>
      <c r="I150" s="81" t="s">
        <v>3</v>
      </c>
      <c r="J150" s="85" t="s">
        <v>185</v>
      </c>
    </row>
    <row r="151" spans="1:10" x14ac:dyDescent="0.3">
      <c r="A151" s="1"/>
      <c r="B151" s="77" t="s">
        <v>4</v>
      </c>
      <c r="C151" s="78"/>
      <c r="D151" s="79"/>
      <c r="E151" s="78"/>
      <c r="F151" s="81"/>
      <c r="G151" s="81"/>
      <c r="H151" s="81"/>
      <c r="I151" s="81" t="s">
        <v>5</v>
      </c>
      <c r="J151" s="86">
        <v>1.4999999999999999E-2</v>
      </c>
    </row>
    <row r="152" spans="1:10" ht="15" thickBot="1" x14ac:dyDescent="0.35">
      <c r="A152" s="1"/>
      <c r="B152" s="77" t="s">
        <v>6</v>
      </c>
      <c r="C152" s="87"/>
      <c r="D152" s="87"/>
      <c r="E152" s="88"/>
      <c r="F152" s="88"/>
      <c r="G152" s="88"/>
      <c r="H152" s="88"/>
      <c r="I152" s="88" t="s">
        <v>7</v>
      </c>
      <c r="J152" s="78">
        <v>36</v>
      </c>
    </row>
    <row r="153" spans="1:10" ht="41.4" thickBot="1" x14ac:dyDescent="0.35">
      <c r="A153" s="1"/>
      <c r="B153" s="89" t="s">
        <v>8</v>
      </c>
      <c r="C153" s="89" t="s">
        <v>9</v>
      </c>
      <c r="D153" s="89" t="s">
        <v>10</v>
      </c>
      <c r="E153" s="90" t="s">
        <v>11</v>
      </c>
      <c r="F153" s="91" t="s">
        <v>12</v>
      </c>
      <c r="G153" s="92" t="s">
        <v>13</v>
      </c>
      <c r="H153" s="92" t="s">
        <v>14</v>
      </c>
      <c r="I153" s="92" t="s">
        <v>15</v>
      </c>
      <c r="J153" s="93" t="s">
        <v>16</v>
      </c>
    </row>
    <row r="154" spans="1:10" x14ac:dyDescent="0.3">
      <c r="A154" s="1"/>
      <c r="B154" s="94" t="s">
        <v>17</v>
      </c>
      <c r="C154" s="95">
        <f>J149</f>
        <v>75000</v>
      </c>
      <c r="D154" s="95">
        <f>J149/J152</f>
        <v>2083.3333333333335</v>
      </c>
      <c r="E154" s="95">
        <f t="shared" ref="E154:E177" si="20">(C154*0.015)</f>
        <v>1125</v>
      </c>
      <c r="F154" s="95">
        <f t="shared" ref="F154:F177" si="21">SUM(D154:E154)</f>
        <v>3208.3333333333335</v>
      </c>
      <c r="G154" s="95"/>
      <c r="H154" s="95"/>
      <c r="I154" s="96"/>
      <c r="J154" s="97"/>
    </row>
    <row r="155" spans="1:10" x14ac:dyDescent="0.3">
      <c r="A155" s="1"/>
      <c r="B155" s="98" t="s">
        <v>18</v>
      </c>
      <c r="C155" s="99">
        <v>72905</v>
      </c>
      <c r="D155" s="99">
        <v>2083</v>
      </c>
      <c r="E155" s="99">
        <f t="shared" si="20"/>
        <v>1093.575</v>
      </c>
      <c r="F155" s="99">
        <f t="shared" si="21"/>
        <v>3176.5749999999998</v>
      </c>
      <c r="G155" s="99"/>
      <c r="H155" s="99"/>
      <c r="I155" s="100"/>
      <c r="J155" s="101"/>
    </row>
    <row r="156" spans="1:10" x14ac:dyDescent="0.3">
      <c r="B156" s="98" t="s">
        <v>19</v>
      </c>
      <c r="C156" s="99">
        <v>70822</v>
      </c>
      <c r="D156" s="99">
        <v>2083</v>
      </c>
      <c r="E156" s="99">
        <f t="shared" si="20"/>
        <v>1062.33</v>
      </c>
      <c r="F156" s="99">
        <f t="shared" si="21"/>
        <v>3145.33</v>
      </c>
      <c r="G156" s="99"/>
      <c r="H156" s="99"/>
      <c r="I156" s="100"/>
      <c r="J156" s="101"/>
    </row>
    <row r="157" spans="1:10" ht="15" thickBot="1" x14ac:dyDescent="0.35">
      <c r="B157" s="98" t="s">
        <v>20</v>
      </c>
      <c r="C157" s="99">
        <v>68739</v>
      </c>
      <c r="D157" s="99">
        <v>2083</v>
      </c>
      <c r="E157" s="99">
        <f t="shared" si="20"/>
        <v>1031.085</v>
      </c>
      <c r="F157" s="99">
        <f t="shared" si="21"/>
        <v>3114.085</v>
      </c>
      <c r="G157" s="99"/>
      <c r="H157" s="99"/>
      <c r="I157" s="100"/>
      <c r="J157" s="101"/>
    </row>
    <row r="158" spans="1:10" ht="15" thickBot="1" x14ac:dyDescent="0.35">
      <c r="B158" s="98" t="s">
        <v>21</v>
      </c>
      <c r="C158" s="99">
        <v>66656</v>
      </c>
      <c r="D158" s="95">
        <v>2083</v>
      </c>
      <c r="E158" s="99">
        <f t="shared" si="20"/>
        <v>999.83999999999992</v>
      </c>
      <c r="F158" s="99">
        <f t="shared" si="21"/>
        <v>3082.84</v>
      </c>
      <c r="G158" s="99"/>
      <c r="H158" s="99"/>
      <c r="I158" s="100"/>
      <c r="J158" s="101"/>
    </row>
    <row r="159" spans="1:10" x14ac:dyDescent="0.3">
      <c r="B159" s="98" t="s">
        <v>23</v>
      </c>
      <c r="C159" s="99">
        <v>64573</v>
      </c>
      <c r="D159" s="95">
        <v>2083</v>
      </c>
      <c r="E159" s="99">
        <f t="shared" si="20"/>
        <v>968.59499999999991</v>
      </c>
      <c r="F159" s="99">
        <f t="shared" si="21"/>
        <v>3051.5949999999998</v>
      </c>
      <c r="G159" s="99"/>
      <c r="H159" s="99"/>
      <c r="I159" s="100"/>
      <c r="J159" s="101"/>
    </row>
    <row r="160" spans="1:10" x14ac:dyDescent="0.3">
      <c r="B160" s="98" t="s">
        <v>24</v>
      </c>
      <c r="C160" s="99">
        <v>62490</v>
      </c>
      <c r="D160" s="99">
        <v>2083</v>
      </c>
      <c r="E160" s="99">
        <f t="shared" si="20"/>
        <v>937.34999999999991</v>
      </c>
      <c r="F160" s="99">
        <f t="shared" si="21"/>
        <v>3020.35</v>
      </c>
      <c r="G160" s="99"/>
      <c r="H160" s="99"/>
      <c r="I160" s="100"/>
      <c r="J160" s="101"/>
    </row>
    <row r="161" spans="2:10" x14ac:dyDescent="0.3">
      <c r="B161" s="98" t="s">
        <v>25</v>
      </c>
      <c r="C161" s="99">
        <v>60407</v>
      </c>
      <c r="D161" s="99">
        <v>2083</v>
      </c>
      <c r="E161" s="99">
        <f t="shared" si="20"/>
        <v>906.10500000000002</v>
      </c>
      <c r="F161" s="99">
        <f t="shared" si="21"/>
        <v>2989.105</v>
      </c>
      <c r="G161" s="99"/>
      <c r="H161" s="99"/>
      <c r="I161" s="100"/>
      <c r="J161" s="101"/>
    </row>
    <row r="162" spans="2:10" ht="15" thickBot="1" x14ac:dyDescent="0.35">
      <c r="B162" s="98" t="s">
        <v>26</v>
      </c>
      <c r="C162" s="99">
        <v>58324</v>
      </c>
      <c r="D162" s="99">
        <v>2083</v>
      </c>
      <c r="E162" s="99">
        <f t="shared" si="20"/>
        <v>874.86</v>
      </c>
      <c r="F162" s="99">
        <f t="shared" si="21"/>
        <v>2957.86</v>
      </c>
      <c r="G162" s="99"/>
      <c r="H162" s="99"/>
      <c r="I162" s="100"/>
      <c r="J162" s="101"/>
    </row>
    <row r="163" spans="2:10" ht="15" thickBot="1" x14ac:dyDescent="0.35">
      <c r="B163" s="98" t="s">
        <v>27</v>
      </c>
      <c r="C163" s="99">
        <v>56241</v>
      </c>
      <c r="D163" s="95">
        <v>2083</v>
      </c>
      <c r="E163" s="99">
        <f t="shared" si="20"/>
        <v>843.61500000000001</v>
      </c>
      <c r="F163" s="99">
        <f t="shared" si="21"/>
        <v>2926.6149999999998</v>
      </c>
      <c r="G163" s="99"/>
      <c r="H163" s="99"/>
      <c r="I163" s="100"/>
      <c r="J163" s="101"/>
    </row>
    <row r="164" spans="2:10" x14ac:dyDescent="0.3">
      <c r="B164" s="98" t="s">
        <v>28</v>
      </c>
      <c r="C164" s="99">
        <v>54158</v>
      </c>
      <c r="D164" s="95">
        <v>2083</v>
      </c>
      <c r="E164" s="99">
        <f t="shared" si="20"/>
        <v>812.37</v>
      </c>
      <c r="F164" s="99">
        <f t="shared" si="21"/>
        <v>2895.37</v>
      </c>
      <c r="G164" s="99"/>
      <c r="H164" s="99"/>
      <c r="I164" s="100"/>
      <c r="J164" s="101"/>
    </row>
    <row r="165" spans="2:10" x14ac:dyDescent="0.3">
      <c r="B165" s="98" t="s">
        <v>29</v>
      </c>
      <c r="C165" s="99">
        <v>52075</v>
      </c>
      <c r="D165" s="99">
        <v>2083</v>
      </c>
      <c r="E165" s="99">
        <f t="shared" si="20"/>
        <v>781.125</v>
      </c>
      <c r="F165" s="99">
        <f t="shared" si="21"/>
        <v>2864.125</v>
      </c>
      <c r="G165" s="99"/>
      <c r="H165" s="99"/>
      <c r="I165" s="100"/>
      <c r="J165" s="101"/>
    </row>
    <row r="166" spans="2:10" x14ac:dyDescent="0.3">
      <c r="B166" s="98" t="s">
        <v>30</v>
      </c>
      <c r="C166" s="99">
        <v>49992</v>
      </c>
      <c r="D166" s="99">
        <v>2083</v>
      </c>
      <c r="E166" s="99">
        <f t="shared" si="20"/>
        <v>749.88</v>
      </c>
      <c r="F166" s="99">
        <f t="shared" si="21"/>
        <v>2832.88</v>
      </c>
      <c r="G166" s="99"/>
      <c r="H166" s="99"/>
      <c r="I166" s="100"/>
      <c r="J166" s="101"/>
    </row>
    <row r="167" spans="2:10" ht="15" thickBot="1" x14ac:dyDescent="0.35">
      <c r="B167" s="98" t="s">
        <v>31</v>
      </c>
      <c r="C167" s="99">
        <v>47909</v>
      </c>
      <c r="D167" s="99">
        <v>2083</v>
      </c>
      <c r="E167" s="99">
        <f t="shared" si="20"/>
        <v>718.63499999999999</v>
      </c>
      <c r="F167" s="99">
        <f t="shared" si="21"/>
        <v>2801.6350000000002</v>
      </c>
      <c r="G167" s="99"/>
      <c r="H167" s="99"/>
      <c r="I167" s="100"/>
      <c r="J167" s="101"/>
    </row>
    <row r="168" spans="2:10" ht="15" thickBot="1" x14ac:dyDescent="0.35">
      <c r="B168" s="98" t="s">
        <v>32</v>
      </c>
      <c r="C168" s="99">
        <v>45826</v>
      </c>
      <c r="D168" s="95">
        <v>2083</v>
      </c>
      <c r="E168" s="99">
        <f t="shared" si="20"/>
        <v>687.39</v>
      </c>
      <c r="F168" s="99">
        <f t="shared" si="21"/>
        <v>2770.39</v>
      </c>
      <c r="G168" s="99"/>
      <c r="H168" s="99"/>
      <c r="I168" s="100"/>
      <c r="J168" s="101"/>
    </row>
    <row r="169" spans="2:10" x14ac:dyDescent="0.3">
      <c r="B169" s="98" t="s">
        <v>33</v>
      </c>
      <c r="C169" s="99">
        <v>43743</v>
      </c>
      <c r="D169" s="95">
        <v>2083</v>
      </c>
      <c r="E169" s="99">
        <f t="shared" si="20"/>
        <v>656.14499999999998</v>
      </c>
      <c r="F169" s="99">
        <f t="shared" si="21"/>
        <v>2739.145</v>
      </c>
      <c r="G169" s="99"/>
      <c r="H169" s="99"/>
      <c r="I169" s="100"/>
      <c r="J169" s="101"/>
    </row>
    <row r="170" spans="2:10" x14ac:dyDescent="0.3">
      <c r="B170" s="98" t="s">
        <v>34</v>
      </c>
      <c r="C170" s="99">
        <v>41660</v>
      </c>
      <c r="D170" s="99">
        <v>2083</v>
      </c>
      <c r="E170" s="99">
        <f t="shared" si="20"/>
        <v>624.9</v>
      </c>
      <c r="F170" s="99">
        <f t="shared" si="21"/>
        <v>2707.9</v>
      </c>
      <c r="G170" s="99"/>
      <c r="H170" s="99"/>
      <c r="I170" s="100"/>
      <c r="J170" s="101"/>
    </row>
    <row r="171" spans="2:10" x14ac:dyDescent="0.3">
      <c r="B171" s="98" t="s">
        <v>35</v>
      </c>
      <c r="C171" s="99">
        <v>39577</v>
      </c>
      <c r="D171" s="99">
        <v>2083</v>
      </c>
      <c r="E171" s="99">
        <f t="shared" si="20"/>
        <v>593.65499999999997</v>
      </c>
      <c r="F171" s="99">
        <f t="shared" si="21"/>
        <v>2676.6549999999997</v>
      </c>
      <c r="G171" s="99"/>
      <c r="H171" s="99"/>
      <c r="I171" s="100"/>
      <c r="J171" s="101"/>
    </row>
    <row r="172" spans="2:10" ht="15" thickBot="1" x14ac:dyDescent="0.35">
      <c r="B172" s="98" t="s">
        <v>36</v>
      </c>
      <c r="C172" s="99">
        <v>37494</v>
      </c>
      <c r="D172" s="99">
        <v>2083</v>
      </c>
      <c r="E172" s="99">
        <f t="shared" si="20"/>
        <v>562.41</v>
      </c>
      <c r="F172" s="99">
        <f t="shared" si="21"/>
        <v>2645.41</v>
      </c>
      <c r="G172" s="99"/>
      <c r="H172" s="99"/>
      <c r="I172" s="100"/>
      <c r="J172" s="101"/>
    </row>
    <row r="173" spans="2:10" ht="15" thickBot="1" x14ac:dyDescent="0.35">
      <c r="B173" s="98" t="s">
        <v>37</v>
      </c>
      <c r="C173" s="99">
        <v>35411</v>
      </c>
      <c r="D173" s="95">
        <v>2083</v>
      </c>
      <c r="E173" s="99">
        <f t="shared" si="20"/>
        <v>531.16499999999996</v>
      </c>
      <c r="F173" s="99">
        <f t="shared" si="21"/>
        <v>2614.165</v>
      </c>
      <c r="G173" s="99"/>
      <c r="H173" s="99"/>
      <c r="I173" s="100"/>
      <c r="J173" s="101"/>
    </row>
    <row r="174" spans="2:10" ht="15" thickBot="1" x14ac:dyDescent="0.35">
      <c r="B174" s="98" t="s">
        <v>38</v>
      </c>
      <c r="C174" s="99">
        <v>33328</v>
      </c>
      <c r="D174" s="95">
        <v>2083</v>
      </c>
      <c r="E174" s="99">
        <f t="shared" si="20"/>
        <v>499.91999999999996</v>
      </c>
      <c r="F174" s="99">
        <f t="shared" si="21"/>
        <v>2582.92</v>
      </c>
      <c r="G174" s="99"/>
      <c r="H174" s="99"/>
      <c r="I174" s="100"/>
      <c r="J174" s="101"/>
    </row>
    <row r="175" spans="2:10" x14ac:dyDescent="0.3">
      <c r="B175" s="98" t="s">
        <v>39</v>
      </c>
      <c r="C175" s="99">
        <v>31245</v>
      </c>
      <c r="D175" s="95">
        <v>2083</v>
      </c>
      <c r="E175" s="99">
        <f t="shared" si="20"/>
        <v>468.67499999999995</v>
      </c>
      <c r="F175" s="99">
        <f t="shared" si="21"/>
        <v>2551.6750000000002</v>
      </c>
      <c r="G175" s="99"/>
      <c r="H175" s="99"/>
      <c r="I175" s="100"/>
      <c r="J175" s="101"/>
    </row>
    <row r="176" spans="2:10" x14ac:dyDescent="0.3">
      <c r="B176" s="98" t="s">
        <v>40</v>
      </c>
      <c r="C176" s="99">
        <v>29162</v>
      </c>
      <c r="D176" s="99">
        <v>2083</v>
      </c>
      <c r="E176" s="99">
        <f t="shared" si="20"/>
        <v>437.43</v>
      </c>
      <c r="F176" s="99">
        <f t="shared" si="21"/>
        <v>2520.4299999999998</v>
      </c>
      <c r="G176" s="99"/>
      <c r="H176" s="99"/>
      <c r="I176" s="100"/>
      <c r="J176" s="101"/>
    </row>
    <row r="177" spans="2:20" ht="15" thickBot="1" x14ac:dyDescent="0.35">
      <c r="B177" s="103" t="s">
        <v>41</v>
      </c>
      <c r="C177" s="102">
        <v>27079</v>
      </c>
      <c r="D177" s="99">
        <v>2083</v>
      </c>
      <c r="E177" s="102">
        <f t="shared" si="20"/>
        <v>406.185</v>
      </c>
      <c r="F177" s="102">
        <f t="shared" si="21"/>
        <v>2489.1849999999999</v>
      </c>
      <c r="G177" s="102"/>
      <c r="H177" s="102"/>
      <c r="I177" s="104"/>
      <c r="J177" s="105"/>
    </row>
    <row r="179" spans="2:20" ht="15" thickBot="1" x14ac:dyDescent="0.35"/>
    <row r="180" spans="2:20" x14ac:dyDescent="0.3">
      <c r="B180" s="98" t="s">
        <v>144</v>
      </c>
      <c r="C180" s="99">
        <v>24996</v>
      </c>
      <c r="D180" s="95">
        <v>2083</v>
      </c>
      <c r="E180" s="99">
        <f t="shared" ref="E180:E191" si="22">(C180*0.015)</f>
        <v>374.94</v>
      </c>
      <c r="F180" s="99">
        <f t="shared" ref="F180:F191" si="23">SUM(D180:E180)</f>
        <v>2457.94</v>
      </c>
      <c r="G180" s="99"/>
      <c r="H180" s="99"/>
      <c r="I180" s="100"/>
      <c r="J180" s="101"/>
    </row>
    <row r="181" spans="2:20" x14ac:dyDescent="0.3">
      <c r="B181" s="98" t="s">
        <v>145</v>
      </c>
      <c r="C181" s="99">
        <v>22913</v>
      </c>
      <c r="D181" s="99">
        <v>2083</v>
      </c>
      <c r="E181" s="99">
        <f t="shared" si="22"/>
        <v>343.69499999999999</v>
      </c>
      <c r="F181" s="99">
        <f t="shared" si="23"/>
        <v>2426.6950000000002</v>
      </c>
      <c r="G181" s="99"/>
      <c r="H181" s="99"/>
      <c r="I181" s="100"/>
      <c r="J181" s="101"/>
    </row>
    <row r="182" spans="2:20" x14ac:dyDescent="0.3">
      <c r="B182" s="98" t="s">
        <v>146</v>
      </c>
      <c r="C182" s="99">
        <v>20830</v>
      </c>
      <c r="D182" s="99">
        <v>2083</v>
      </c>
      <c r="E182" s="99">
        <f t="shared" si="22"/>
        <v>312.45</v>
      </c>
      <c r="F182" s="99">
        <f t="shared" si="23"/>
        <v>2395.4499999999998</v>
      </c>
      <c r="G182" s="99"/>
      <c r="H182" s="99"/>
      <c r="I182" s="100"/>
      <c r="J182" s="101"/>
      <c r="L182" s="77" t="s">
        <v>0</v>
      </c>
      <c r="M182" s="229" t="s">
        <v>139</v>
      </c>
      <c r="N182" s="230"/>
      <c r="O182" s="230"/>
      <c r="P182" s="79"/>
      <c r="Q182" s="80"/>
      <c r="R182" s="231" t="s">
        <v>1</v>
      </c>
      <c r="S182" s="231"/>
      <c r="T182" s="82">
        <v>53000</v>
      </c>
    </row>
    <row r="183" spans="2:20" ht="15" thickBot="1" x14ac:dyDescent="0.35">
      <c r="B183" s="98" t="s">
        <v>147</v>
      </c>
      <c r="C183" s="99">
        <v>18747</v>
      </c>
      <c r="D183" s="99">
        <v>2083</v>
      </c>
      <c r="E183" s="99">
        <f t="shared" si="22"/>
        <v>281.20499999999998</v>
      </c>
      <c r="F183" s="99">
        <f t="shared" si="23"/>
        <v>2364.2049999999999</v>
      </c>
      <c r="G183" s="99"/>
      <c r="H183" s="99"/>
      <c r="I183" s="100"/>
      <c r="J183" s="101"/>
      <c r="L183" s="77" t="s">
        <v>2</v>
      </c>
      <c r="M183" s="83"/>
      <c r="N183" s="79"/>
      <c r="O183" s="83"/>
      <c r="P183" s="81"/>
      <c r="Q183" s="81"/>
      <c r="R183" s="84"/>
      <c r="S183" s="81" t="s">
        <v>3</v>
      </c>
      <c r="T183" s="85" t="s">
        <v>163</v>
      </c>
    </row>
    <row r="184" spans="2:20" ht="15" thickBot="1" x14ac:dyDescent="0.35">
      <c r="B184" s="98" t="s">
        <v>148</v>
      </c>
      <c r="C184" s="99">
        <v>16664</v>
      </c>
      <c r="D184" s="95">
        <v>2083</v>
      </c>
      <c r="E184" s="99">
        <f t="shared" si="22"/>
        <v>249.95999999999998</v>
      </c>
      <c r="F184" s="99">
        <f t="shared" si="23"/>
        <v>2332.96</v>
      </c>
      <c r="G184" s="99"/>
      <c r="H184" s="99"/>
      <c r="I184" s="100"/>
      <c r="J184" s="101"/>
      <c r="L184" s="77" t="s">
        <v>4</v>
      </c>
      <c r="M184" s="78"/>
      <c r="N184" s="79"/>
      <c r="O184" s="78"/>
      <c r="P184" s="231" t="s">
        <v>5</v>
      </c>
      <c r="Q184" s="231"/>
      <c r="R184" s="231"/>
      <c r="S184" s="231"/>
      <c r="T184" s="86">
        <v>1.4999999999999999E-2</v>
      </c>
    </row>
    <row r="185" spans="2:20" ht="15" thickBot="1" x14ac:dyDescent="0.35">
      <c r="B185" s="98" t="s">
        <v>149</v>
      </c>
      <c r="C185" s="99">
        <v>14581</v>
      </c>
      <c r="D185" s="95">
        <v>2083</v>
      </c>
      <c r="E185" s="99">
        <f t="shared" si="22"/>
        <v>218.715</v>
      </c>
      <c r="F185" s="99">
        <f t="shared" si="23"/>
        <v>2301.7150000000001</v>
      </c>
      <c r="G185" s="99"/>
      <c r="H185" s="99"/>
      <c r="I185" s="100"/>
      <c r="J185" s="101"/>
      <c r="L185" s="77" t="s">
        <v>6</v>
      </c>
      <c r="M185" s="232"/>
      <c r="N185" s="232"/>
      <c r="O185" s="233" t="s">
        <v>7</v>
      </c>
      <c r="P185" s="233"/>
      <c r="Q185" s="233"/>
      <c r="R185" s="233"/>
      <c r="S185" s="233"/>
      <c r="T185" s="78">
        <v>24</v>
      </c>
    </row>
    <row r="186" spans="2:20" ht="41.4" thickBot="1" x14ac:dyDescent="0.35">
      <c r="B186" s="98" t="s">
        <v>150</v>
      </c>
      <c r="C186" s="99">
        <v>12498</v>
      </c>
      <c r="D186" s="99">
        <v>2083</v>
      </c>
      <c r="E186" s="99">
        <f t="shared" si="22"/>
        <v>187.47</v>
      </c>
      <c r="F186" s="99">
        <f t="shared" si="23"/>
        <v>2270.4699999999998</v>
      </c>
      <c r="G186" s="99"/>
      <c r="H186" s="99"/>
      <c r="I186" s="100"/>
      <c r="J186" s="101"/>
      <c r="L186" s="89" t="s">
        <v>8</v>
      </c>
      <c r="M186" s="89" t="s">
        <v>9</v>
      </c>
      <c r="N186" s="89" t="s">
        <v>10</v>
      </c>
      <c r="O186" s="90" t="s">
        <v>11</v>
      </c>
      <c r="P186" s="91" t="s">
        <v>12</v>
      </c>
      <c r="Q186" s="92" t="s">
        <v>13</v>
      </c>
      <c r="R186" s="92" t="s">
        <v>14</v>
      </c>
      <c r="S186" s="92" t="s">
        <v>15</v>
      </c>
      <c r="T186" s="93" t="s">
        <v>16</v>
      </c>
    </row>
    <row r="187" spans="2:20" x14ac:dyDescent="0.3">
      <c r="B187" s="98" t="s">
        <v>151</v>
      </c>
      <c r="C187" s="99">
        <v>10415</v>
      </c>
      <c r="D187" s="99">
        <v>2083</v>
      </c>
      <c r="E187" s="99">
        <f t="shared" si="22"/>
        <v>156.22499999999999</v>
      </c>
      <c r="F187" s="99">
        <f t="shared" si="23"/>
        <v>2239.2249999999999</v>
      </c>
      <c r="G187" s="99"/>
      <c r="H187" s="99"/>
      <c r="I187" s="100"/>
      <c r="J187" s="101"/>
      <c r="L187" s="94" t="s">
        <v>17</v>
      </c>
      <c r="M187" s="95">
        <f>T182</f>
        <v>53000</v>
      </c>
      <c r="N187" s="95">
        <f>T182/T185</f>
        <v>2208.3333333333335</v>
      </c>
      <c r="O187" s="95">
        <f t="shared" ref="O187:O210" si="24">(M187*0.015)</f>
        <v>795</v>
      </c>
      <c r="P187" s="95">
        <f t="shared" ref="P187:P210" si="25">SUM(N187:O187)</f>
        <v>3003.3333333333335</v>
      </c>
      <c r="Q187" s="95"/>
      <c r="R187" s="126"/>
      <c r="S187" s="128"/>
      <c r="T187" s="97"/>
    </row>
    <row r="188" spans="2:20" ht="15" thickBot="1" x14ac:dyDescent="0.35">
      <c r="B188" s="98" t="s">
        <v>152</v>
      </c>
      <c r="C188" s="99">
        <v>8332</v>
      </c>
      <c r="D188" s="99">
        <v>2083</v>
      </c>
      <c r="E188" s="99">
        <f t="shared" si="22"/>
        <v>124.97999999999999</v>
      </c>
      <c r="F188" s="99">
        <f t="shared" si="23"/>
        <v>2207.98</v>
      </c>
      <c r="G188" s="99"/>
      <c r="H188" s="99"/>
      <c r="I188" s="100"/>
      <c r="J188" s="101"/>
      <c r="L188" s="98" t="s">
        <v>18</v>
      </c>
      <c r="M188" s="99">
        <v>50784</v>
      </c>
      <c r="N188" s="99">
        <v>2208</v>
      </c>
      <c r="O188" s="99">
        <f t="shared" si="24"/>
        <v>761.76</v>
      </c>
      <c r="P188" s="99">
        <f t="shared" si="25"/>
        <v>2969.76</v>
      </c>
      <c r="Q188" s="99"/>
      <c r="R188" s="127"/>
      <c r="S188" s="129"/>
      <c r="T188" s="101"/>
    </row>
    <row r="189" spans="2:20" ht="15" thickBot="1" x14ac:dyDescent="0.35">
      <c r="B189" s="98" t="s">
        <v>153</v>
      </c>
      <c r="C189" s="99">
        <v>6249</v>
      </c>
      <c r="D189" s="95">
        <v>2083</v>
      </c>
      <c r="E189" s="99">
        <f t="shared" si="22"/>
        <v>93.734999999999999</v>
      </c>
      <c r="F189" s="99">
        <f t="shared" si="23"/>
        <v>2176.7350000000001</v>
      </c>
      <c r="G189" s="99"/>
      <c r="H189" s="99"/>
      <c r="I189" s="100"/>
      <c r="J189" s="101"/>
      <c r="L189" s="98" t="s">
        <v>19</v>
      </c>
      <c r="M189" s="99">
        <v>48576</v>
      </c>
      <c r="N189" s="99">
        <v>2208</v>
      </c>
      <c r="O189" s="99">
        <f t="shared" si="24"/>
        <v>728.64</v>
      </c>
      <c r="P189" s="99">
        <f t="shared" si="25"/>
        <v>2936.64</v>
      </c>
      <c r="Q189" s="99"/>
      <c r="R189" s="127"/>
      <c r="S189" s="129"/>
      <c r="T189" s="101"/>
    </row>
    <row r="190" spans="2:20" ht="15" thickBot="1" x14ac:dyDescent="0.35">
      <c r="B190" s="98" t="s">
        <v>154</v>
      </c>
      <c r="C190" s="99">
        <v>4166</v>
      </c>
      <c r="D190" s="95">
        <v>2083</v>
      </c>
      <c r="E190" s="99">
        <f t="shared" si="22"/>
        <v>62.489999999999995</v>
      </c>
      <c r="F190" s="99">
        <f t="shared" si="23"/>
        <v>2145.4899999999998</v>
      </c>
      <c r="G190" s="99"/>
      <c r="H190" s="99"/>
      <c r="I190" s="100"/>
      <c r="J190" s="101"/>
      <c r="L190" s="98" t="s">
        <v>20</v>
      </c>
      <c r="M190" s="99">
        <v>46368</v>
      </c>
      <c r="N190" s="99">
        <v>2208</v>
      </c>
      <c r="O190" s="99">
        <f t="shared" si="24"/>
        <v>695.52</v>
      </c>
      <c r="P190" s="99">
        <f t="shared" si="25"/>
        <v>2903.52</v>
      </c>
      <c r="Q190" s="99"/>
      <c r="R190" s="127"/>
      <c r="S190" s="129"/>
      <c r="T190" s="101"/>
    </row>
    <row r="191" spans="2:20" ht="15" thickBot="1" x14ac:dyDescent="0.35">
      <c r="B191" s="103" t="s">
        <v>155</v>
      </c>
      <c r="C191" s="102">
        <v>2083</v>
      </c>
      <c r="D191" s="99">
        <v>2083</v>
      </c>
      <c r="E191" s="102">
        <f t="shared" si="22"/>
        <v>31.244999999999997</v>
      </c>
      <c r="F191" s="102">
        <f t="shared" si="23"/>
        <v>2114.2449999999999</v>
      </c>
      <c r="G191" s="102"/>
      <c r="H191" s="102"/>
      <c r="I191" s="104"/>
      <c r="J191" s="105" t="s">
        <v>42</v>
      </c>
      <c r="L191" s="98" t="s">
        <v>21</v>
      </c>
      <c r="M191" s="99">
        <v>44160</v>
      </c>
      <c r="N191" s="95">
        <v>2208</v>
      </c>
      <c r="O191" s="99">
        <f t="shared" si="24"/>
        <v>662.4</v>
      </c>
      <c r="P191" s="99">
        <f t="shared" si="25"/>
        <v>2870.4</v>
      </c>
      <c r="Q191" s="99"/>
      <c r="R191" s="127"/>
      <c r="S191" s="129"/>
      <c r="T191" s="101"/>
    </row>
    <row r="192" spans="2:20" x14ac:dyDescent="0.3">
      <c r="D192" s="99"/>
      <c r="E192" s="38">
        <f>SUM(E154:E191)</f>
        <v>20809.349999999999</v>
      </c>
      <c r="F192" s="38">
        <f>SUM(F154:F191)</f>
        <v>95797.683333333349</v>
      </c>
      <c r="L192" s="98" t="s">
        <v>23</v>
      </c>
      <c r="M192" s="99">
        <v>41952</v>
      </c>
      <c r="N192" s="99">
        <v>2208</v>
      </c>
      <c r="O192" s="99">
        <f t="shared" si="24"/>
        <v>629.28</v>
      </c>
      <c r="P192" s="99">
        <f t="shared" si="25"/>
        <v>2837.2799999999997</v>
      </c>
      <c r="Q192" s="99"/>
      <c r="R192" s="127"/>
      <c r="S192" s="129"/>
      <c r="T192" s="101"/>
    </row>
    <row r="193" spans="1:20" x14ac:dyDescent="0.3">
      <c r="L193" s="98" t="s">
        <v>24</v>
      </c>
      <c r="M193" s="99">
        <v>39744</v>
      </c>
      <c r="N193" s="99">
        <v>2208</v>
      </c>
      <c r="O193" s="99">
        <f t="shared" si="24"/>
        <v>596.16</v>
      </c>
      <c r="P193" s="99">
        <f t="shared" si="25"/>
        <v>2804.16</v>
      </c>
      <c r="Q193" s="99"/>
      <c r="R193" s="127"/>
      <c r="S193" s="129"/>
      <c r="T193" s="101"/>
    </row>
    <row r="194" spans="1:20" ht="15" thickBot="1" x14ac:dyDescent="0.35">
      <c r="A194" s="1"/>
      <c r="B194" s="81"/>
      <c r="C194" s="77"/>
      <c r="D194" s="112"/>
      <c r="E194" s="112"/>
      <c r="F194" s="79"/>
      <c r="G194" s="80"/>
      <c r="I194" s="81"/>
      <c r="J194" s="82"/>
      <c r="L194" s="98" t="s">
        <v>25</v>
      </c>
      <c r="M194" s="99">
        <v>37536</v>
      </c>
      <c r="N194" s="99">
        <v>2208</v>
      </c>
      <c r="O194" s="99">
        <f t="shared" si="24"/>
        <v>563.04</v>
      </c>
      <c r="P194" s="99">
        <f t="shared" si="25"/>
        <v>2771.04</v>
      </c>
      <c r="Q194" s="99"/>
      <c r="R194" s="127"/>
      <c r="S194" s="129"/>
      <c r="T194" s="101"/>
    </row>
    <row r="195" spans="1:20" x14ac:dyDescent="0.3">
      <c r="A195" s="1"/>
      <c r="B195" s="81"/>
      <c r="C195" s="83"/>
      <c r="D195" s="79"/>
      <c r="E195" s="83"/>
      <c r="F195" s="81"/>
      <c r="G195" s="81"/>
      <c r="H195" s="84"/>
      <c r="I195" s="81"/>
      <c r="J195" s="85"/>
      <c r="L195" s="98" t="s">
        <v>26</v>
      </c>
      <c r="M195" s="99">
        <v>35328</v>
      </c>
      <c r="N195" s="95">
        <v>2208</v>
      </c>
      <c r="O195" s="99">
        <f t="shared" si="24"/>
        <v>529.91999999999996</v>
      </c>
      <c r="P195" s="99">
        <f t="shared" si="25"/>
        <v>2737.92</v>
      </c>
      <c r="Q195" s="99"/>
      <c r="R195" s="127"/>
      <c r="S195" s="129"/>
      <c r="T195" s="101"/>
    </row>
    <row r="196" spans="1:20" x14ac:dyDescent="0.3">
      <c r="A196" s="1"/>
      <c r="B196" s="81"/>
      <c r="C196" s="78"/>
      <c r="D196" s="79"/>
      <c r="E196" s="78"/>
      <c r="F196" s="81"/>
      <c r="G196" s="81"/>
      <c r="H196" s="81"/>
      <c r="I196" s="81"/>
      <c r="J196" s="86"/>
      <c r="L196" s="98" t="s">
        <v>27</v>
      </c>
      <c r="M196" s="99">
        <v>33120</v>
      </c>
      <c r="N196" s="99">
        <v>2208</v>
      </c>
      <c r="O196" s="99">
        <f t="shared" si="24"/>
        <v>496.79999999999995</v>
      </c>
      <c r="P196" s="99">
        <f t="shared" si="25"/>
        <v>2704.8</v>
      </c>
      <c r="Q196" s="99"/>
      <c r="R196" s="127"/>
      <c r="S196" s="129"/>
      <c r="T196" s="101"/>
    </row>
    <row r="197" spans="1:20" x14ac:dyDescent="0.3">
      <c r="A197" s="1"/>
      <c r="B197" s="81"/>
      <c r="C197" s="78"/>
      <c r="D197" s="78"/>
      <c r="E197" s="81"/>
      <c r="F197" s="81"/>
      <c r="G197" s="81"/>
      <c r="H197" s="81"/>
      <c r="I197" s="81"/>
      <c r="J197" s="78"/>
      <c r="L197" s="98" t="s">
        <v>28</v>
      </c>
      <c r="M197" s="99">
        <v>30912</v>
      </c>
      <c r="N197" s="99">
        <v>2208</v>
      </c>
      <c r="O197" s="99">
        <f t="shared" si="24"/>
        <v>463.68</v>
      </c>
      <c r="P197" s="99">
        <f t="shared" si="25"/>
        <v>2671.68</v>
      </c>
      <c r="Q197" s="99"/>
      <c r="R197" s="127"/>
      <c r="S197" s="129"/>
      <c r="T197" s="101"/>
    </row>
    <row r="198" spans="1:20" ht="15" thickBot="1" x14ac:dyDescent="0.35">
      <c r="A198" s="1"/>
      <c r="B198" s="147"/>
      <c r="C198" s="147"/>
      <c r="D198" s="147"/>
      <c r="E198" s="148"/>
      <c r="F198" s="148"/>
      <c r="G198" s="148"/>
      <c r="H198" s="148"/>
      <c r="I198" s="148"/>
      <c r="J198" s="125"/>
      <c r="L198" s="98" t="s">
        <v>29</v>
      </c>
      <c r="M198" s="99">
        <v>28704</v>
      </c>
      <c r="N198" s="99">
        <v>2208</v>
      </c>
      <c r="O198" s="99">
        <f t="shared" si="24"/>
        <v>430.56</v>
      </c>
      <c r="P198" s="99">
        <f t="shared" si="25"/>
        <v>2638.56</v>
      </c>
      <c r="Q198" s="99"/>
      <c r="R198" s="99"/>
      <c r="S198" s="100"/>
      <c r="T198" s="101"/>
    </row>
    <row r="199" spans="1:20" x14ac:dyDescent="0.3">
      <c r="A199" s="1"/>
      <c r="B199" s="81"/>
      <c r="C199" s="118"/>
      <c r="D199" s="118"/>
      <c r="E199" s="118"/>
      <c r="F199" s="118"/>
      <c r="G199" s="118"/>
      <c r="H199" s="118"/>
      <c r="I199" s="119"/>
      <c r="J199" s="120"/>
      <c r="L199" s="98" t="s">
        <v>30</v>
      </c>
      <c r="M199" s="99">
        <v>26496</v>
      </c>
      <c r="N199" s="95">
        <v>2208</v>
      </c>
      <c r="O199" s="99">
        <f t="shared" si="24"/>
        <v>397.44</v>
      </c>
      <c r="P199" s="99">
        <f t="shared" si="25"/>
        <v>2605.44</v>
      </c>
      <c r="Q199" s="99"/>
      <c r="R199" s="99"/>
      <c r="S199" s="100"/>
      <c r="T199" s="101"/>
    </row>
    <row r="200" spans="1:20" x14ac:dyDescent="0.3">
      <c r="A200" s="1"/>
      <c r="B200" s="81"/>
      <c r="C200" s="118"/>
      <c r="D200" s="118"/>
      <c r="E200" s="118"/>
      <c r="F200" s="118"/>
      <c r="G200" s="118"/>
      <c r="H200" s="118"/>
      <c r="I200" s="119"/>
      <c r="J200" s="120"/>
      <c r="L200" s="98" t="s">
        <v>31</v>
      </c>
      <c r="M200" s="99">
        <v>24288</v>
      </c>
      <c r="N200" s="99">
        <v>2208</v>
      </c>
      <c r="O200" s="99">
        <f t="shared" si="24"/>
        <v>364.32</v>
      </c>
      <c r="P200" s="99">
        <f t="shared" si="25"/>
        <v>2572.3200000000002</v>
      </c>
      <c r="Q200" s="99"/>
      <c r="R200" s="99"/>
      <c r="S200" s="100"/>
      <c r="T200" s="101"/>
    </row>
    <row r="201" spans="1:20" ht="15" thickBot="1" x14ac:dyDescent="0.35">
      <c r="B201" s="81"/>
      <c r="C201" s="118"/>
      <c r="D201" s="118"/>
      <c r="E201" s="118"/>
      <c r="F201" s="118"/>
      <c r="G201" s="118"/>
      <c r="H201" s="118"/>
      <c r="I201" s="119"/>
      <c r="J201" s="120"/>
      <c r="L201" s="98" t="s">
        <v>32</v>
      </c>
      <c r="M201" s="99">
        <v>22080</v>
      </c>
      <c r="N201" s="99">
        <v>2208</v>
      </c>
      <c r="O201" s="99">
        <f t="shared" si="24"/>
        <v>331.2</v>
      </c>
      <c r="P201" s="99">
        <f t="shared" si="25"/>
        <v>2539.1999999999998</v>
      </c>
      <c r="Q201" s="99"/>
      <c r="R201" s="99"/>
      <c r="S201" s="100"/>
      <c r="T201" s="101"/>
    </row>
    <row r="202" spans="1:20" x14ac:dyDescent="0.3">
      <c r="B202" s="81"/>
      <c r="C202" s="118"/>
      <c r="D202" s="118"/>
      <c r="E202" s="118"/>
      <c r="F202" s="118"/>
      <c r="G202" s="118"/>
      <c r="H202" s="118"/>
      <c r="I202" s="119"/>
      <c r="J202" s="120"/>
      <c r="L202" s="98" t="s">
        <v>33</v>
      </c>
      <c r="M202" s="99">
        <v>19872</v>
      </c>
      <c r="N202" s="95">
        <v>2208</v>
      </c>
      <c r="O202" s="99">
        <f t="shared" si="24"/>
        <v>298.08</v>
      </c>
      <c r="P202" s="99">
        <f t="shared" si="25"/>
        <v>2506.08</v>
      </c>
      <c r="Q202" s="99"/>
      <c r="R202" s="99"/>
      <c r="S202" s="100"/>
      <c r="T202" s="101"/>
    </row>
    <row r="203" spans="1:20" x14ac:dyDescent="0.3">
      <c r="B203" s="81"/>
      <c r="C203" s="118"/>
      <c r="D203" s="118"/>
      <c r="E203" s="118"/>
      <c r="F203" s="118"/>
      <c r="G203" s="118"/>
      <c r="H203" s="118"/>
      <c r="I203" s="119"/>
      <c r="J203" s="120"/>
      <c r="L203" s="98" t="s">
        <v>34</v>
      </c>
      <c r="M203" s="99">
        <v>17664</v>
      </c>
      <c r="N203" s="99">
        <v>2208</v>
      </c>
      <c r="O203" s="99">
        <f t="shared" si="24"/>
        <v>264.95999999999998</v>
      </c>
      <c r="P203" s="99">
        <f t="shared" si="25"/>
        <v>2472.96</v>
      </c>
      <c r="Q203" s="99"/>
      <c r="R203" s="99"/>
      <c r="S203" s="100"/>
      <c r="T203" s="101"/>
    </row>
    <row r="204" spans="1:20" x14ac:dyDescent="0.3">
      <c r="B204" s="81"/>
      <c r="C204" s="118"/>
      <c r="D204" s="118"/>
      <c r="E204" s="118"/>
      <c r="F204" s="118"/>
      <c r="G204" s="118"/>
      <c r="H204" s="118"/>
      <c r="I204" s="119"/>
      <c r="J204" s="120"/>
      <c r="L204" s="98" t="s">
        <v>35</v>
      </c>
      <c r="M204" s="99">
        <v>15456</v>
      </c>
      <c r="N204" s="99">
        <v>2208</v>
      </c>
      <c r="O204" s="99">
        <f t="shared" si="24"/>
        <v>231.84</v>
      </c>
      <c r="P204" s="99">
        <f t="shared" si="25"/>
        <v>2439.84</v>
      </c>
      <c r="Q204" s="99"/>
      <c r="R204" s="99"/>
      <c r="S204" s="100"/>
      <c r="T204" s="101"/>
    </row>
    <row r="205" spans="1:20" ht="15" thickBot="1" x14ac:dyDescent="0.35">
      <c r="B205" s="81"/>
      <c r="C205" s="118"/>
      <c r="D205" s="118"/>
      <c r="E205" s="118"/>
      <c r="F205" s="118"/>
      <c r="G205" s="118"/>
      <c r="H205" s="118"/>
      <c r="I205" s="119"/>
      <c r="J205" s="120"/>
      <c r="L205" s="98" t="s">
        <v>36</v>
      </c>
      <c r="M205" s="99">
        <v>13248</v>
      </c>
      <c r="N205" s="99">
        <v>2208</v>
      </c>
      <c r="O205" s="99">
        <f t="shared" si="24"/>
        <v>198.72</v>
      </c>
      <c r="P205" s="99">
        <f t="shared" si="25"/>
        <v>2406.7199999999998</v>
      </c>
      <c r="Q205" s="99"/>
      <c r="R205" s="99"/>
      <c r="S205" s="100"/>
      <c r="T205" s="101"/>
    </row>
    <row r="206" spans="1:20" x14ac:dyDescent="0.3">
      <c r="B206" s="81"/>
      <c r="C206" s="118"/>
      <c r="D206" s="118"/>
      <c r="E206" s="118"/>
      <c r="F206" s="118"/>
      <c r="G206" s="118"/>
      <c r="H206" s="118"/>
      <c r="I206" s="119"/>
      <c r="J206" s="120"/>
      <c r="L206" s="98" t="s">
        <v>37</v>
      </c>
      <c r="M206" s="99">
        <v>11040</v>
      </c>
      <c r="N206" s="95">
        <v>2208</v>
      </c>
      <c r="O206" s="99">
        <f t="shared" si="24"/>
        <v>165.6</v>
      </c>
      <c r="P206" s="99">
        <f t="shared" si="25"/>
        <v>2373.6</v>
      </c>
      <c r="Q206" s="99"/>
      <c r="R206" s="99"/>
      <c r="S206" s="100"/>
      <c r="T206" s="101"/>
    </row>
    <row r="207" spans="1:20" x14ac:dyDescent="0.3">
      <c r="B207" s="81"/>
      <c r="C207" s="118"/>
      <c r="D207" s="118"/>
      <c r="E207" s="118"/>
      <c r="F207" s="118"/>
      <c r="G207" s="118"/>
      <c r="H207" s="118"/>
      <c r="I207" s="119"/>
      <c r="J207" s="120"/>
      <c r="L207" s="98" t="s">
        <v>38</v>
      </c>
      <c r="M207" s="99">
        <v>8832</v>
      </c>
      <c r="N207" s="99">
        <v>2208</v>
      </c>
      <c r="O207" s="99">
        <f t="shared" si="24"/>
        <v>132.47999999999999</v>
      </c>
      <c r="P207" s="99">
        <f t="shared" si="25"/>
        <v>2340.48</v>
      </c>
      <c r="Q207" s="99"/>
      <c r="R207" s="99"/>
      <c r="S207" s="100"/>
      <c r="T207" s="101"/>
    </row>
    <row r="208" spans="1:20" x14ac:dyDescent="0.3">
      <c r="B208" s="81"/>
      <c r="C208" s="118"/>
      <c r="D208" s="118"/>
      <c r="E208" s="118"/>
      <c r="F208" s="118"/>
      <c r="G208" s="118"/>
      <c r="H208" s="118"/>
      <c r="I208" s="119"/>
      <c r="J208" s="120"/>
      <c r="L208" s="98" t="s">
        <v>39</v>
      </c>
      <c r="M208" s="99">
        <v>6624</v>
      </c>
      <c r="N208" s="99">
        <v>2208</v>
      </c>
      <c r="O208" s="99">
        <f t="shared" si="24"/>
        <v>99.36</v>
      </c>
      <c r="P208" s="99">
        <f t="shared" si="25"/>
        <v>2307.36</v>
      </c>
      <c r="Q208" s="99"/>
      <c r="R208" s="99"/>
      <c r="S208" s="100"/>
      <c r="T208" s="101"/>
    </row>
    <row r="209" spans="2:20" x14ac:dyDescent="0.3">
      <c r="B209" s="81"/>
      <c r="C209" s="118"/>
      <c r="D209" s="118"/>
      <c r="E209" s="118"/>
      <c r="F209" s="118"/>
      <c r="G209" s="118"/>
      <c r="H209" s="118"/>
      <c r="I209" s="119"/>
      <c r="J209" s="120"/>
      <c r="L209" s="98" t="s">
        <v>40</v>
      </c>
      <c r="M209" s="99">
        <v>4416</v>
      </c>
      <c r="N209" s="99">
        <v>2208</v>
      </c>
      <c r="O209" s="99">
        <f t="shared" si="24"/>
        <v>66.239999999999995</v>
      </c>
      <c r="P209" s="99">
        <f t="shared" si="25"/>
        <v>2274.2399999999998</v>
      </c>
      <c r="Q209" s="99"/>
      <c r="R209" s="99"/>
      <c r="S209" s="100"/>
      <c r="T209" s="101"/>
    </row>
    <row r="210" spans="2:20" ht="15" thickBot="1" x14ac:dyDescent="0.35">
      <c r="B210" s="81"/>
      <c r="C210" s="118"/>
      <c r="D210" s="118"/>
      <c r="E210" s="118"/>
      <c r="F210" s="118"/>
      <c r="G210" s="118"/>
      <c r="H210" s="118"/>
      <c r="I210" s="119"/>
      <c r="J210" s="120"/>
      <c r="L210" s="103" t="s">
        <v>41</v>
      </c>
      <c r="M210" s="102">
        <v>2208</v>
      </c>
      <c r="N210" s="99">
        <v>2208</v>
      </c>
      <c r="O210" s="102">
        <f t="shared" si="24"/>
        <v>33.119999999999997</v>
      </c>
      <c r="P210" s="102">
        <f t="shared" si="25"/>
        <v>2241.12</v>
      </c>
      <c r="Q210" s="102"/>
      <c r="R210" s="102"/>
      <c r="S210" s="104"/>
      <c r="T210" s="105" t="s">
        <v>42</v>
      </c>
    </row>
    <row r="211" spans="2:20" x14ac:dyDescent="0.3">
      <c r="P211" s="38">
        <f>SUM(P187:P210)</f>
        <v>62928.453333333338</v>
      </c>
    </row>
    <row r="214" spans="2:20" x14ac:dyDescent="0.3">
      <c r="B214" s="77" t="s">
        <v>0</v>
      </c>
      <c r="C214" s="229" t="s">
        <v>164</v>
      </c>
      <c r="D214" s="230"/>
      <c r="E214" s="230"/>
      <c r="F214" s="117" t="s">
        <v>195</v>
      </c>
      <c r="G214" s="80"/>
      <c r="H214" s="231" t="s">
        <v>1</v>
      </c>
      <c r="I214" s="231"/>
      <c r="J214" s="82">
        <v>7000</v>
      </c>
      <c r="L214" s="77" t="s">
        <v>0</v>
      </c>
      <c r="M214" s="229" t="s">
        <v>164</v>
      </c>
      <c r="N214" s="230"/>
      <c r="O214" s="230"/>
      <c r="P214" s="117" t="s">
        <v>195</v>
      </c>
      <c r="Q214" s="80"/>
      <c r="R214" s="231" t="s">
        <v>1</v>
      </c>
      <c r="S214" s="231"/>
      <c r="T214" s="82">
        <v>7000</v>
      </c>
    </row>
    <row r="215" spans="2:20" x14ac:dyDescent="0.3">
      <c r="B215" s="77" t="s">
        <v>2</v>
      </c>
      <c r="C215" s="83"/>
      <c r="D215" s="79"/>
      <c r="E215" s="83"/>
      <c r="F215" s="81"/>
      <c r="G215" s="81"/>
      <c r="H215" s="84"/>
      <c r="I215" s="81" t="s">
        <v>3</v>
      </c>
      <c r="J215" s="85" t="s">
        <v>161</v>
      </c>
      <c r="L215" s="77" t="s">
        <v>2</v>
      </c>
      <c r="M215" s="83"/>
      <c r="N215" s="79"/>
      <c r="O215" s="83"/>
      <c r="P215" s="81"/>
      <c r="Q215" s="81"/>
      <c r="R215" s="84"/>
      <c r="S215" s="81" t="s">
        <v>3</v>
      </c>
      <c r="T215" s="85" t="s">
        <v>161</v>
      </c>
    </row>
    <row r="216" spans="2:20" x14ac:dyDescent="0.3">
      <c r="B216" s="77" t="s">
        <v>4</v>
      </c>
      <c r="C216" s="78"/>
      <c r="D216" s="79"/>
      <c r="E216" s="78"/>
      <c r="F216" s="231" t="s">
        <v>5</v>
      </c>
      <c r="G216" s="231"/>
      <c r="H216" s="231"/>
      <c r="I216" s="231"/>
      <c r="J216" s="86">
        <v>1.4999999999999999E-2</v>
      </c>
      <c r="L216" s="77" t="s">
        <v>4</v>
      </c>
      <c r="M216" s="78"/>
      <c r="N216" s="79"/>
      <c r="O216" s="78"/>
      <c r="P216" s="231" t="s">
        <v>5</v>
      </c>
      <c r="Q216" s="231"/>
      <c r="R216" s="231"/>
      <c r="S216" s="231"/>
      <c r="T216" s="86">
        <v>1.4999999999999999E-2</v>
      </c>
    </row>
    <row r="217" spans="2:20" ht="15" thickBot="1" x14ac:dyDescent="0.35">
      <c r="B217" s="77" t="s">
        <v>6</v>
      </c>
      <c r="C217" s="232"/>
      <c r="D217" s="232"/>
      <c r="E217" s="233" t="s">
        <v>7</v>
      </c>
      <c r="F217" s="233"/>
      <c r="G217" s="233"/>
      <c r="H217" s="233"/>
      <c r="I217" s="233"/>
      <c r="J217" s="78">
        <v>3</v>
      </c>
      <c r="L217" s="77" t="s">
        <v>6</v>
      </c>
      <c r="M217" s="232"/>
      <c r="N217" s="232"/>
      <c r="O217" s="233" t="s">
        <v>7</v>
      </c>
      <c r="P217" s="233"/>
      <c r="Q217" s="233"/>
      <c r="R217" s="233"/>
      <c r="S217" s="233"/>
      <c r="T217" s="78">
        <v>3</v>
      </c>
    </row>
    <row r="218" spans="2:20" ht="41.4" thickBot="1" x14ac:dyDescent="0.35">
      <c r="B218" s="89" t="s">
        <v>8</v>
      </c>
      <c r="C218" s="89" t="s">
        <v>9</v>
      </c>
      <c r="D218" s="89" t="s">
        <v>10</v>
      </c>
      <c r="E218" s="90" t="s">
        <v>11</v>
      </c>
      <c r="F218" s="91" t="s">
        <v>12</v>
      </c>
      <c r="G218" s="92" t="s">
        <v>13</v>
      </c>
      <c r="H218" s="92" t="s">
        <v>14</v>
      </c>
      <c r="I218" s="92" t="s">
        <v>15</v>
      </c>
      <c r="J218" s="93" t="s">
        <v>16</v>
      </c>
      <c r="L218" s="89" t="s">
        <v>8</v>
      </c>
      <c r="M218" s="89" t="s">
        <v>9</v>
      </c>
      <c r="N218" s="89" t="s">
        <v>10</v>
      </c>
      <c r="O218" s="90" t="s">
        <v>11</v>
      </c>
      <c r="P218" s="91" t="s">
        <v>12</v>
      </c>
      <c r="Q218" s="92" t="s">
        <v>13</v>
      </c>
      <c r="R218" s="92" t="s">
        <v>14</v>
      </c>
      <c r="S218" s="92" t="s">
        <v>15</v>
      </c>
      <c r="T218" s="93" t="s">
        <v>16</v>
      </c>
    </row>
    <row r="219" spans="2:20" x14ac:dyDescent="0.3">
      <c r="B219" s="94" t="s">
        <v>17</v>
      </c>
      <c r="C219" s="95">
        <f>J214</f>
        <v>7000</v>
      </c>
      <c r="D219" s="95">
        <f>J214/J217</f>
        <v>2333.3333333333335</v>
      </c>
      <c r="E219" s="95">
        <f>(C219*0.015)</f>
        <v>105</v>
      </c>
      <c r="F219" s="95">
        <f>SUM(D219:E219)</f>
        <v>2438.3333333333335</v>
      </c>
      <c r="G219" s="95"/>
      <c r="H219" s="95"/>
      <c r="I219" s="96"/>
      <c r="J219" s="97"/>
      <c r="L219" s="94" t="s">
        <v>17</v>
      </c>
      <c r="M219" s="95">
        <f>T214</f>
        <v>7000</v>
      </c>
      <c r="N219" s="95">
        <f>T214/T217</f>
        <v>2333.3333333333335</v>
      </c>
      <c r="O219" s="95">
        <f>(M219*0.015)</f>
        <v>105</v>
      </c>
      <c r="P219" s="95">
        <f>SUM(N219:O219)</f>
        <v>2438.3333333333335</v>
      </c>
      <c r="Q219" s="95"/>
      <c r="R219" s="95"/>
      <c r="S219" s="96"/>
      <c r="T219" s="97"/>
    </row>
    <row r="220" spans="2:20" x14ac:dyDescent="0.3">
      <c r="B220" s="98" t="s">
        <v>18</v>
      </c>
      <c r="C220" s="99">
        <v>4666</v>
      </c>
      <c r="D220" s="99">
        <v>2333</v>
      </c>
      <c r="E220" s="99">
        <f>(C220*0.015)</f>
        <v>69.989999999999995</v>
      </c>
      <c r="F220" s="99">
        <f>SUM(D220:E220)</f>
        <v>2402.9899999999998</v>
      </c>
      <c r="G220" s="99"/>
      <c r="H220" s="99"/>
      <c r="I220" s="100"/>
      <c r="J220" s="101"/>
      <c r="L220" s="98" t="s">
        <v>18</v>
      </c>
      <c r="M220" s="99">
        <v>4666</v>
      </c>
      <c r="N220" s="99">
        <v>2333</v>
      </c>
      <c r="O220" s="99">
        <f>(M220*0.015)</f>
        <v>69.989999999999995</v>
      </c>
      <c r="P220" s="99">
        <f>SUM(N220:O220)</f>
        <v>2402.9899999999998</v>
      </c>
      <c r="Q220" s="99"/>
      <c r="R220" s="99"/>
      <c r="S220" s="100"/>
      <c r="T220" s="101"/>
    </row>
    <row r="221" spans="2:20" x14ac:dyDescent="0.3">
      <c r="B221" s="98" t="s">
        <v>19</v>
      </c>
      <c r="C221" s="99">
        <v>2333</v>
      </c>
      <c r="D221" s="99">
        <v>2333</v>
      </c>
      <c r="E221" s="99">
        <f>(C221*0.015)</f>
        <v>34.994999999999997</v>
      </c>
      <c r="F221" s="99">
        <f>SUM(D221:E221)</f>
        <v>2367.9949999999999</v>
      </c>
      <c r="G221" s="99"/>
      <c r="H221" s="99"/>
      <c r="I221" s="100"/>
      <c r="J221" s="101" t="s">
        <v>42</v>
      </c>
      <c r="L221" s="98" t="s">
        <v>19</v>
      </c>
      <c r="M221" s="99">
        <v>2333</v>
      </c>
      <c r="N221" s="99">
        <v>2333</v>
      </c>
      <c r="O221" s="99">
        <f>(M221*0.015)</f>
        <v>34.994999999999997</v>
      </c>
      <c r="P221" s="99">
        <f>SUM(N221:O221)</f>
        <v>2367.9949999999999</v>
      </c>
      <c r="Q221" s="99"/>
      <c r="R221" s="99"/>
      <c r="S221" s="100"/>
      <c r="T221" s="101" t="s">
        <v>42</v>
      </c>
    </row>
    <row r="226" spans="1:20" x14ac:dyDescent="0.3">
      <c r="A226" s="1"/>
      <c r="B226" s="77" t="s">
        <v>0</v>
      </c>
      <c r="C226" s="77" t="s">
        <v>142</v>
      </c>
      <c r="D226" s="112"/>
      <c r="E226" s="112"/>
      <c r="F226" s="79"/>
      <c r="G226" s="80"/>
      <c r="I226" s="81" t="s">
        <v>1</v>
      </c>
      <c r="J226" s="82">
        <v>70000</v>
      </c>
      <c r="L226" s="77" t="s">
        <v>0</v>
      </c>
      <c r="M226" s="77" t="s">
        <v>142</v>
      </c>
      <c r="N226" s="112"/>
      <c r="O226" s="112"/>
      <c r="P226" s="79"/>
      <c r="Q226" s="80"/>
      <c r="S226" s="81" t="s">
        <v>1</v>
      </c>
      <c r="T226" s="82">
        <v>70000</v>
      </c>
    </row>
    <row r="227" spans="1:20" x14ac:dyDescent="0.3">
      <c r="A227" s="1"/>
      <c r="B227" s="77" t="s">
        <v>2</v>
      </c>
      <c r="C227" s="83"/>
      <c r="D227" s="79"/>
      <c r="E227" s="83"/>
      <c r="F227" s="81"/>
      <c r="G227" s="81"/>
      <c r="H227" s="84"/>
      <c r="I227" s="81" t="s">
        <v>3</v>
      </c>
      <c r="J227" s="85" t="s">
        <v>185</v>
      </c>
      <c r="L227" s="77" t="s">
        <v>2</v>
      </c>
      <c r="M227" s="83"/>
      <c r="N227" s="79"/>
      <c r="O227" s="83"/>
      <c r="P227" s="81"/>
      <c r="Q227" s="81"/>
      <c r="R227" s="84"/>
      <c r="S227" s="81" t="s">
        <v>3</v>
      </c>
      <c r="T227" s="85" t="s">
        <v>185</v>
      </c>
    </row>
    <row r="228" spans="1:20" x14ac:dyDescent="0.3">
      <c r="A228" s="1"/>
      <c r="B228" s="77" t="s">
        <v>4</v>
      </c>
      <c r="C228" s="78"/>
      <c r="D228" s="79"/>
      <c r="E228" s="78"/>
      <c r="F228" s="81"/>
      <c r="G228" s="81"/>
      <c r="H228" s="81"/>
      <c r="I228" s="81" t="s">
        <v>5</v>
      </c>
      <c r="J228" s="86">
        <v>1.4999999999999999E-2</v>
      </c>
      <c r="L228" s="77" t="s">
        <v>4</v>
      </c>
      <c r="M228" s="78"/>
      <c r="N228" s="79"/>
      <c r="O228" s="78"/>
      <c r="P228" s="81"/>
      <c r="Q228" s="81"/>
      <c r="R228" s="81"/>
      <c r="S228" s="81" t="s">
        <v>5</v>
      </c>
      <c r="T228" s="86">
        <v>1.4999999999999999E-2</v>
      </c>
    </row>
    <row r="229" spans="1:20" ht="15" thickBot="1" x14ac:dyDescent="0.35">
      <c r="A229" s="1"/>
      <c r="B229" s="77" t="s">
        <v>6</v>
      </c>
      <c r="C229" s="87"/>
      <c r="D229" s="87"/>
      <c r="E229" s="88"/>
      <c r="F229" s="88"/>
      <c r="G229" s="88"/>
      <c r="H229" s="88"/>
      <c r="I229" s="88" t="s">
        <v>7</v>
      </c>
      <c r="J229" s="78">
        <v>36</v>
      </c>
      <c r="L229" s="77" t="s">
        <v>6</v>
      </c>
      <c r="M229" s="87"/>
      <c r="N229" s="87"/>
      <c r="O229" s="88"/>
      <c r="P229" s="88"/>
      <c r="Q229" s="88"/>
      <c r="R229" s="88"/>
      <c r="S229" s="88" t="s">
        <v>7</v>
      </c>
      <c r="T229" s="78">
        <v>36</v>
      </c>
    </row>
    <row r="230" spans="1:20" ht="41.4" thickBot="1" x14ac:dyDescent="0.35">
      <c r="A230" s="1"/>
      <c r="B230" s="89" t="s">
        <v>8</v>
      </c>
      <c r="C230" s="89" t="s">
        <v>9</v>
      </c>
      <c r="D230" s="89" t="s">
        <v>10</v>
      </c>
      <c r="E230" s="90" t="s">
        <v>11</v>
      </c>
      <c r="F230" s="91" t="s">
        <v>12</v>
      </c>
      <c r="G230" s="92" t="s">
        <v>13</v>
      </c>
      <c r="H230" s="92" t="s">
        <v>14</v>
      </c>
      <c r="I230" s="92" t="s">
        <v>15</v>
      </c>
      <c r="J230" s="93" t="s">
        <v>16</v>
      </c>
      <c r="L230" s="89" t="s">
        <v>8</v>
      </c>
      <c r="M230" s="89" t="s">
        <v>9</v>
      </c>
      <c r="N230" s="89" t="s">
        <v>10</v>
      </c>
      <c r="O230" s="90" t="s">
        <v>11</v>
      </c>
      <c r="P230" s="91" t="s">
        <v>12</v>
      </c>
      <c r="Q230" s="92" t="s">
        <v>13</v>
      </c>
      <c r="R230" s="92" t="s">
        <v>14</v>
      </c>
      <c r="S230" s="92" t="s">
        <v>15</v>
      </c>
      <c r="T230" s="93" t="s">
        <v>16</v>
      </c>
    </row>
    <row r="231" spans="1:20" x14ac:dyDescent="0.3">
      <c r="A231" s="1"/>
      <c r="B231" s="94" t="s">
        <v>17</v>
      </c>
      <c r="C231" s="95">
        <f>J226</f>
        <v>70000</v>
      </c>
      <c r="D231" s="95">
        <v>1944</v>
      </c>
      <c r="E231" s="95">
        <f t="shared" ref="E231:E254" si="26">(C231*0.015)</f>
        <v>1050</v>
      </c>
      <c r="F231" s="95">
        <f t="shared" ref="F231:F254" si="27">SUM(D231:E231)</f>
        <v>2994</v>
      </c>
      <c r="G231" s="95"/>
      <c r="H231" s="95"/>
      <c r="I231" s="96"/>
      <c r="J231" s="97"/>
      <c r="L231" s="94" t="s">
        <v>17</v>
      </c>
      <c r="M231" s="95">
        <f>T226</f>
        <v>70000</v>
      </c>
      <c r="N231" s="95">
        <v>1944</v>
      </c>
      <c r="O231" s="95">
        <f t="shared" ref="O231:O254" si="28">(M231*0.015)</f>
        <v>1050</v>
      </c>
      <c r="P231" s="95">
        <f t="shared" ref="P231:P254" si="29">SUM(N231:O231)</f>
        <v>2994</v>
      </c>
      <c r="Q231" s="95"/>
      <c r="R231" s="95"/>
      <c r="S231" s="96"/>
      <c r="T231" s="97"/>
    </row>
    <row r="232" spans="1:20" x14ac:dyDescent="0.3">
      <c r="A232" s="1"/>
      <c r="B232" s="98" t="s">
        <v>18</v>
      </c>
      <c r="C232" s="99">
        <v>68040</v>
      </c>
      <c r="D232" s="99">
        <v>1944</v>
      </c>
      <c r="E232" s="99">
        <f t="shared" si="26"/>
        <v>1020.5999999999999</v>
      </c>
      <c r="F232" s="99">
        <f t="shared" si="27"/>
        <v>2964.6</v>
      </c>
      <c r="G232" s="99"/>
      <c r="H232" s="99"/>
      <c r="I232" s="100"/>
      <c r="J232" s="101"/>
      <c r="L232" s="98" t="s">
        <v>18</v>
      </c>
      <c r="M232" s="99">
        <v>68040</v>
      </c>
      <c r="N232" s="99">
        <v>1944</v>
      </c>
      <c r="O232" s="99">
        <f t="shared" si="28"/>
        <v>1020.5999999999999</v>
      </c>
      <c r="P232" s="99">
        <f t="shared" si="29"/>
        <v>2964.6</v>
      </c>
      <c r="Q232" s="99"/>
      <c r="R232" s="99"/>
      <c r="S232" s="100"/>
      <c r="T232" s="101"/>
    </row>
    <row r="233" spans="1:20" x14ac:dyDescent="0.3">
      <c r="B233" s="98" t="s">
        <v>19</v>
      </c>
      <c r="C233" s="99">
        <v>66096</v>
      </c>
      <c r="D233" s="99">
        <v>1944</v>
      </c>
      <c r="E233" s="99">
        <f t="shared" si="26"/>
        <v>991.43999999999994</v>
      </c>
      <c r="F233" s="99">
        <f t="shared" si="27"/>
        <v>2935.44</v>
      </c>
      <c r="G233" s="99"/>
      <c r="H233" s="99"/>
      <c r="I233" s="100"/>
      <c r="J233" s="101"/>
      <c r="L233" s="98" t="s">
        <v>19</v>
      </c>
      <c r="M233" s="99">
        <v>66096</v>
      </c>
      <c r="N233" s="99">
        <v>1944</v>
      </c>
      <c r="O233" s="99">
        <f t="shared" si="28"/>
        <v>991.43999999999994</v>
      </c>
      <c r="P233" s="99">
        <f t="shared" si="29"/>
        <v>2935.44</v>
      </c>
      <c r="Q233" s="99"/>
      <c r="R233" s="99"/>
      <c r="S233" s="100"/>
      <c r="T233" s="101"/>
    </row>
    <row r="234" spans="1:20" x14ac:dyDescent="0.3">
      <c r="B234" s="98" t="s">
        <v>20</v>
      </c>
      <c r="C234" s="99">
        <v>64152</v>
      </c>
      <c r="D234" s="99">
        <v>1944</v>
      </c>
      <c r="E234" s="99">
        <f t="shared" si="26"/>
        <v>962.28</v>
      </c>
      <c r="F234" s="99">
        <f t="shared" si="27"/>
        <v>2906.2799999999997</v>
      </c>
      <c r="G234" s="99"/>
      <c r="H234" s="99"/>
      <c r="I234" s="100"/>
      <c r="J234" s="101"/>
      <c r="L234" s="98" t="s">
        <v>20</v>
      </c>
      <c r="M234" s="99">
        <v>64152</v>
      </c>
      <c r="N234" s="99">
        <v>1944</v>
      </c>
      <c r="O234" s="99">
        <f t="shared" si="28"/>
        <v>962.28</v>
      </c>
      <c r="P234" s="99">
        <f t="shared" si="29"/>
        <v>2906.2799999999997</v>
      </c>
      <c r="Q234" s="99"/>
      <c r="R234" s="99"/>
      <c r="S234" s="100"/>
      <c r="T234" s="101"/>
    </row>
    <row r="235" spans="1:20" x14ac:dyDescent="0.3">
      <c r="B235" s="98" t="s">
        <v>21</v>
      </c>
      <c r="C235" s="99">
        <v>62208</v>
      </c>
      <c r="D235" s="99">
        <v>1944</v>
      </c>
      <c r="E235" s="99">
        <f t="shared" si="26"/>
        <v>933.12</v>
      </c>
      <c r="F235" s="99">
        <f t="shared" si="27"/>
        <v>2877.12</v>
      </c>
      <c r="G235" s="99"/>
      <c r="H235" s="99"/>
      <c r="I235" s="100"/>
      <c r="J235" s="101"/>
      <c r="L235" s="98" t="s">
        <v>21</v>
      </c>
      <c r="M235" s="99">
        <v>62208</v>
      </c>
      <c r="N235" s="99">
        <v>1944</v>
      </c>
      <c r="O235" s="99">
        <f t="shared" si="28"/>
        <v>933.12</v>
      </c>
      <c r="P235" s="99">
        <f t="shared" si="29"/>
        <v>2877.12</v>
      </c>
      <c r="Q235" s="99"/>
      <c r="R235" s="99"/>
      <c r="S235" s="100"/>
      <c r="T235" s="101"/>
    </row>
    <row r="236" spans="1:20" x14ac:dyDescent="0.3">
      <c r="B236" s="98" t="s">
        <v>23</v>
      </c>
      <c r="C236" s="99">
        <v>60264</v>
      </c>
      <c r="D236" s="99">
        <v>1944</v>
      </c>
      <c r="E236" s="99">
        <f t="shared" si="26"/>
        <v>903.95999999999992</v>
      </c>
      <c r="F236" s="99">
        <f t="shared" si="27"/>
        <v>2847.96</v>
      </c>
      <c r="G236" s="99"/>
      <c r="H236" s="99"/>
      <c r="I236" s="100"/>
      <c r="J236" s="101"/>
      <c r="L236" s="98" t="s">
        <v>23</v>
      </c>
      <c r="M236" s="99">
        <v>60264</v>
      </c>
      <c r="N236" s="99">
        <v>1944</v>
      </c>
      <c r="O236" s="99">
        <f t="shared" si="28"/>
        <v>903.95999999999992</v>
      </c>
      <c r="P236" s="99">
        <f t="shared" si="29"/>
        <v>2847.96</v>
      </c>
      <c r="Q236" s="99"/>
      <c r="R236" s="99"/>
      <c r="S236" s="100"/>
      <c r="T236" s="101"/>
    </row>
    <row r="237" spans="1:20" x14ac:dyDescent="0.3">
      <c r="B237" s="98" t="s">
        <v>24</v>
      </c>
      <c r="C237" s="99">
        <v>58320</v>
      </c>
      <c r="D237" s="99">
        <v>1944</v>
      </c>
      <c r="E237" s="99">
        <f t="shared" si="26"/>
        <v>874.8</v>
      </c>
      <c r="F237" s="99">
        <f t="shared" si="27"/>
        <v>2818.8</v>
      </c>
      <c r="G237" s="99"/>
      <c r="H237" s="99"/>
      <c r="I237" s="100"/>
      <c r="J237" s="101"/>
      <c r="L237" s="98" t="s">
        <v>24</v>
      </c>
      <c r="M237" s="99">
        <v>58320</v>
      </c>
      <c r="N237" s="99">
        <v>1944</v>
      </c>
      <c r="O237" s="99">
        <f t="shared" si="28"/>
        <v>874.8</v>
      </c>
      <c r="P237" s="99">
        <f t="shared" si="29"/>
        <v>2818.8</v>
      </c>
      <c r="Q237" s="99"/>
      <c r="R237" s="99"/>
      <c r="S237" s="100"/>
      <c r="T237" s="101"/>
    </row>
    <row r="238" spans="1:20" x14ac:dyDescent="0.3">
      <c r="B238" s="98" t="s">
        <v>25</v>
      </c>
      <c r="C238" s="99">
        <v>56376</v>
      </c>
      <c r="D238" s="99">
        <v>1944</v>
      </c>
      <c r="E238" s="99">
        <f t="shared" si="26"/>
        <v>845.64</v>
      </c>
      <c r="F238" s="99">
        <f t="shared" si="27"/>
        <v>2789.64</v>
      </c>
      <c r="G238" s="99"/>
      <c r="H238" s="99"/>
      <c r="I238" s="100"/>
      <c r="J238" s="101"/>
      <c r="L238" s="98" t="s">
        <v>25</v>
      </c>
      <c r="M238" s="99">
        <v>56376</v>
      </c>
      <c r="N238" s="99">
        <v>1944</v>
      </c>
      <c r="O238" s="99">
        <f t="shared" si="28"/>
        <v>845.64</v>
      </c>
      <c r="P238" s="99">
        <f t="shared" si="29"/>
        <v>2789.64</v>
      </c>
      <c r="Q238" s="99"/>
      <c r="R238" s="99"/>
      <c r="S238" s="100"/>
      <c r="T238" s="101"/>
    </row>
    <row r="239" spans="1:20" ht="15" thickBot="1" x14ac:dyDescent="0.35">
      <c r="B239" s="98" t="s">
        <v>26</v>
      </c>
      <c r="C239" s="99">
        <v>54432</v>
      </c>
      <c r="D239" s="99">
        <v>1944</v>
      </c>
      <c r="E239" s="99">
        <f t="shared" si="26"/>
        <v>816.48</v>
      </c>
      <c r="F239" s="99">
        <f t="shared" si="27"/>
        <v>2760.48</v>
      </c>
      <c r="G239" s="99"/>
      <c r="H239" s="99"/>
      <c r="I239" s="100"/>
      <c r="J239" s="101"/>
      <c r="L239" s="98" t="s">
        <v>26</v>
      </c>
      <c r="M239" s="99">
        <v>54432</v>
      </c>
      <c r="N239" s="99">
        <v>1944</v>
      </c>
      <c r="O239" s="99">
        <f t="shared" si="28"/>
        <v>816.48</v>
      </c>
      <c r="P239" s="99">
        <f t="shared" si="29"/>
        <v>2760.48</v>
      </c>
      <c r="Q239" s="99"/>
      <c r="R239" s="99"/>
      <c r="S239" s="100"/>
      <c r="T239" s="101"/>
    </row>
    <row r="240" spans="1:20" x14ac:dyDescent="0.3">
      <c r="B240" s="98" t="s">
        <v>27</v>
      </c>
      <c r="C240" s="99">
        <v>52488</v>
      </c>
      <c r="D240" s="95">
        <v>1944</v>
      </c>
      <c r="E240" s="99">
        <f t="shared" si="26"/>
        <v>787.31999999999994</v>
      </c>
      <c r="F240" s="99">
        <f t="shared" si="27"/>
        <v>2731.3199999999997</v>
      </c>
      <c r="G240" s="99"/>
      <c r="H240" s="99"/>
      <c r="I240" s="100"/>
      <c r="J240" s="101"/>
      <c r="L240" s="98" t="s">
        <v>27</v>
      </c>
      <c r="M240" s="99">
        <v>52488</v>
      </c>
      <c r="N240" s="95">
        <v>1944</v>
      </c>
      <c r="O240" s="99">
        <f t="shared" si="28"/>
        <v>787.31999999999994</v>
      </c>
      <c r="P240" s="99">
        <f t="shared" si="29"/>
        <v>2731.3199999999997</v>
      </c>
      <c r="Q240" s="99"/>
      <c r="R240" s="99"/>
      <c r="S240" s="100"/>
      <c r="T240" s="101"/>
    </row>
    <row r="241" spans="2:20" x14ac:dyDescent="0.3">
      <c r="B241" s="98" t="s">
        <v>28</v>
      </c>
      <c r="C241" s="99">
        <v>50544</v>
      </c>
      <c r="D241" s="99">
        <v>1944</v>
      </c>
      <c r="E241" s="99">
        <f t="shared" si="26"/>
        <v>758.16</v>
      </c>
      <c r="F241" s="99">
        <f t="shared" si="27"/>
        <v>2702.16</v>
      </c>
      <c r="G241" s="99"/>
      <c r="H241" s="99"/>
      <c r="I241" s="100"/>
      <c r="J241" s="101"/>
      <c r="L241" s="98" t="s">
        <v>28</v>
      </c>
      <c r="M241" s="99">
        <v>50544</v>
      </c>
      <c r="N241" s="99">
        <v>1944</v>
      </c>
      <c r="O241" s="99">
        <f t="shared" si="28"/>
        <v>758.16</v>
      </c>
      <c r="P241" s="99">
        <f t="shared" si="29"/>
        <v>2702.16</v>
      </c>
      <c r="Q241" s="99"/>
      <c r="R241" s="99"/>
      <c r="S241" s="100"/>
      <c r="T241" s="101"/>
    </row>
    <row r="242" spans="2:20" x14ac:dyDescent="0.3">
      <c r="B242" s="98" t="s">
        <v>29</v>
      </c>
      <c r="C242" s="99">
        <v>48600</v>
      </c>
      <c r="D242" s="99">
        <v>1944</v>
      </c>
      <c r="E242" s="99">
        <f t="shared" si="26"/>
        <v>729</v>
      </c>
      <c r="F242" s="99">
        <f t="shared" si="27"/>
        <v>2673</v>
      </c>
      <c r="G242" s="99"/>
      <c r="H242" s="99"/>
      <c r="I242" s="100"/>
      <c r="J242" s="101"/>
      <c r="L242" s="98" t="s">
        <v>29</v>
      </c>
      <c r="M242" s="99">
        <v>48600</v>
      </c>
      <c r="N242" s="99">
        <v>1944</v>
      </c>
      <c r="O242" s="99">
        <f t="shared" si="28"/>
        <v>729</v>
      </c>
      <c r="P242" s="99">
        <f t="shared" si="29"/>
        <v>2673</v>
      </c>
      <c r="Q242" s="99"/>
      <c r="R242" s="99"/>
      <c r="S242" s="100"/>
      <c r="T242" s="101"/>
    </row>
    <row r="243" spans="2:20" x14ac:dyDescent="0.3">
      <c r="B243" s="98" t="s">
        <v>30</v>
      </c>
      <c r="C243" s="99">
        <v>46656</v>
      </c>
      <c r="D243" s="99">
        <v>1944</v>
      </c>
      <c r="E243" s="99">
        <f t="shared" si="26"/>
        <v>699.83999999999992</v>
      </c>
      <c r="F243" s="99">
        <f t="shared" si="27"/>
        <v>2643.84</v>
      </c>
      <c r="G243" s="99"/>
      <c r="H243" s="99"/>
      <c r="I243" s="100"/>
      <c r="J243" s="101"/>
      <c r="L243" s="98" t="s">
        <v>30</v>
      </c>
      <c r="M243" s="99">
        <v>46656</v>
      </c>
      <c r="N243" s="99">
        <v>1944</v>
      </c>
      <c r="O243" s="99">
        <f t="shared" si="28"/>
        <v>699.83999999999992</v>
      </c>
      <c r="P243" s="99">
        <f t="shared" si="29"/>
        <v>2643.84</v>
      </c>
      <c r="Q243" s="99"/>
      <c r="R243" s="99"/>
      <c r="S243" s="100"/>
      <c r="T243" s="101"/>
    </row>
    <row r="244" spans="2:20" x14ac:dyDescent="0.3">
      <c r="B244" s="98" t="s">
        <v>31</v>
      </c>
      <c r="C244" s="99">
        <v>44712</v>
      </c>
      <c r="D244" s="99">
        <v>1944</v>
      </c>
      <c r="E244" s="99">
        <f t="shared" si="26"/>
        <v>670.68</v>
      </c>
      <c r="F244" s="99">
        <f t="shared" si="27"/>
        <v>2614.6799999999998</v>
      </c>
      <c r="G244" s="99"/>
      <c r="H244" s="99"/>
      <c r="I244" s="100"/>
      <c r="J244" s="101"/>
      <c r="L244" s="98" t="s">
        <v>31</v>
      </c>
      <c r="M244" s="99">
        <v>44712</v>
      </c>
      <c r="N244" s="99">
        <v>1944</v>
      </c>
      <c r="O244" s="99">
        <f t="shared" si="28"/>
        <v>670.68</v>
      </c>
      <c r="P244" s="99">
        <f t="shared" si="29"/>
        <v>2614.6799999999998</v>
      </c>
      <c r="Q244" s="99"/>
      <c r="R244" s="99"/>
      <c r="S244" s="100"/>
      <c r="T244" s="101"/>
    </row>
    <row r="245" spans="2:20" x14ac:dyDescent="0.3">
      <c r="B245" s="98" t="s">
        <v>32</v>
      </c>
      <c r="C245" s="99">
        <v>42768</v>
      </c>
      <c r="D245" s="99">
        <v>1944</v>
      </c>
      <c r="E245" s="99">
        <f t="shared" si="26"/>
        <v>641.52</v>
      </c>
      <c r="F245" s="99">
        <f t="shared" si="27"/>
        <v>2585.52</v>
      </c>
      <c r="G245" s="99"/>
      <c r="H245" s="99"/>
      <c r="I245" s="100"/>
      <c r="J245" s="101"/>
      <c r="L245" s="98" t="s">
        <v>32</v>
      </c>
      <c r="M245" s="99">
        <v>42768</v>
      </c>
      <c r="N245" s="99">
        <v>1944</v>
      </c>
      <c r="O245" s="99">
        <f t="shared" si="28"/>
        <v>641.52</v>
      </c>
      <c r="P245" s="99">
        <f t="shared" si="29"/>
        <v>2585.52</v>
      </c>
      <c r="Q245" s="99"/>
      <c r="R245" s="99"/>
      <c r="S245" s="100"/>
      <c r="T245" s="101"/>
    </row>
    <row r="246" spans="2:20" x14ac:dyDescent="0.3">
      <c r="B246" s="98" t="s">
        <v>33</v>
      </c>
      <c r="C246" s="99">
        <v>40824</v>
      </c>
      <c r="D246" s="99">
        <v>1944</v>
      </c>
      <c r="E246" s="99">
        <f t="shared" si="26"/>
        <v>612.36</v>
      </c>
      <c r="F246" s="99">
        <f t="shared" si="27"/>
        <v>2556.36</v>
      </c>
      <c r="G246" s="99"/>
      <c r="H246" s="99"/>
      <c r="I246" s="100"/>
      <c r="J246" s="101"/>
      <c r="L246" s="98" t="s">
        <v>33</v>
      </c>
      <c r="M246" s="99">
        <v>40824</v>
      </c>
      <c r="N246" s="99">
        <v>1944</v>
      </c>
      <c r="O246" s="99">
        <f t="shared" si="28"/>
        <v>612.36</v>
      </c>
      <c r="P246" s="99">
        <f t="shared" si="29"/>
        <v>2556.36</v>
      </c>
      <c r="Q246" s="99"/>
      <c r="R246" s="99"/>
      <c r="S246" s="100"/>
      <c r="T246" s="101"/>
    </row>
    <row r="247" spans="2:20" ht="15" thickBot="1" x14ac:dyDescent="0.35">
      <c r="B247" s="98" t="s">
        <v>34</v>
      </c>
      <c r="C247" s="99">
        <v>38880</v>
      </c>
      <c r="D247" s="99">
        <v>1944</v>
      </c>
      <c r="E247" s="99">
        <f t="shared" si="26"/>
        <v>583.19999999999993</v>
      </c>
      <c r="F247" s="99">
        <f t="shared" si="27"/>
        <v>2527.1999999999998</v>
      </c>
      <c r="G247" s="99"/>
      <c r="H247" s="99"/>
      <c r="I247" s="100"/>
      <c r="J247" s="101"/>
      <c r="L247" s="98" t="s">
        <v>34</v>
      </c>
      <c r="M247" s="99">
        <v>38880</v>
      </c>
      <c r="N247" s="99">
        <v>1944</v>
      </c>
      <c r="O247" s="99">
        <f t="shared" si="28"/>
        <v>583.19999999999993</v>
      </c>
      <c r="P247" s="99">
        <f t="shared" si="29"/>
        <v>2527.1999999999998</v>
      </c>
      <c r="Q247" s="99"/>
      <c r="R247" s="99"/>
      <c r="S247" s="100"/>
      <c r="T247" s="101"/>
    </row>
    <row r="248" spans="2:20" x14ac:dyDescent="0.3">
      <c r="B248" s="98" t="s">
        <v>35</v>
      </c>
      <c r="C248" s="99">
        <v>36936</v>
      </c>
      <c r="D248" s="95">
        <v>1944</v>
      </c>
      <c r="E248" s="99">
        <f t="shared" si="26"/>
        <v>554.04</v>
      </c>
      <c r="F248" s="99">
        <f t="shared" si="27"/>
        <v>2498.04</v>
      </c>
      <c r="G248" s="99"/>
      <c r="H248" s="99"/>
      <c r="I248" s="100"/>
      <c r="J248" s="101"/>
      <c r="L248" s="98" t="s">
        <v>35</v>
      </c>
      <c r="M248" s="99">
        <v>36936</v>
      </c>
      <c r="N248" s="95">
        <v>1944</v>
      </c>
      <c r="O248" s="99">
        <f t="shared" si="28"/>
        <v>554.04</v>
      </c>
      <c r="P248" s="99">
        <f t="shared" si="29"/>
        <v>2498.04</v>
      </c>
      <c r="Q248" s="99"/>
      <c r="R248" s="99"/>
      <c r="S248" s="100"/>
      <c r="T248" s="101"/>
    </row>
    <row r="249" spans="2:20" x14ac:dyDescent="0.3">
      <c r="B249" s="98" t="s">
        <v>36</v>
      </c>
      <c r="C249" s="99">
        <v>34992</v>
      </c>
      <c r="D249" s="99">
        <v>1944</v>
      </c>
      <c r="E249" s="99">
        <f t="shared" si="26"/>
        <v>524.88</v>
      </c>
      <c r="F249" s="99">
        <f t="shared" si="27"/>
        <v>2468.88</v>
      </c>
      <c r="G249" s="99"/>
      <c r="H249" s="99"/>
      <c r="I249" s="100"/>
      <c r="J249" s="101"/>
      <c r="L249" s="98" t="s">
        <v>36</v>
      </c>
      <c r="M249" s="99">
        <v>34992</v>
      </c>
      <c r="N249" s="99">
        <v>1944</v>
      </c>
      <c r="O249" s="99">
        <f t="shared" si="28"/>
        <v>524.88</v>
      </c>
      <c r="P249" s="99">
        <f t="shared" si="29"/>
        <v>2468.88</v>
      </c>
      <c r="Q249" s="99"/>
      <c r="R249" s="99"/>
      <c r="S249" s="100"/>
      <c r="T249" s="101"/>
    </row>
    <row r="250" spans="2:20" x14ac:dyDescent="0.3">
      <c r="B250" s="98" t="s">
        <v>37</v>
      </c>
      <c r="C250" s="99">
        <v>33048</v>
      </c>
      <c r="D250" s="99">
        <v>1944</v>
      </c>
      <c r="E250" s="99">
        <f t="shared" si="26"/>
        <v>495.71999999999997</v>
      </c>
      <c r="F250" s="99">
        <f t="shared" si="27"/>
        <v>2439.7199999999998</v>
      </c>
      <c r="G250" s="99"/>
      <c r="H250" s="99"/>
      <c r="I250" s="100"/>
      <c r="J250" s="101"/>
      <c r="L250" s="98" t="s">
        <v>37</v>
      </c>
      <c r="M250" s="99">
        <v>33048</v>
      </c>
      <c r="N250" s="99">
        <v>1944</v>
      </c>
      <c r="O250" s="99">
        <f t="shared" si="28"/>
        <v>495.71999999999997</v>
      </c>
      <c r="P250" s="99">
        <f t="shared" si="29"/>
        <v>2439.7199999999998</v>
      </c>
      <c r="Q250" s="99"/>
      <c r="R250" s="99"/>
      <c r="S250" s="100"/>
      <c r="T250" s="101"/>
    </row>
    <row r="251" spans="2:20" x14ac:dyDescent="0.3">
      <c r="B251" s="98" t="s">
        <v>38</v>
      </c>
      <c r="C251" s="99">
        <v>31104</v>
      </c>
      <c r="D251" s="99">
        <v>1944</v>
      </c>
      <c r="E251" s="99">
        <f t="shared" si="26"/>
        <v>466.56</v>
      </c>
      <c r="F251" s="99">
        <f t="shared" si="27"/>
        <v>2410.56</v>
      </c>
      <c r="G251" s="99"/>
      <c r="H251" s="99"/>
      <c r="I251" s="100"/>
      <c r="J251" s="101"/>
      <c r="L251" s="98" t="s">
        <v>38</v>
      </c>
      <c r="M251" s="99">
        <v>31104</v>
      </c>
      <c r="N251" s="99">
        <v>1944</v>
      </c>
      <c r="O251" s="99">
        <f t="shared" si="28"/>
        <v>466.56</v>
      </c>
      <c r="P251" s="99">
        <f t="shared" si="29"/>
        <v>2410.56</v>
      </c>
      <c r="Q251" s="99"/>
      <c r="R251" s="99"/>
      <c r="S251" s="100"/>
      <c r="T251" s="101"/>
    </row>
    <row r="252" spans="2:20" x14ac:dyDescent="0.3">
      <c r="B252" s="98" t="s">
        <v>39</v>
      </c>
      <c r="C252" s="99">
        <v>29160</v>
      </c>
      <c r="D252" s="99">
        <v>1944</v>
      </c>
      <c r="E252" s="99">
        <f t="shared" si="26"/>
        <v>437.4</v>
      </c>
      <c r="F252" s="99">
        <f t="shared" si="27"/>
        <v>2381.4</v>
      </c>
      <c r="G252" s="99"/>
      <c r="H252" s="99"/>
      <c r="I252" s="100"/>
      <c r="J252" s="101"/>
      <c r="L252" s="98" t="s">
        <v>39</v>
      </c>
      <c r="M252" s="99">
        <v>29160</v>
      </c>
      <c r="N252" s="99">
        <v>1944</v>
      </c>
      <c r="O252" s="99">
        <f t="shared" si="28"/>
        <v>437.4</v>
      </c>
      <c r="P252" s="99">
        <f t="shared" si="29"/>
        <v>2381.4</v>
      </c>
      <c r="Q252" s="99"/>
      <c r="R252" s="99"/>
      <c r="S252" s="100"/>
      <c r="T252" s="101"/>
    </row>
    <row r="253" spans="2:20" x14ac:dyDescent="0.3">
      <c r="B253" s="98" t="s">
        <v>40</v>
      </c>
      <c r="C253" s="99">
        <v>27216</v>
      </c>
      <c r="D253" s="99">
        <v>1944</v>
      </c>
      <c r="E253" s="99">
        <f t="shared" si="26"/>
        <v>408.24</v>
      </c>
      <c r="F253" s="99">
        <f t="shared" si="27"/>
        <v>2352.2399999999998</v>
      </c>
      <c r="G253" s="99"/>
      <c r="H253" s="99"/>
      <c r="I253" s="100"/>
      <c r="J253" s="101"/>
      <c r="L253" s="98" t="s">
        <v>40</v>
      </c>
      <c r="M253" s="99">
        <v>27216</v>
      </c>
      <c r="N253" s="99">
        <v>1944</v>
      </c>
      <c r="O253" s="99">
        <f t="shared" si="28"/>
        <v>408.24</v>
      </c>
      <c r="P253" s="99">
        <f t="shared" si="29"/>
        <v>2352.2399999999998</v>
      </c>
      <c r="Q253" s="99"/>
      <c r="R253" s="99"/>
      <c r="S253" s="100"/>
      <c r="T253" s="101"/>
    </row>
    <row r="254" spans="2:20" ht="15" thickBot="1" x14ac:dyDescent="0.35">
      <c r="B254" s="103" t="s">
        <v>41</v>
      </c>
      <c r="C254" s="102">
        <v>25272</v>
      </c>
      <c r="D254" s="99">
        <v>1944</v>
      </c>
      <c r="E254" s="102">
        <f t="shared" si="26"/>
        <v>379.08</v>
      </c>
      <c r="F254" s="102">
        <f t="shared" si="27"/>
        <v>2323.08</v>
      </c>
      <c r="G254" s="102"/>
      <c r="H254" s="102"/>
      <c r="I254" s="104"/>
      <c r="J254" s="105"/>
      <c r="L254" s="103" t="s">
        <v>41</v>
      </c>
      <c r="M254" s="102">
        <v>25272</v>
      </c>
      <c r="N254" s="99">
        <v>1944</v>
      </c>
      <c r="O254" s="102">
        <f t="shared" si="28"/>
        <v>379.08</v>
      </c>
      <c r="P254" s="102">
        <f t="shared" si="29"/>
        <v>2323.08</v>
      </c>
      <c r="Q254" s="102"/>
      <c r="R254" s="102"/>
      <c r="S254" s="104"/>
      <c r="T254" s="105"/>
    </row>
    <row r="255" spans="2:20" x14ac:dyDescent="0.3">
      <c r="D255" s="118"/>
      <c r="N255" s="118"/>
    </row>
    <row r="256" spans="2:20" x14ac:dyDescent="0.3">
      <c r="D256" s="118"/>
      <c r="N256" s="118"/>
    </row>
    <row r="258" spans="1:20" ht="15" thickBot="1" x14ac:dyDescent="0.35"/>
    <row r="259" spans="1:20" x14ac:dyDescent="0.3">
      <c r="B259" s="98" t="s">
        <v>144</v>
      </c>
      <c r="C259" s="99">
        <v>23328</v>
      </c>
      <c r="D259" s="95">
        <v>1944</v>
      </c>
      <c r="E259" s="99">
        <f t="shared" ref="E259:E270" si="30">(C259*0.015)</f>
        <v>349.91999999999996</v>
      </c>
      <c r="F259" s="99">
        <f t="shared" ref="F259:F270" si="31">SUM(D259:E259)</f>
        <v>2293.92</v>
      </c>
      <c r="G259" s="99"/>
      <c r="H259" s="99"/>
      <c r="I259" s="100"/>
      <c r="J259" s="101"/>
      <c r="L259" s="98" t="s">
        <v>144</v>
      </c>
      <c r="M259" s="99">
        <v>23328</v>
      </c>
      <c r="N259" s="95">
        <v>1944</v>
      </c>
      <c r="O259" s="99">
        <f t="shared" ref="O259:O270" si="32">(M259*0.015)</f>
        <v>349.91999999999996</v>
      </c>
      <c r="P259" s="99">
        <f t="shared" ref="P259:P270" si="33">SUM(N259:O259)</f>
        <v>2293.92</v>
      </c>
      <c r="Q259" s="99"/>
      <c r="R259" s="99"/>
      <c r="S259" s="100"/>
      <c r="T259" s="101"/>
    </row>
    <row r="260" spans="1:20" x14ac:dyDescent="0.3">
      <c r="B260" s="98" t="s">
        <v>145</v>
      </c>
      <c r="C260" s="99">
        <v>21384</v>
      </c>
      <c r="D260" s="99">
        <v>1944</v>
      </c>
      <c r="E260" s="99">
        <f t="shared" si="30"/>
        <v>320.76</v>
      </c>
      <c r="F260" s="99">
        <f t="shared" si="31"/>
        <v>2264.7600000000002</v>
      </c>
      <c r="G260" s="99"/>
      <c r="H260" s="99"/>
      <c r="I260" s="100"/>
      <c r="J260" s="101"/>
      <c r="L260" s="98" t="s">
        <v>145</v>
      </c>
      <c r="M260" s="99">
        <v>21384</v>
      </c>
      <c r="N260" s="99">
        <v>1944</v>
      </c>
      <c r="O260" s="99">
        <f t="shared" si="32"/>
        <v>320.76</v>
      </c>
      <c r="P260" s="99">
        <f t="shared" si="33"/>
        <v>2264.7600000000002</v>
      </c>
      <c r="Q260" s="99"/>
      <c r="R260" s="99"/>
      <c r="S260" s="100"/>
      <c r="T260" s="101"/>
    </row>
    <row r="261" spans="1:20" x14ac:dyDescent="0.3">
      <c r="B261" s="98" t="s">
        <v>146</v>
      </c>
      <c r="C261" s="99">
        <v>19440</v>
      </c>
      <c r="D261" s="99">
        <v>1944</v>
      </c>
      <c r="E261" s="99">
        <f t="shared" si="30"/>
        <v>291.59999999999997</v>
      </c>
      <c r="F261" s="99">
        <f t="shared" si="31"/>
        <v>2235.6</v>
      </c>
      <c r="G261" s="99"/>
      <c r="H261" s="99"/>
      <c r="I261" s="100"/>
      <c r="J261" s="101"/>
      <c r="L261" s="98" t="s">
        <v>146</v>
      </c>
      <c r="M261" s="99">
        <v>19440</v>
      </c>
      <c r="N261" s="99">
        <v>1944</v>
      </c>
      <c r="O261" s="99">
        <f t="shared" si="32"/>
        <v>291.59999999999997</v>
      </c>
      <c r="P261" s="99">
        <f t="shared" si="33"/>
        <v>2235.6</v>
      </c>
      <c r="Q261" s="99"/>
      <c r="R261" s="99"/>
      <c r="S261" s="100"/>
      <c r="T261" s="101"/>
    </row>
    <row r="262" spans="1:20" x14ac:dyDescent="0.3">
      <c r="B262" s="98" t="s">
        <v>147</v>
      </c>
      <c r="C262" s="99">
        <v>17496</v>
      </c>
      <c r="D262" s="99">
        <v>1944</v>
      </c>
      <c r="E262" s="99">
        <f t="shared" si="30"/>
        <v>262.44</v>
      </c>
      <c r="F262" s="99">
        <f t="shared" si="31"/>
        <v>2206.44</v>
      </c>
      <c r="G262" s="99"/>
      <c r="H262" s="99"/>
      <c r="I262" s="100"/>
      <c r="J262" s="101"/>
      <c r="L262" s="98" t="s">
        <v>147</v>
      </c>
      <c r="M262" s="99">
        <v>17496</v>
      </c>
      <c r="N262" s="99">
        <v>1944</v>
      </c>
      <c r="O262" s="99">
        <f t="shared" si="32"/>
        <v>262.44</v>
      </c>
      <c r="P262" s="99">
        <f t="shared" si="33"/>
        <v>2206.44</v>
      </c>
      <c r="Q262" s="99"/>
      <c r="R262" s="99"/>
      <c r="S262" s="100"/>
      <c r="T262" s="101"/>
    </row>
    <row r="263" spans="1:20" ht="15" thickBot="1" x14ac:dyDescent="0.35">
      <c r="B263" s="98" t="s">
        <v>148</v>
      </c>
      <c r="C263" s="99">
        <v>15552</v>
      </c>
      <c r="D263" s="99">
        <v>1944</v>
      </c>
      <c r="E263" s="99">
        <f t="shared" si="30"/>
        <v>233.28</v>
      </c>
      <c r="F263" s="99">
        <f t="shared" si="31"/>
        <v>2177.2800000000002</v>
      </c>
      <c r="G263" s="99"/>
      <c r="H263" s="99"/>
      <c r="I263" s="100"/>
      <c r="J263" s="101"/>
      <c r="L263" s="98" t="s">
        <v>148</v>
      </c>
      <c r="M263" s="99">
        <v>15552</v>
      </c>
      <c r="N263" s="99">
        <v>1944</v>
      </c>
      <c r="O263" s="99">
        <f t="shared" si="32"/>
        <v>233.28</v>
      </c>
      <c r="P263" s="99">
        <f t="shared" si="33"/>
        <v>2177.2800000000002</v>
      </c>
      <c r="Q263" s="99"/>
      <c r="R263" s="99"/>
      <c r="S263" s="100"/>
      <c r="T263" s="101"/>
    </row>
    <row r="264" spans="1:20" x14ac:dyDescent="0.3">
      <c r="B264" s="98" t="s">
        <v>149</v>
      </c>
      <c r="C264" s="99">
        <v>13608</v>
      </c>
      <c r="D264" s="95">
        <v>1944</v>
      </c>
      <c r="E264" s="99">
        <f t="shared" si="30"/>
        <v>204.12</v>
      </c>
      <c r="F264" s="99">
        <f t="shared" si="31"/>
        <v>2148.12</v>
      </c>
      <c r="G264" s="99"/>
      <c r="H264" s="99"/>
      <c r="I264" s="100"/>
      <c r="J264" s="101"/>
      <c r="L264" s="98" t="s">
        <v>149</v>
      </c>
      <c r="M264" s="99">
        <v>13608</v>
      </c>
      <c r="N264" s="95">
        <v>1944</v>
      </c>
      <c r="O264" s="99">
        <f t="shared" si="32"/>
        <v>204.12</v>
      </c>
      <c r="P264" s="99">
        <f t="shared" si="33"/>
        <v>2148.12</v>
      </c>
      <c r="Q264" s="99"/>
      <c r="R264" s="99"/>
      <c r="S264" s="100"/>
      <c r="T264" s="101"/>
    </row>
    <row r="265" spans="1:20" x14ac:dyDescent="0.3">
      <c r="B265" s="98" t="s">
        <v>150</v>
      </c>
      <c r="C265" s="99">
        <v>11664</v>
      </c>
      <c r="D265" s="99">
        <v>1944</v>
      </c>
      <c r="E265" s="99">
        <f t="shared" si="30"/>
        <v>174.95999999999998</v>
      </c>
      <c r="F265" s="99">
        <f t="shared" si="31"/>
        <v>2118.96</v>
      </c>
      <c r="G265" s="99"/>
      <c r="H265" s="99"/>
      <c r="I265" s="100"/>
      <c r="J265" s="101"/>
      <c r="L265" s="98" t="s">
        <v>150</v>
      </c>
      <c r="M265" s="99">
        <v>11664</v>
      </c>
      <c r="N265" s="99">
        <v>1944</v>
      </c>
      <c r="O265" s="99">
        <f t="shared" si="32"/>
        <v>174.95999999999998</v>
      </c>
      <c r="P265" s="99">
        <f t="shared" si="33"/>
        <v>2118.96</v>
      </c>
      <c r="Q265" s="99"/>
      <c r="R265" s="99"/>
      <c r="S265" s="100"/>
      <c r="T265" s="101"/>
    </row>
    <row r="266" spans="1:20" x14ac:dyDescent="0.3">
      <c r="B266" s="98" t="s">
        <v>151</v>
      </c>
      <c r="C266" s="99">
        <v>9720</v>
      </c>
      <c r="D266" s="99">
        <v>1944</v>
      </c>
      <c r="E266" s="99">
        <f t="shared" si="30"/>
        <v>145.79999999999998</v>
      </c>
      <c r="F266" s="99">
        <f t="shared" si="31"/>
        <v>2089.8000000000002</v>
      </c>
      <c r="G266" s="99"/>
      <c r="H266" s="99"/>
      <c r="I266" s="100"/>
      <c r="J266" s="101"/>
      <c r="L266" s="98" t="s">
        <v>151</v>
      </c>
      <c r="M266" s="99">
        <v>9720</v>
      </c>
      <c r="N266" s="99">
        <v>1944</v>
      </c>
      <c r="O266" s="99">
        <f t="shared" si="32"/>
        <v>145.79999999999998</v>
      </c>
      <c r="P266" s="99">
        <f t="shared" si="33"/>
        <v>2089.8000000000002</v>
      </c>
      <c r="Q266" s="99"/>
      <c r="R266" s="99"/>
      <c r="S266" s="100"/>
      <c r="T266" s="101"/>
    </row>
    <row r="267" spans="1:20" x14ac:dyDescent="0.3">
      <c r="B267" s="98" t="s">
        <v>152</v>
      </c>
      <c r="C267" s="99">
        <v>7776</v>
      </c>
      <c r="D267" s="99">
        <v>1944</v>
      </c>
      <c r="E267" s="99">
        <f t="shared" si="30"/>
        <v>116.64</v>
      </c>
      <c r="F267" s="99">
        <f t="shared" si="31"/>
        <v>2060.64</v>
      </c>
      <c r="G267" s="99"/>
      <c r="H267" s="99"/>
      <c r="I267" s="100"/>
      <c r="J267" s="101"/>
      <c r="L267" s="98" t="s">
        <v>152</v>
      </c>
      <c r="M267" s="99">
        <v>7776</v>
      </c>
      <c r="N267" s="99">
        <v>1944</v>
      </c>
      <c r="O267" s="99">
        <f t="shared" si="32"/>
        <v>116.64</v>
      </c>
      <c r="P267" s="99">
        <f t="shared" si="33"/>
        <v>2060.64</v>
      </c>
      <c r="Q267" s="99"/>
      <c r="R267" s="99"/>
      <c r="S267" s="100"/>
      <c r="T267" s="101"/>
    </row>
    <row r="268" spans="1:20" x14ac:dyDescent="0.3">
      <c r="B268" s="98" t="s">
        <v>153</v>
      </c>
      <c r="C268" s="99">
        <v>5832</v>
      </c>
      <c r="D268" s="99">
        <v>1944</v>
      </c>
      <c r="E268" s="99">
        <f t="shared" si="30"/>
        <v>87.47999999999999</v>
      </c>
      <c r="F268" s="99">
        <f t="shared" si="31"/>
        <v>2031.48</v>
      </c>
      <c r="G268" s="99"/>
      <c r="H268" s="99"/>
      <c r="I268" s="100"/>
      <c r="J268" s="101"/>
      <c r="L268" s="98" t="s">
        <v>153</v>
      </c>
      <c r="M268" s="99">
        <v>5832</v>
      </c>
      <c r="N268" s="99">
        <v>1944</v>
      </c>
      <c r="O268" s="99">
        <f t="shared" si="32"/>
        <v>87.47999999999999</v>
      </c>
      <c r="P268" s="99">
        <f t="shared" si="33"/>
        <v>2031.48</v>
      </c>
      <c r="Q268" s="99"/>
      <c r="R268" s="99"/>
      <c r="S268" s="100"/>
      <c r="T268" s="101"/>
    </row>
    <row r="269" spans="1:20" x14ac:dyDescent="0.3">
      <c r="B269" s="98" t="s">
        <v>154</v>
      </c>
      <c r="C269" s="99">
        <v>3888</v>
      </c>
      <c r="D269" s="99">
        <v>1944</v>
      </c>
      <c r="E269" s="99">
        <f t="shared" si="30"/>
        <v>58.32</v>
      </c>
      <c r="F269" s="99">
        <f t="shared" si="31"/>
        <v>2002.32</v>
      </c>
      <c r="G269" s="99"/>
      <c r="H269" s="99"/>
      <c r="I269" s="100"/>
      <c r="J269" s="101"/>
      <c r="L269" s="98" t="s">
        <v>154</v>
      </c>
      <c r="M269" s="99">
        <v>3888</v>
      </c>
      <c r="N269" s="99">
        <v>1944</v>
      </c>
      <c r="O269" s="99">
        <f t="shared" si="32"/>
        <v>58.32</v>
      </c>
      <c r="P269" s="99">
        <f t="shared" si="33"/>
        <v>2002.32</v>
      </c>
      <c r="Q269" s="99"/>
      <c r="R269" s="99"/>
      <c r="S269" s="100"/>
      <c r="T269" s="101"/>
    </row>
    <row r="270" spans="1:20" ht="15" thickBot="1" x14ac:dyDescent="0.35">
      <c r="B270" s="103" t="s">
        <v>155</v>
      </c>
      <c r="C270" s="102">
        <v>1944</v>
      </c>
      <c r="D270" s="99">
        <v>1944</v>
      </c>
      <c r="E270" s="102">
        <f t="shared" si="30"/>
        <v>29.16</v>
      </c>
      <c r="F270" s="102">
        <f t="shared" si="31"/>
        <v>1973.16</v>
      </c>
      <c r="G270" s="102"/>
      <c r="H270" s="102"/>
      <c r="I270" s="104"/>
      <c r="J270" s="105" t="s">
        <v>42</v>
      </c>
      <c r="L270" s="103" t="s">
        <v>155</v>
      </c>
      <c r="M270" s="102">
        <v>1944</v>
      </c>
      <c r="N270" s="99">
        <v>1944</v>
      </c>
      <c r="O270" s="102">
        <f t="shared" si="32"/>
        <v>29.16</v>
      </c>
      <c r="P270" s="102">
        <f t="shared" si="33"/>
        <v>1973.16</v>
      </c>
      <c r="Q270" s="102"/>
      <c r="R270" s="102"/>
      <c r="S270" s="104"/>
      <c r="T270" s="105" t="s">
        <v>42</v>
      </c>
    </row>
    <row r="271" spans="1:20" x14ac:dyDescent="0.3">
      <c r="A271" s="1"/>
      <c r="D271" s="118"/>
      <c r="F271" s="38">
        <f>SUM(F231:F270)</f>
        <v>89404.800000000003</v>
      </c>
    </row>
    <row r="272" spans="1:20" x14ac:dyDescent="0.3">
      <c r="A272" s="1"/>
      <c r="D272" s="118"/>
    </row>
    <row r="273" spans="1:20" x14ac:dyDescent="0.3">
      <c r="A273" s="1"/>
      <c r="B273" s="81"/>
      <c r="C273" s="77"/>
      <c r="D273" s="118"/>
      <c r="E273" s="112"/>
      <c r="F273" s="79"/>
      <c r="G273" s="80"/>
      <c r="I273" s="81"/>
      <c r="J273" s="82"/>
    </row>
    <row r="274" spans="1:20" x14ac:dyDescent="0.3">
      <c r="A274" s="1"/>
      <c r="B274" s="81"/>
      <c r="C274" s="78"/>
      <c r="D274" s="118"/>
      <c r="E274" s="81"/>
      <c r="F274" s="81"/>
      <c r="G274" s="81"/>
      <c r="H274" s="81"/>
      <c r="I274" s="81"/>
      <c r="J274" s="78"/>
    </row>
    <row r="275" spans="1:20" x14ac:dyDescent="0.3">
      <c r="D275" s="118"/>
    </row>
    <row r="276" spans="1:20" x14ac:dyDescent="0.3">
      <c r="B276" s="77" t="s">
        <v>0</v>
      </c>
      <c r="C276" s="229" t="s">
        <v>210</v>
      </c>
      <c r="D276" s="230"/>
      <c r="E276" s="230"/>
      <c r="F276" s="79"/>
      <c r="G276" s="80"/>
      <c r="H276" s="231" t="s">
        <v>1</v>
      </c>
      <c r="I276" s="231"/>
      <c r="J276" s="82">
        <v>50000</v>
      </c>
      <c r="L276" s="77" t="s">
        <v>0</v>
      </c>
      <c r="M276" s="229" t="s">
        <v>210</v>
      </c>
      <c r="N276" s="230"/>
      <c r="O276" s="230"/>
      <c r="P276" s="79"/>
      <c r="Q276" s="80"/>
      <c r="R276" s="231" t="s">
        <v>1</v>
      </c>
      <c r="S276" s="231"/>
      <c r="T276" s="82">
        <v>50000</v>
      </c>
    </row>
    <row r="277" spans="1:20" x14ac:dyDescent="0.3">
      <c r="B277" s="77" t="s">
        <v>2</v>
      </c>
      <c r="C277" s="131"/>
      <c r="D277" s="132"/>
      <c r="E277" s="131"/>
      <c r="F277" s="81"/>
      <c r="G277" s="81"/>
      <c r="H277" s="84"/>
      <c r="I277" s="81" t="s">
        <v>3</v>
      </c>
      <c r="J277" s="85" t="s">
        <v>211</v>
      </c>
      <c r="L277" s="77" t="s">
        <v>2</v>
      </c>
      <c r="M277" s="131"/>
      <c r="N277" s="132"/>
      <c r="O277" s="131"/>
      <c r="P277" s="81"/>
      <c r="Q277" s="81"/>
      <c r="R277" s="84"/>
      <c r="S277" s="81" t="s">
        <v>3</v>
      </c>
      <c r="T277" s="85" t="s">
        <v>211</v>
      </c>
    </row>
    <row r="278" spans="1:20" x14ac:dyDescent="0.3">
      <c r="B278" s="77" t="s">
        <v>4</v>
      </c>
      <c r="C278" s="112"/>
      <c r="D278" s="132"/>
      <c r="E278" s="112"/>
      <c r="F278" s="231" t="s">
        <v>5</v>
      </c>
      <c r="G278" s="231"/>
      <c r="H278" s="231"/>
      <c r="I278" s="231"/>
      <c r="J278" s="86">
        <v>1.4999999999999999E-2</v>
      </c>
      <c r="L278" s="77" t="s">
        <v>4</v>
      </c>
      <c r="M278" s="112"/>
      <c r="N278" s="132"/>
      <c r="O278" s="112"/>
      <c r="P278" s="231" t="s">
        <v>5</v>
      </c>
      <c r="Q278" s="231"/>
      <c r="R278" s="231"/>
      <c r="S278" s="231"/>
      <c r="T278" s="86">
        <v>1.4999999999999999E-2</v>
      </c>
    </row>
    <row r="279" spans="1:20" ht="15" thickBot="1" x14ac:dyDescent="0.35">
      <c r="B279" s="81" t="s">
        <v>6</v>
      </c>
      <c r="C279" s="232"/>
      <c r="D279" s="232"/>
      <c r="E279" s="233" t="s">
        <v>7</v>
      </c>
      <c r="F279" s="233"/>
      <c r="G279" s="233"/>
      <c r="H279" s="233"/>
      <c r="I279" s="233"/>
      <c r="J279" s="78">
        <v>6</v>
      </c>
      <c r="L279" s="81" t="s">
        <v>6</v>
      </c>
      <c r="M279" s="232"/>
      <c r="N279" s="232"/>
      <c r="O279" s="233" t="s">
        <v>7</v>
      </c>
      <c r="P279" s="233"/>
      <c r="Q279" s="233"/>
      <c r="R279" s="233"/>
      <c r="S279" s="233"/>
      <c r="T279" s="78">
        <v>6</v>
      </c>
    </row>
    <row r="280" spans="1:20" ht="41.4" thickBot="1" x14ac:dyDescent="0.35">
      <c r="B280" s="89" t="s">
        <v>8</v>
      </c>
      <c r="C280" s="89" t="s">
        <v>9</v>
      </c>
      <c r="D280" s="89" t="s">
        <v>10</v>
      </c>
      <c r="E280" s="90" t="s">
        <v>11</v>
      </c>
      <c r="F280" s="91" t="s">
        <v>12</v>
      </c>
      <c r="G280" s="92" t="s">
        <v>13</v>
      </c>
      <c r="H280" s="92" t="s">
        <v>14</v>
      </c>
      <c r="I280" s="92" t="s">
        <v>15</v>
      </c>
      <c r="J280" s="93" t="s">
        <v>16</v>
      </c>
      <c r="L280" s="89" t="s">
        <v>8</v>
      </c>
      <c r="M280" s="89" t="s">
        <v>9</v>
      </c>
      <c r="N280" s="89" t="s">
        <v>10</v>
      </c>
      <c r="O280" s="90" t="s">
        <v>11</v>
      </c>
      <c r="P280" s="91" t="s">
        <v>12</v>
      </c>
      <c r="Q280" s="92" t="s">
        <v>13</v>
      </c>
      <c r="R280" s="92" t="s">
        <v>14</v>
      </c>
      <c r="S280" s="92" t="s">
        <v>15</v>
      </c>
      <c r="T280" s="93" t="s">
        <v>16</v>
      </c>
    </row>
    <row r="281" spans="1:20" x14ac:dyDescent="0.3">
      <c r="B281" s="94" t="s">
        <v>17</v>
      </c>
      <c r="C281" s="95">
        <f>J276</f>
        <v>50000</v>
      </c>
      <c r="D281" s="95">
        <f>J276/J279</f>
        <v>8333.3333333333339</v>
      </c>
      <c r="E281" s="95">
        <f t="shared" ref="E281:E286" si="34">(C281*0.015)</f>
        <v>750</v>
      </c>
      <c r="F281" s="95">
        <f t="shared" ref="F281:F286" si="35">SUM(D281:E281)</f>
        <v>9083.3333333333339</v>
      </c>
      <c r="G281" s="95"/>
      <c r="H281" s="95"/>
      <c r="I281" s="96"/>
      <c r="J281" s="97"/>
      <c r="L281" s="94" t="s">
        <v>17</v>
      </c>
      <c r="M281" s="95">
        <f>T276</f>
        <v>50000</v>
      </c>
      <c r="N281" s="95">
        <f>T276/T279</f>
        <v>8333.3333333333339</v>
      </c>
      <c r="O281" s="95">
        <f t="shared" ref="O281:O286" si="36">(M281*0.015)</f>
        <v>750</v>
      </c>
      <c r="P281" s="95">
        <f t="shared" ref="P281:P286" si="37">SUM(N281:O281)</f>
        <v>9083.3333333333339</v>
      </c>
      <c r="Q281" s="95"/>
      <c r="R281" s="95"/>
      <c r="S281" s="96"/>
      <c r="T281" s="97"/>
    </row>
    <row r="282" spans="1:20" x14ac:dyDescent="0.3">
      <c r="B282" s="98" t="s">
        <v>18</v>
      </c>
      <c r="C282" s="121">
        <v>41665</v>
      </c>
      <c r="D282" s="99">
        <v>8333</v>
      </c>
      <c r="E282" s="99">
        <f t="shared" si="34"/>
        <v>624.97500000000002</v>
      </c>
      <c r="F282" s="99">
        <f t="shared" si="35"/>
        <v>8957.9750000000004</v>
      </c>
      <c r="G282" s="99"/>
      <c r="H282" s="99"/>
      <c r="I282" s="100"/>
      <c r="J282" s="101"/>
      <c r="L282" s="98" t="s">
        <v>18</v>
      </c>
      <c r="M282" s="121">
        <v>41665</v>
      </c>
      <c r="N282" s="99">
        <v>8333</v>
      </c>
      <c r="O282" s="99">
        <f t="shared" si="36"/>
        <v>624.97500000000002</v>
      </c>
      <c r="P282" s="99">
        <f t="shared" si="37"/>
        <v>8957.9750000000004</v>
      </c>
      <c r="Q282" s="99"/>
      <c r="R282" s="99"/>
      <c r="S282" s="100"/>
      <c r="T282" s="101"/>
    </row>
    <row r="283" spans="1:20" x14ac:dyDescent="0.3">
      <c r="B283" s="98" t="s">
        <v>19</v>
      </c>
      <c r="C283" s="121">
        <v>33332</v>
      </c>
      <c r="D283" s="99">
        <v>8333</v>
      </c>
      <c r="E283" s="99">
        <f t="shared" si="34"/>
        <v>499.97999999999996</v>
      </c>
      <c r="F283" s="99">
        <f t="shared" si="35"/>
        <v>8832.98</v>
      </c>
      <c r="G283" s="99"/>
      <c r="H283" s="99"/>
      <c r="I283" s="100"/>
      <c r="J283" s="101"/>
      <c r="L283" s="98" t="s">
        <v>19</v>
      </c>
      <c r="M283" s="121">
        <v>33332</v>
      </c>
      <c r="N283" s="99">
        <v>8333</v>
      </c>
      <c r="O283" s="99">
        <f t="shared" si="36"/>
        <v>499.97999999999996</v>
      </c>
      <c r="P283" s="99">
        <f t="shared" si="37"/>
        <v>8832.98</v>
      </c>
      <c r="Q283" s="99"/>
      <c r="R283" s="99"/>
      <c r="S283" s="100"/>
      <c r="T283" s="101"/>
    </row>
    <row r="284" spans="1:20" x14ac:dyDescent="0.3">
      <c r="B284" s="98" t="s">
        <v>20</v>
      </c>
      <c r="C284" s="121">
        <v>24999</v>
      </c>
      <c r="D284" s="99">
        <v>8333</v>
      </c>
      <c r="E284" s="99">
        <f t="shared" si="34"/>
        <v>374.98500000000001</v>
      </c>
      <c r="F284" s="99">
        <f t="shared" si="35"/>
        <v>8707.9850000000006</v>
      </c>
      <c r="G284" s="99"/>
      <c r="H284" s="99"/>
      <c r="I284" s="100"/>
      <c r="J284" s="101"/>
      <c r="L284" s="98" t="s">
        <v>20</v>
      </c>
      <c r="M284" s="121">
        <v>24999</v>
      </c>
      <c r="N284" s="99">
        <v>8333</v>
      </c>
      <c r="O284" s="99">
        <f t="shared" si="36"/>
        <v>374.98500000000001</v>
      </c>
      <c r="P284" s="99">
        <f t="shared" si="37"/>
        <v>8707.9850000000006</v>
      </c>
      <c r="Q284" s="99"/>
      <c r="R284" s="99"/>
      <c r="S284" s="100"/>
      <c r="T284" s="101"/>
    </row>
    <row r="285" spans="1:20" x14ac:dyDescent="0.3">
      <c r="B285" s="98" t="s">
        <v>21</v>
      </c>
      <c r="C285" s="122">
        <v>16666</v>
      </c>
      <c r="D285" s="99">
        <v>8333</v>
      </c>
      <c r="E285" s="99">
        <f t="shared" si="34"/>
        <v>249.98999999999998</v>
      </c>
      <c r="F285" s="99">
        <f t="shared" si="35"/>
        <v>8582.99</v>
      </c>
      <c r="G285" s="99"/>
      <c r="H285" s="99"/>
      <c r="I285" s="100"/>
      <c r="J285" s="101"/>
      <c r="L285" s="98" t="s">
        <v>21</v>
      </c>
      <c r="M285" s="122">
        <v>16666</v>
      </c>
      <c r="N285" s="99">
        <v>8333</v>
      </c>
      <c r="O285" s="99">
        <f t="shared" si="36"/>
        <v>249.98999999999998</v>
      </c>
      <c r="P285" s="99">
        <f t="shared" si="37"/>
        <v>8582.99</v>
      </c>
      <c r="Q285" s="99"/>
      <c r="R285" s="99"/>
      <c r="S285" s="100"/>
      <c r="T285" s="101"/>
    </row>
    <row r="286" spans="1:20" x14ac:dyDescent="0.3">
      <c r="B286" s="98" t="s">
        <v>23</v>
      </c>
      <c r="C286" s="121">
        <v>8333</v>
      </c>
      <c r="D286" s="99">
        <v>8333</v>
      </c>
      <c r="E286" s="99">
        <f t="shared" si="34"/>
        <v>124.99499999999999</v>
      </c>
      <c r="F286" s="99">
        <f t="shared" si="35"/>
        <v>8457.9950000000008</v>
      </c>
      <c r="G286" s="99"/>
      <c r="H286" s="99"/>
      <c r="I286" s="100"/>
      <c r="J286" s="101" t="s">
        <v>42</v>
      </c>
      <c r="L286" s="98" t="s">
        <v>23</v>
      </c>
      <c r="M286" s="121">
        <v>8333</v>
      </c>
      <c r="N286" s="99">
        <v>8333</v>
      </c>
      <c r="O286" s="99">
        <f t="shared" si="36"/>
        <v>124.99499999999999</v>
      </c>
      <c r="P286" s="99">
        <f t="shared" si="37"/>
        <v>8457.9950000000008</v>
      </c>
      <c r="Q286" s="99"/>
      <c r="R286" s="99"/>
      <c r="S286" s="100"/>
      <c r="T286" s="101" t="s">
        <v>42</v>
      </c>
    </row>
    <row r="287" spans="1:20" x14ac:dyDescent="0.3">
      <c r="F287" s="38"/>
      <c r="P287" s="38"/>
    </row>
    <row r="288" spans="1:20" x14ac:dyDescent="0.3">
      <c r="A288" t="s">
        <v>214</v>
      </c>
    </row>
    <row r="291" spans="1:20" x14ac:dyDescent="0.3">
      <c r="A291" s="1"/>
      <c r="B291" s="77" t="s">
        <v>0</v>
      </c>
      <c r="C291" s="77" t="s">
        <v>117</v>
      </c>
      <c r="D291" s="112"/>
      <c r="E291" s="112"/>
      <c r="F291" s="79"/>
      <c r="G291" s="80"/>
      <c r="I291" s="81" t="s">
        <v>1</v>
      </c>
      <c r="J291" s="82">
        <v>80000</v>
      </c>
      <c r="L291" s="77" t="s">
        <v>0</v>
      </c>
      <c r="M291" s="77" t="s">
        <v>117</v>
      </c>
      <c r="N291" s="112"/>
      <c r="O291" s="112"/>
      <c r="P291" s="79"/>
      <c r="Q291" s="80"/>
      <c r="S291" s="81" t="s">
        <v>1</v>
      </c>
      <c r="T291" s="82">
        <v>80000</v>
      </c>
    </row>
    <row r="292" spans="1:20" x14ac:dyDescent="0.3">
      <c r="A292" s="1"/>
      <c r="B292" s="77" t="s">
        <v>2</v>
      </c>
      <c r="C292" s="131"/>
      <c r="D292" s="132"/>
      <c r="E292" s="83"/>
      <c r="F292" s="81"/>
      <c r="G292" s="81"/>
      <c r="H292" s="84"/>
      <c r="I292" s="81" t="s">
        <v>3</v>
      </c>
      <c r="J292" s="85" t="s">
        <v>219</v>
      </c>
      <c r="L292" s="77" t="s">
        <v>2</v>
      </c>
      <c r="M292" s="131"/>
      <c r="N292" s="132"/>
      <c r="O292" s="83"/>
      <c r="P292" s="81"/>
      <c r="Q292" s="81"/>
      <c r="R292" s="84"/>
      <c r="S292" s="81" t="s">
        <v>3</v>
      </c>
      <c r="T292" s="85" t="s">
        <v>219</v>
      </c>
    </row>
    <row r="293" spans="1:20" x14ac:dyDescent="0.3">
      <c r="A293" s="1" t="s">
        <v>208</v>
      </c>
      <c r="B293" s="77" t="s">
        <v>4</v>
      </c>
      <c r="C293" s="112"/>
      <c r="D293" s="132"/>
      <c r="E293" s="78"/>
      <c r="F293" s="81"/>
      <c r="G293" s="81"/>
      <c r="H293" s="81"/>
      <c r="I293" s="81" t="s">
        <v>5</v>
      </c>
      <c r="J293" s="86">
        <v>1.4999999999999999E-2</v>
      </c>
      <c r="L293" s="77" t="s">
        <v>4</v>
      </c>
      <c r="M293" s="112"/>
      <c r="N293" s="132"/>
      <c r="O293" s="78"/>
      <c r="P293" s="81"/>
      <c r="Q293" s="81"/>
      <c r="R293" s="81"/>
      <c r="S293" s="81" t="s">
        <v>5</v>
      </c>
      <c r="T293" s="86">
        <v>1.4999999999999999E-2</v>
      </c>
    </row>
    <row r="294" spans="1:20" ht="15" thickBot="1" x14ac:dyDescent="0.35">
      <c r="A294" s="1"/>
      <c r="B294" s="81" t="s">
        <v>6</v>
      </c>
      <c r="C294" s="87"/>
      <c r="D294" s="87"/>
      <c r="E294" s="88"/>
      <c r="F294" s="88"/>
      <c r="G294" s="88"/>
      <c r="H294" s="88"/>
      <c r="I294" s="88" t="s">
        <v>7</v>
      </c>
      <c r="J294" s="78">
        <v>36</v>
      </c>
      <c r="L294" s="81" t="s">
        <v>6</v>
      </c>
      <c r="M294" s="87"/>
      <c r="N294" s="87"/>
      <c r="O294" s="88"/>
      <c r="P294" s="88"/>
      <c r="Q294" s="88"/>
      <c r="R294" s="88"/>
      <c r="S294" s="88" t="s">
        <v>7</v>
      </c>
      <c r="T294" s="78">
        <v>36</v>
      </c>
    </row>
    <row r="295" spans="1:20" ht="41.4" thickBot="1" x14ac:dyDescent="0.35">
      <c r="A295" s="1"/>
      <c r="B295" s="89" t="s">
        <v>8</v>
      </c>
      <c r="C295" s="89" t="s">
        <v>9</v>
      </c>
      <c r="D295" s="89" t="s">
        <v>10</v>
      </c>
      <c r="E295" s="90" t="s">
        <v>11</v>
      </c>
      <c r="F295" s="91" t="s">
        <v>12</v>
      </c>
      <c r="G295" s="92" t="s">
        <v>13</v>
      </c>
      <c r="H295" s="92" t="s">
        <v>14</v>
      </c>
      <c r="I295" s="92" t="s">
        <v>15</v>
      </c>
      <c r="J295" s="93" t="s">
        <v>16</v>
      </c>
      <c r="L295" s="89" t="s">
        <v>8</v>
      </c>
      <c r="M295" s="89" t="s">
        <v>9</v>
      </c>
      <c r="N295" s="89" t="s">
        <v>10</v>
      </c>
      <c r="O295" s="90" t="s">
        <v>11</v>
      </c>
      <c r="P295" s="91" t="s">
        <v>12</v>
      </c>
      <c r="Q295" s="92" t="s">
        <v>13</v>
      </c>
      <c r="R295" s="92" t="s">
        <v>14</v>
      </c>
      <c r="S295" s="92" t="s">
        <v>15</v>
      </c>
      <c r="T295" s="93" t="s">
        <v>16</v>
      </c>
    </row>
    <row r="296" spans="1:20" x14ac:dyDescent="0.3">
      <c r="A296" s="1"/>
      <c r="B296" s="94" t="s">
        <v>17</v>
      </c>
      <c r="C296" s="95">
        <f>J291</f>
        <v>80000</v>
      </c>
      <c r="D296" s="95">
        <f>J291/J294</f>
        <v>2222.2222222222222</v>
      </c>
      <c r="E296" s="95">
        <f t="shared" ref="E296:E319" si="38">(C296*0.015)</f>
        <v>1200</v>
      </c>
      <c r="F296" s="95">
        <f t="shared" ref="F296:F319" si="39">SUM(D296:E296)</f>
        <v>3422.2222222222222</v>
      </c>
      <c r="G296" s="95"/>
      <c r="H296" s="95"/>
      <c r="I296" s="96"/>
      <c r="J296" s="97"/>
      <c r="L296" s="94" t="s">
        <v>17</v>
      </c>
      <c r="M296" s="95">
        <f>T291</f>
        <v>80000</v>
      </c>
      <c r="N296" s="95">
        <f>T291/T294</f>
        <v>2222.2222222222222</v>
      </c>
      <c r="O296" s="95">
        <f t="shared" ref="O296:O319" si="40">(M296*0.015)</f>
        <v>1200</v>
      </c>
      <c r="P296" s="95">
        <f t="shared" ref="P296:P319" si="41">SUM(N296:O296)</f>
        <v>3422.2222222222222</v>
      </c>
      <c r="Q296" s="95"/>
      <c r="R296" s="95"/>
      <c r="S296" s="96"/>
      <c r="T296" s="97"/>
    </row>
    <row r="297" spans="1:20" ht="15" thickBot="1" x14ac:dyDescent="0.35">
      <c r="A297" s="1"/>
      <c r="B297" s="98" t="s">
        <v>18</v>
      </c>
      <c r="C297" s="99">
        <v>77770</v>
      </c>
      <c r="D297" s="99">
        <v>2222</v>
      </c>
      <c r="E297" s="99">
        <f t="shared" si="38"/>
        <v>1166.55</v>
      </c>
      <c r="F297" s="99">
        <f t="shared" si="39"/>
        <v>3388.55</v>
      </c>
      <c r="G297" s="99"/>
      <c r="H297" s="99"/>
      <c r="I297" s="100"/>
      <c r="J297" s="101"/>
      <c r="L297" s="98" t="s">
        <v>18</v>
      </c>
      <c r="M297" s="99">
        <v>77770</v>
      </c>
      <c r="N297" s="99">
        <v>2222</v>
      </c>
      <c r="O297" s="99">
        <f t="shared" si="40"/>
        <v>1166.55</v>
      </c>
      <c r="P297" s="99">
        <f t="shared" si="41"/>
        <v>3388.55</v>
      </c>
      <c r="Q297" s="99"/>
      <c r="R297" s="99"/>
      <c r="S297" s="100"/>
      <c r="T297" s="101"/>
    </row>
    <row r="298" spans="1:20" x14ac:dyDescent="0.3">
      <c r="B298" s="98" t="s">
        <v>19</v>
      </c>
      <c r="C298" s="99">
        <v>75548</v>
      </c>
      <c r="D298" s="95">
        <v>2222</v>
      </c>
      <c r="E298" s="99">
        <f t="shared" si="38"/>
        <v>1133.22</v>
      </c>
      <c r="F298" s="99">
        <f t="shared" si="39"/>
        <v>3355.2200000000003</v>
      </c>
      <c r="G298" s="99"/>
      <c r="H298" s="99"/>
      <c r="I298" s="100"/>
      <c r="J298" s="101"/>
      <c r="L298" s="98" t="s">
        <v>19</v>
      </c>
      <c r="M298" s="99">
        <v>75548</v>
      </c>
      <c r="N298" s="95">
        <v>2222</v>
      </c>
      <c r="O298" s="99">
        <f t="shared" si="40"/>
        <v>1133.22</v>
      </c>
      <c r="P298" s="99">
        <f t="shared" si="41"/>
        <v>3355.2200000000003</v>
      </c>
      <c r="Q298" s="99"/>
      <c r="R298" s="99"/>
      <c r="S298" s="100"/>
      <c r="T298" s="101"/>
    </row>
    <row r="299" spans="1:20" ht="15" thickBot="1" x14ac:dyDescent="0.35">
      <c r="B299" s="98" t="s">
        <v>20</v>
      </c>
      <c r="C299" s="99">
        <v>73326</v>
      </c>
      <c r="D299" s="99">
        <v>2222</v>
      </c>
      <c r="E299" s="99">
        <f t="shared" si="38"/>
        <v>1099.8899999999999</v>
      </c>
      <c r="F299" s="99">
        <f t="shared" si="39"/>
        <v>3321.89</v>
      </c>
      <c r="G299" s="99"/>
      <c r="H299" s="99"/>
      <c r="I299" s="100"/>
      <c r="J299" s="101"/>
      <c r="L299" s="98" t="s">
        <v>20</v>
      </c>
      <c r="M299" s="99">
        <v>73326</v>
      </c>
      <c r="N299" s="99">
        <v>2222</v>
      </c>
      <c r="O299" s="99">
        <f t="shared" si="40"/>
        <v>1099.8899999999999</v>
      </c>
      <c r="P299" s="99">
        <f t="shared" si="41"/>
        <v>3321.89</v>
      </c>
      <c r="Q299" s="99"/>
      <c r="R299" s="99"/>
      <c r="S299" s="100"/>
      <c r="T299" s="101"/>
    </row>
    <row r="300" spans="1:20" x14ac:dyDescent="0.3">
      <c r="B300" s="98" t="s">
        <v>21</v>
      </c>
      <c r="C300" s="99">
        <v>71104</v>
      </c>
      <c r="D300" s="95">
        <v>2222</v>
      </c>
      <c r="E300" s="99">
        <f t="shared" si="38"/>
        <v>1066.56</v>
      </c>
      <c r="F300" s="99">
        <f t="shared" si="39"/>
        <v>3288.56</v>
      </c>
      <c r="G300" s="99"/>
      <c r="H300" s="99"/>
      <c r="I300" s="100"/>
      <c r="J300" s="101"/>
      <c r="L300" s="98" t="s">
        <v>21</v>
      </c>
      <c r="M300" s="99">
        <v>71104</v>
      </c>
      <c r="N300" s="95">
        <v>2222</v>
      </c>
      <c r="O300" s="99">
        <f t="shared" si="40"/>
        <v>1066.56</v>
      </c>
      <c r="P300" s="99">
        <f t="shared" si="41"/>
        <v>3288.56</v>
      </c>
      <c r="Q300" s="99"/>
      <c r="R300" s="99"/>
      <c r="S300" s="100"/>
      <c r="T300" s="101"/>
    </row>
    <row r="301" spans="1:20" ht="15" thickBot="1" x14ac:dyDescent="0.35">
      <c r="B301" s="98" t="s">
        <v>23</v>
      </c>
      <c r="C301" s="99">
        <v>68882</v>
      </c>
      <c r="D301" s="99">
        <v>2222</v>
      </c>
      <c r="E301" s="99">
        <f t="shared" si="38"/>
        <v>1033.23</v>
      </c>
      <c r="F301" s="99">
        <f t="shared" si="39"/>
        <v>3255.23</v>
      </c>
      <c r="G301" s="99"/>
      <c r="H301" s="99"/>
      <c r="I301" s="100"/>
      <c r="J301" s="101"/>
      <c r="L301" s="98" t="s">
        <v>23</v>
      </c>
      <c r="M301" s="99">
        <v>68882</v>
      </c>
      <c r="N301" s="99">
        <v>2222</v>
      </c>
      <c r="O301" s="99">
        <f t="shared" si="40"/>
        <v>1033.23</v>
      </c>
      <c r="P301" s="99">
        <f t="shared" si="41"/>
        <v>3255.23</v>
      </c>
      <c r="Q301" s="99"/>
      <c r="R301" s="99"/>
      <c r="S301" s="100"/>
      <c r="T301" s="101"/>
    </row>
    <row r="302" spans="1:20" x14ac:dyDescent="0.3">
      <c r="B302" s="98" t="s">
        <v>24</v>
      </c>
      <c r="C302" s="99">
        <v>66660</v>
      </c>
      <c r="D302" s="95">
        <v>2222</v>
      </c>
      <c r="E302" s="99">
        <f t="shared" si="38"/>
        <v>999.9</v>
      </c>
      <c r="F302" s="99">
        <f t="shared" si="39"/>
        <v>3221.9</v>
      </c>
      <c r="G302" s="99"/>
      <c r="H302" s="99"/>
      <c r="I302" s="100"/>
      <c r="J302" s="101"/>
      <c r="L302" s="98" t="s">
        <v>24</v>
      </c>
      <c r="M302" s="99">
        <v>66660</v>
      </c>
      <c r="N302" s="95">
        <v>2222</v>
      </c>
      <c r="O302" s="99">
        <f t="shared" si="40"/>
        <v>999.9</v>
      </c>
      <c r="P302" s="99">
        <f t="shared" si="41"/>
        <v>3221.9</v>
      </c>
      <c r="Q302" s="99"/>
      <c r="R302" s="99"/>
      <c r="S302" s="100"/>
      <c r="T302" s="101"/>
    </row>
    <row r="303" spans="1:20" ht="15" thickBot="1" x14ac:dyDescent="0.35">
      <c r="B303" s="98" t="s">
        <v>25</v>
      </c>
      <c r="C303" s="99">
        <v>64438</v>
      </c>
      <c r="D303" s="99">
        <v>2222</v>
      </c>
      <c r="E303" s="99">
        <f t="shared" si="38"/>
        <v>966.56999999999994</v>
      </c>
      <c r="F303" s="99">
        <f t="shared" si="39"/>
        <v>3188.5699999999997</v>
      </c>
      <c r="G303" s="99"/>
      <c r="H303" s="99"/>
      <c r="I303" s="100"/>
      <c r="J303" s="101"/>
      <c r="L303" s="98" t="s">
        <v>25</v>
      </c>
      <c r="M303" s="99">
        <v>64438</v>
      </c>
      <c r="N303" s="99">
        <v>2222</v>
      </c>
      <c r="O303" s="99">
        <f t="shared" si="40"/>
        <v>966.56999999999994</v>
      </c>
      <c r="P303" s="99">
        <f t="shared" si="41"/>
        <v>3188.5699999999997</v>
      </c>
      <c r="Q303" s="99"/>
      <c r="R303" s="99"/>
      <c r="S303" s="100"/>
      <c r="T303" s="101"/>
    </row>
    <row r="304" spans="1:20" x14ac:dyDescent="0.3">
      <c r="B304" s="98" t="s">
        <v>26</v>
      </c>
      <c r="C304" s="99">
        <v>62216</v>
      </c>
      <c r="D304" s="95">
        <v>2222</v>
      </c>
      <c r="E304" s="99">
        <f t="shared" si="38"/>
        <v>933.24</v>
      </c>
      <c r="F304" s="99">
        <f t="shared" si="39"/>
        <v>3155.24</v>
      </c>
      <c r="G304" s="99"/>
      <c r="H304" s="99"/>
      <c r="I304" s="100"/>
      <c r="J304" s="101"/>
      <c r="L304" s="98" t="s">
        <v>26</v>
      </c>
      <c r="M304" s="99">
        <v>62216</v>
      </c>
      <c r="N304" s="95">
        <v>2222</v>
      </c>
      <c r="O304" s="99">
        <f t="shared" si="40"/>
        <v>933.24</v>
      </c>
      <c r="P304" s="99">
        <f t="shared" si="41"/>
        <v>3155.24</v>
      </c>
      <c r="Q304" s="99"/>
      <c r="R304" s="99"/>
      <c r="S304" s="100"/>
      <c r="T304" s="101"/>
    </row>
    <row r="305" spans="2:20" ht="15" thickBot="1" x14ac:dyDescent="0.35">
      <c r="B305" s="98" t="s">
        <v>27</v>
      </c>
      <c r="C305" s="99">
        <v>59994</v>
      </c>
      <c r="D305" s="99">
        <v>2222</v>
      </c>
      <c r="E305" s="99">
        <f t="shared" si="38"/>
        <v>899.91</v>
      </c>
      <c r="F305" s="99">
        <f t="shared" si="39"/>
        <v>3121.91</v>
      </c>
      <c r="G305" s="99"/>
      <c r="H305" s="99"/>
      <c r="I305" s="100"/>
      <c r="J305" s="101"/>
      <c r="L305" s="98" t="s">
        <v>27</v>
      </c>
      <c r="M305" s="99">
        <v>59994</v>
      </c>
      <c r="N305" s="99">
        <v>2222</v>
      </c>
      <c r="O305" s="99">
        <f t="shared" si="40"/>
        <v>899.91</v>
      </c>
      <c r="P305" s="99">
        <f t="shared" si="41"/>
        <v>3121.91</v>
      </c>
      <c r="Q305" s="99"/>
      <c r="R305" s="99"/>
      <c r="S305" s="100"/>
      <c r="T305" s="101"/>
    </row>
    <row r="306" spans="2:20" x14ac:dyDescent="0.3">
      <c r="B306" s="98" t="s">
        <v>28</v>
      </c>
      <c r="C306" s="99">
        <v>57772</v>
      </c>
      <c r="D306" s="95">
        <v>2222</v>
      </c>
      <c r="E306" s="99">
        <f t="shared" si="38"/>
        <v>866.57999999999993</v>
      </c>
      <c r="F306" s="99">
        <f t="shared" si="39"/>
        <v>3088.58</v>
      </c>
      <c r="G306" s="99"/>
      <c r="H306" s="99"/>
      <c r="I306" s="100"/>
      <c r="J306" s="101"/>
      <c r="L306" s="98" t="s">
        <v>28</v>
      </c>
      <c r="M306" s="99">
        <v>57772</v>
      </c>
      <c r="N306" s="95">
        <v>2222</v>
      </c>
      <c r="O306" s="99">
        <f t="shared" si="40"/>
        <v>866.57999999999993</v>
      </c>
      <c r="P306" s="99">
        <f t="shared" si="41"/>
        <v>3088.58</v>
      </c>
      <c r="Q306" s="99"/>
      <c r="R306" s="99"/>
      <c r="S306" s="100"/>
      <c r="T306" s="101"/>
    </row>
    <row r="307" spans="2:20" ht="15" thickBot="1" x14ac:dyDescent="0.35">
      <c r="B307" s="98" t="s">
        <v>29</v>
      </c>
      <c r="C307" s="99">
        <v>55550</v>
      </c>
      <c r="D307" s="99">
        <v>2222</v>
      </c>
      <c r="E307" s="99">
        <f t="shared" si="38"/>
        <v>833.25</v>
      </c>
      <c r="F307" s="99">
        <f t="shared" si="39"/>
        <v>3055.25</v>
      </c>
      <c r="G307" s="99"/>
      <c r="H307" s="99"/>
      <c r="I307" s="100"/>
      <c r="J307" s="101"/>
      <c r="L307" s="98" t="s">
        <v>29</v>
      </c>
      <c r="M307" s="99">
        <v>55550</v>
      </c>
      <c r="N307" s="99">
        <v>2222</v>
      </c>
      <c r="O307" s="99">
        <f t="shared" si="40"/>
        <v>833.25</v>
      </c>
      <c r="P307" s="99">
        <f t="shared" si="41"/>
        <v>3055.25</v>
      </c>
      <c r="Q307" s="99"/>
      <c r="R307" s="99"/>
      <c r="S307" s="100"/>
      <c r="T307" s="101"/>
    </row>
    <row r="308" spans="2:20" x14ac:dyDescent="0.3">
      <c r="B308" s="98" t="s">
        <v>30</v>
      </c>
      <c r="C308" s="99">
        <v>53328</v>
      </c>
      <c r="D308" s="95">
        <v>2222</v>
      </c>
      <c r="E308" s="99">
        <f t="shared" si="38"/>
        <v>799.92</v>
      </c>
      <c r="F308" s="99">
        <f t="shared" si="39"/>
        <v>3021.92</v>
      </c>
      <c r="G308" s="99"/>
      <c r="H308" s="99"/>
      <c r="I308" s="100"/>
      <c r="J308" s="101"/>
      <c r="L308" s="98" t="s">
        <v>30</v>
      </c>
      <c r="M308" s="99">
        <v>53328</v>
      </c>
      <c r="N308" s="95">
        <v>2222</v>
      </c>
      <c r="O308" s="99">
        <f t="shared" si="40"/>
        <v>799.92</v>
      </c>
      <c r="P308" s="99">
        <f t="shared" si="41"/>
        <v>3021.92</v>
      </c>
      <c r="Q308" s="99"/>
      <c r="R308" s="99"/>
      <c r="S308" s="100"/>
      <c r="T308" s="101"/>
    </row>
    <row r="309" spans="2:20" ht="15" thickBot="1" x14ac:dyDescent="0.35">
      <c r="B309" s="98" t="s">
        <v>31</v>
      </c>
      <c r="C309" s="99">
        <v>51106</v>
      </c>
      <c r="D309" s="99">
        <v>2222</v>
      </c>
      <c r="E309" s="99">
        <f t="shared" si="38"/>
        <v>766.58999999999992</v>
      </c>
      <c r="F309" s="99">
        <f t="shared" si="39"/>
        <v>2988.59</v>
      </c>
      <c r="G309" s="99"/>
      <c r="H309" s="99"/>
      <c r="I309" s="100"/>
      <c r="J309" s="101"/>
      <c r="L309" s="98" t="s">
        <v>31</v>
      </c>
      <c r="M309" s="99">
        <v>51106</v>
      </c>
      <c r="N309" s="99">
        <v>2222</v>
      </c>
      <c r="O309" s="99">
        <f t="shared" si="40"/>
        <v>766.58999999999992</v>
      </c>
      <c r="P309" s="99">
        <f t="shared" si="41"/>
        <v>2988.59</v>
      </c>
      <c r="Q309" s="99"/>
      <c r="R309" s="99"/>
      <c r="S309" s="100"/>
      <c r="T309" s="101"/>
    </row>
    <row r="310" spans="2:20" x14ac:dyDescent="0.3">
      <c r="B310" s="98" t="s">
        <v>32</v>
      </c>
      <c r="C310" s="99">
        <v>48884</v>
      </c>
      <c r="D310" s="95">
        <v>2222</v>
      </c>
      <c r="E310" s="99">
        <f t="shared" si="38"/>
        <v>733.26</v>
      </c>
      <c r="F310" s="99">
        <f t="shared" si="39"/>
        <v>2955.26</v>
      </c>
      <c r="G310" s="99"/>
      <c r="H310" s="99"/>
      <c r="I310" s="100"/>
      <c r="J310" s="101"/>
      <c r="L310" s="98" t="s">
        <v>32</v>
      </c>
      <c r="M310" s="99">
        <v>48884</v>
      </c>
      <c r="N310" s="95">
        <v>2222</v>
      </c>
      <c r="O310" s="99">
        <f t="shared" si="40"/>
        <v>733.26</v>
      </c>
      <c r="P310" s="99">
        <f t="shared" si="41"/>
        <v>2955.26</v>
      </c>
      <c r="Q310" s="99"/>
      <c r="R310" s="99"/>
      <c r="S310" s="100"/>
      <c r="T310" s="101"/>
    </row>
    <row r="311" spans="2:20" ht="15" thickBot="1" x14ac:dyDescent="0.35">
      <c r="B311" s="98" t="s">
        <v>33</v>
      </c>
      <c r="C311" s="99">
        <v>46662</v>
      </c>
      <c r="D311" s="99">
        <v>2222</v>
      </c>
      <c r="E311" s="99">
        <f t="shared" si="38"/>
        <v>699.93</v>
      </c>
      <c r="F311" s="99">
        <f t="shared" si="39"/>
        <v>2921.93</v>
      </c>
      <c r="G311" s="99"/>
      <c r="H311" s="99"/>
      <c r="I311" s="100"/>
      <c r="J311" s="101"/>
      <c r="L311" s="98" t="s">
        <v>33</v>
      </c>
      <c r="M311" s="99">
        <v>46662</v>
      </c>
      <c r="N311" s="99">
        <v>2222</v>
      </c>
      <c r="O311" s="99">
        <f t="shared" si="40"/>
        <v>699.93</v>
      </c>
      <c r="P311" s="99">
        <f t="shared" si="41"/>
        <v>2921.93</v>
      </c>
      <c r="Q311" s="99"/>
      <c r="R311" s="99"/>
      <c r="S311" s="100"/>
      <c r="T311" s="101"/>
    </row>
    <row r="312" spans="2:20" x14ac:dyDescent="0.3">
      <c r="B312" s="98" t="s">
        <v>34</v>
      </c>
      <c r="C312" s="99">
        <v>44440</v>
      </c>
      <c r="D312" s="95">
        <v>2222</v>
      </c>
      <c r="E312" s="99">
        <f t="shared" si="38"/>
        <v>666.6</v>
      </c>
      <c r="F312" s="99">
        <f t="shared" si="39"/>
        <v>2888.6</v>
      </c>
      <c r="G312" s="99"/>
      <c r="H312" s="99"/>
      <c r="I312" s="100"/>
      <c r="J312" s="101"/>
      <c r="L312" s="98" t="s">
        <v>34</v>
      </c>
      <c r="M312" s="99">
        <v>44440</v>
      </c>
      <c r="N312" s="95">
        <v>2222</v>
      </c>
      <c r="O312" s="99">
        <f t="shared" si="40"/>
        <v>666.6</v>
      </c>
      <c r="P312" s="99">
        <f t="shared" si="41"/>
        <v>2888.6</v>
      </c>
      <c r="Q312" s="99"/>
      <c r="R312" s="99"/>
      <c r="S312" s="100"/>
      <c r="T312" s="101"/>
    </row>
    <row r="313" spans="2:20" ht="15" thickBot="1" x14ac:dyDescent="0.35">
      <c r="B313" s="98" t="s">
        <v>35</v>
      </c>
      <c r="C313" s="99">
        <v>42218</v>
      </c>
      <c r="D313" s="99">
        <v>2222</v>
      </c>
      <c r="E313" s="99">
        <f t="shared" si="38"/>
        <v>633.27</v>
      </c>
      <c r="F313" s="99">
        <f t="shared" si="39"/>
        <v>2855.27</v>
      </c>
      <c r="G313" s="99"/>
      <c r="H313" s="99"/>
      <c r="I313" s="100"/>
      <c r="J313" s="101"/>
      <c r="L313" s="98" t="s">
        <v>35</v>
      </c>
      <c r="M313" s="99">
        <v>42218</v>
      </c>
      <c r="N313" s="99">
        <v>2222</v>
      </c>
      <c r="O313" s="99">
        <f t="shared" si="40"/>
        <v>633.27</v>
      </c>
      <c r="P313" s="99">
        <f t="shared" si="41"/>
        <v>2855.27</v>
      </c>
      <c r="Q313" s="99"/>
      <c r="R313" s="99"/>
      <c r="S313" s="100"/>
      <c r="T313" s="101"/>
    </row>
    <row r="314" spans="2:20" x14ac:dyDescent="0.3">
      <c r="B314" s="98" t="s">
        <v>36</v>
      </c>
      <c r="C314" s="99">
        <v>39996</v>
      </c>
      <c r="D314" s="95">
        <v>2222</v>
      </c>
      <c r="E314" s="99">
        <f t="shared" si="38"/>
        <v>599.93999999999994</v>
      </c>
      <c r="F314" s="99">
        <f t="shared" si="39"/>
        <v>2821.94</v>
      </c>
      <c r="G314" s="99"/>
      <c r="H314" s="99"/>
      <c r="I314" s="100"/>
      <c r="J314" s="101"/>
      <c r="L314" s="98" t="s">
        <v>36</v>
      </c>
      <c r="M314" s="99">
        <v>39996</v>
      </c>
      <c r="N314" s="95">
        <v>2222</v>
      </c>
      <c r="O314" s="99">
        <f t="shared" si="40"/>
        <v>599.93999999999994</v>
      </c>
      <c r="P314" s="99">
        <f t="shared" si="41"/>
        <v>2821.94</v>
      </c>
      <c r="Q314" s="99"/>
      <c r="R314" s="99"/>
      <c r="S314" s="100"/>
      <c r="T314" s="101"/>
    </row>
    <row r="315" spans="2:20" ht="15" thickBot="1" x14ac:dyDescent="0.35">
      <c r="B315" s="98" t="s">
        <v>37</v>
      </c>
      <c r="C315" s="99">
        <v>37774</v>
      </c>
      <c r="D315" s="99">
        <v>2222</v>
      </c>
      <c r="E315" s="99">
        <f t="shared" si="38"/>
        <v>566.61</v>
      </c>
      <c r="F315" s="99">
        <f t="shared" si="39"/>
        <v>2788.61</v>
      </c>
      <c r="G315" s="99"/>
      <c r="H315" s="99"/>
      <c r="I315" s="100"/>
      <c r="J315" s="101"/>
      <c r="L315" s="98" t="s">
        <v>37</v>
      </c>
      <c r="M315" s="99">
        <v>37774</v>
      </c>
      <c r="N315" s="99">
        <v>2222</v>
      </c>
      <c r="O315" s="99">
        <f t="shared" si="40"/>
        <v>566.61</v>
      </c>
      <c r="P315" s="99">
        <f t="shared" si="41"/>
        <v>2788.61</v>
      </c>
      <c r="Q315" s="99"/>
      <c r="R315" s="99"/>
      <c r="S315" s="100"/>
      <c r="T315" s="101"/>
    </row>
    <row r="316" spans="2:20" x14ac:dyDescent="0.3">
      <c r="B316" s="98" t="s">
        <v>38</v>
      </c>
      <c r="C316" s="99">
        <v>35552</v>
      </c>
      <c r="D316" s="95">
        <v>2222</v>
      </c>
      <c r="E316" s="99">
        <f t="shared" si="38"/>
        <v>533.28</v>
      </c>
      <c r="F316" s="99">
        <f t="shared" si="39"/>
        <v>2755.2799999999997</v>
      </c>
      <c r="G316" s="99"/>
      <c r="H316" s="99"/>
      <c r="I316" s="100"/>
      <c r="J316" s="101"/>
      <c r="L316" s="98" t="s">
        <v>38</v>
      </c>
      <c r="M316" s="99">
        <v>35552</v>
      </c>
      <c r="N316" s="95">
        <v>2222</v>
      </c>
      <c r="O316" s="99">
        <f t="shared" si="40"/>
        <v>533.28</v>
      </c>
      <c r="P316" s="99">
        <f t="shared" si="41"/>
        <v>2755.2799999999997</v>
      </c>
      <c r="Q316" s="99"/>
      <c r="R316" s="99"/>
      <c r="S316" s="100"/>
      <c r="T316" s="101"/>
    </row>
    <row r="317" spans="2:20" ht="15" thickBot="1" x14ac:dyDescent="0.35">
      <c r="B317" s="98" t="s">
        <v>39</v>
      </c>
      <c r="C317" s="99">
        <v>33330</v>
      </c>
      <c r="D317" s="99">
        <v>2222</v>
      </c>
      <c r="E317" s="99">
        <f t="shared" si="38"/>
        <v>499.95</v>
      </c>
      <c r="F317" s="99">
        <f t="shared" si="39"/>
        <v>2721.95</v>
      </c>
      <c r="G317" s="99"/>
      <c r="H317" s="99"/>
      <c r="I317" s="100"/>
      <c r="J317" s="101"/>
      <c r="L317" s="98" t="s">
        <v>39</v>
      </c>
      <c r="M317" s="99">
        <v>33330</v>
      </c>
      <c r="N317" s="99">
        <v>2222</v>
      </c>
      <c r="O317" s="99">
        <f t="shared" si="40"/>
        <v>499.95</v>
      </c>
      <c r="P317" s="99">
        <f t="shared" si="41"/>
        <v>2721.95</v>
      </c>
      <c r="Q317" s="99"/>
      <c r="R317" s="99"/>
      <c r="S317" s="100"/>
      <c r="T317" s="101"/>
    </row>
    <row r="318" spans="2:20" x14ac:dyDescent="0.3">
      <c r="B318" s="98" t="s">
        <v>40</v>
      </c>
      <c r="C318" s="99">
        <v>31108</v>
      </c>
      <c r="D318" s="95">
        <v>2222</v>
      </c>
      <c r="E318" s="99">
        <f t="shared" si="38"/>
        <v>466.62</v>
      </c>
      <c r="F318" s="99">
        <f t="shared" si="39"/>
        <v>2688.62</v>
      </c>
      <c r="G318" s="99"/>
      <c r="H318" s="99"/>
      <c r="I318" s="100"/>
      <c r="J318" s="101"/>
      <c r="L318" s="98" t="s">
        <v>40</v>
      </c>
      <c r="M318" s="99">
        <v>31108</v>
      </c>
      <c r="N318" s="95">
        <v>2222</v>
      </c>
      <c r="O318" s="99">
        <f t="shared" si="40"/>
        <v>466.62</v>
      </c>
      <c r="P318" s="99">
        <f t="shared" si="41"/>
        <v>2688.62</v>
      </c>
      <c r="Q318" s="99"/>
      <c r="R318" s="99"/>
      <c r="S318" s="100"/>
      <c r="T318" s="101"/>
    </row>
    <row r="319" spans="2:20" ht="15" thickBot="1" x14ac:dyDescent="0.35">
      <c r="B319" s="103" t="s">
        <v>41</v>
      </c>
      <c r="C319" s="102">
        <v>28886</v>
      </c>
      <c r="D319" s="99">
        <v>2222</v>
      </c>
      <c r="E319" s="102">
        <f t="shared" si="38"/>
        <v>433.28999999999996</v>
      </c>
      <c r="F319" s="102">
        <f t="shared" si="39"/>
        <v>2655.29</v>
      </c>
      <c r="G319" s="102"/>
      <c r="H319" s="102"/>
      <c r="I319" s="104"/>
      <c r="J319" s="105"/>
      <c r="L319" s="103" t="s">
        <v>41</v>
      </c>
      <c r="M319" s="102">
        <v>28886</v>
      </c>
      <c r="N319" s="99">
        <v>2222</v>
      </c>
      <c r="O319" s="102">
        <f t="shared" si="40"/>
        <v>433.28999999999996</v>
      </c>
      <c r="P319" s="102">
        <f t="shared" si="41"/>
        <v>2655.29</v>
      </c>
      <c r="Q319" s="102"/>
      <c r="R319" s="102"/>
      <c r="S319" s="104"/>
      <c r="T319" s="105"/>
    </row>
    <row r="320" spans="2:20" x14ac:dyDescent="0.3">
      <c r="F320" s="38"/>
      <c r="P320" s="38"/>
    </row>
    <row r="322" spans="2:20" ht="15" thickBot="1" x14ac:dyDescent="0.35"/>
    <row r="323" spans="2:20" x14ac:dyDescent="0.3">
      <c r="B323" s="98" t="s">
        <v>144</v>
      </c>
      <c r="C323" s="99">
        <v>26664</v>
      </c>
      <c r="D323" s="95">
        <v>2222</v>
      </c>
      <c r="E323" s="99">
        <f t="shared" ref="E323:E334" si="42">(C323*0.015)</f>
        <v>399.96</v>
      </c>
      <c r="F323" s="99">
        <f t="shared" ref="F323:F334" si="43">SUM(D323:E323)</f>
        <v>2621.96</v>
      </c>
      <c r="G323" s="99"/>
      <c r="H323" s="99"/>
      <c r="I323" s="100"/>
      <c r="J323" s="101"/>
      <c r="L323" s="98" t="s">
        <v>144</v>
      </c>
      <c r="M323" s="99">
        <v>26664</v>
      </c>
      <c r="N323" s="95">
        <v>2222</v>
      </c>
      <c r="O323" s="99">
        <f t="shared" ref="O323:O334" si="44">(M323*0.015)</f>
        <v>399.96</v>
      </c>
      <c r="P323" s="99">
        <f t="shared" ref="P323:P334" si="45">SUM(N323:O323)</f>
        <v>2621.96</v>
      </c>
      <c r="Q323" s="99"/>
      <c r="R323" s="99"/>
      <c r="S323" s="100"/>
      <c r="T323" s="101"/>
    </row>
    <row r="324" spans="2:20" ht="15" thickBot="1" x14ac:dyDescent="0.35">
      <c r="B324" s="98" t="s">
        <v>145</v>
      </c>
      <c r="C324" s="99">
        <v>24442</v>
      </c>
      <c r="D324" s="99">
        <v>2222</v>
      </c>
      <c r="E324" s="99">
        <f t="shared" si="42"/>
        <v>366.63</v>
      </c>
      <c r="F324" s="99">
        <f t="shared" si="43"/>
        <v>2588.63</v>
      </c>
      <c r="G324" s="99"/>
      <c r="H324" s="99"/>
      <c r="I324" s="100"/>
      <c r="J324" s="101"/>
      <c r="L324" s="98" t="s">
        <v>145</v>
      </c>
      <c r="M324" s="99">
        <v>24442</v>
      </c>
      <c r="N324" s="99">
        <v>2222</v>
      </c>
      <c r="O324" s="99">
        <f t="shared" si="44"/>
        <v>366.63</v>
      </c>
      <c r="P324" s="99">
        <f t="shared" si="45"/>
        <v>2588.63</v>
      </c>
      <c r="Q324" s="99"/>
      <c r="R324" s="99"/>
      <c r="S324" s="100"/>
      <c r="T324" s="101"/>
    </row>
    <row r="325" spans="2:20" x14ac:dyDescent="0.3">
      <c r="B325" s="98" t="s">
        <v>146</v>
      </c>
      <c r="C325" s="99">
        <v>22220</v>
      </c>
      <c r="D325" s="95">
        <v>2222</v>
      </c>
      <c r="E325" s="99">
        <f t="shared" si="42"/>
        <v>333.3</v>
      </c>
      <c r="F325" s="99">
        <f t="shared" si="43"/>
        <v>2555.3000000000002</v>
      </c>
      <c r="G325" s="99"/>
      <c r="H325" s="99"/>
      <c r="I325" s="100"/>
      <c r="J325" s="101"/>
      <c r="L325" s="98" t="s">
        <v>146</v>
      </c>
      <c r="M325" s="99">
        <v>22220</v>
      </c>
      <c r="N325" s="95">
        <v>2222</v>
      </c>
      <c r="O325" s="99">
        <f t="shared" si="44"/>
        <v>333.3</v>
      </c>
      <c r="P325" s="99">
        <f t="shared" si="45"/>
        <v>2555.3000000000002</v>
      </c>
      <c r="Q325" s="99"/>
      <c r="R325" s="99"/>
      <c r="S325" s="100"/>
      <c r="T325" s="101"/>
    </row>
    <row r="326" spans="2:20" ht="15" thickBot="1" x14ac:dyDescent="0.35">
      <c r="B326" s="98" t="s">
        <v>147</v>
      </c>
      <c r="C326" s="99">
        <v>19998</v>
      </c>
      <c r="D326" s="99">
        <v>2222</v>
      </c>
      <c r="E326" s="99">
        <f t="shared" si="42"/>
        <v>299.96999999999997</v>
      </c>
      <c r="F326" s="99">
        <f t="shared" si="43"/>
        <v>2521.9699999999998</v>
      </c>
      <c r="G326" s="99"/>
      <c r="H326" s="99"/>
      <c r="I326" s="100"/>
      <c r="J326" s="101"/>
      <c r="L326" s="98" t="s">
        <v>147</v>
      </c>
      <c r="M326" s="99">
        <v>19998</v>
      </c>
      <c r="N326" s="99">
        <v>2222</v>
      </c>
      <c r="O326" s="99">
        <f t="shared" si="44"/>
        <v>299.96999999999997</v>
      </c>
      <c r="P326" s="99">
        <f t="shared" si="45"/>
        <v>2521.9699999999998</v>
      </c>
      <c r="Q326" s="99"/>
      <c r="R326" s="99"/>
      <c r="S326" s="100"/>
      <c r="T326" s="101"/>
    </row>
    <row r="327" spans="2:20" x14ac:dyDescent="0.3">
      <c r="B327" s="98" t="s">
        <v>148</v>
      </c>
      <c r="C327" s="99">
        <v>17776</v>
      </c>
      <c r="D327" s="95">
        <v>2222</v>
      </c>
      <c r="E327" s="99">
        <f t="shared" si="42"/>
        <v>266.64</v>
      </c>
      <c r="F327" s="99">
        <f t="shared" si="43"/>
        <v>2488.64</v>
      </c>
      <c r="G327" s="99"/>
      <c r="H327" s="99"/>
      <c r="I327" s="100"/>
      <c r="J327" s="101"/>
      <c r="L327" s="98" t="s">
        <v>148</v>
      </c>
      <c r="M327" s="99">
        <v>17776</v>
      </c>
      <c r="N327" s="95">
        <v>2222</v>
      </c>
      <c r="O327" s="99">
        <f t="shared" si="44"/>
        <v>266.64</v>
      </c>
      <c r="P327" s="99">
        <f t="shared" si="45"/>
        <v>2488.64</v>
      </c>
      <c r="Q327" s="99"/>
      <c r="R327" s="99"/>
      <c r="S327" s="100"/>
      <c r="T327" s="101"/>
    </row>
    <row r="328" spans="2:20" ht="15" thickBot="1" x14ac:dyDescent="0.35">
      <c r="B328" s="98" t="s">
        <v>149</v>
      </c>
      <c r="C328" s="99">
        <v>15554</v>
      </c>
      <c r="D328" s="99">
        <v>2222</v>
      </c>
      <c r="E328" s="99">
        <f t="shared" si="42"/>
        <v>233.31</v>
      </c>
      <c r="F328" s="99">
        <f t="shared" si="43"/>
        <v>2455.31</v>
      </c>
      <c r="G328" s="99"/>
      <c r="H328" s="99"/>
      <c r="I328" s="100"/>
      <c r="J328" s="101"/>
      <c r="L328" s="98" t="s">
        <v>149</v>
      </c>
      <c r="M328" s="99">
        <v>15554</v>
      </c>
      <c r="N328" s="99">
        <v>2222</v>
      </c>
      <c r="O328" s="99">
        <f t="shared" si="44"/>
        <v>233.31</v>
      </c>
      <c r="P328" s="99">
        <f t="shared" si="45"/>
        <v>2455.31</v>
      </c>
      <c r="Q328" s="99"/>
      <c r="R328" s="99"/>
      <c r="S328" s="100"/>
      <c r="T328" s="101"/>
    </row>
    <row r="329" spans="2:20" x14ac:dyDescent="0.3">
      <c r="B329" s="98" t="s">
        <v>150</v>
      </c>
      <c r="C329" s="99">
        <v>13332</v>
      </c>
      <c r="D329" s="95">
        <v>2222</v>
      </c>
      <c r="E329" s="99">
        <f t="shared" si="42"/>
        <v>199.98</v>
      </c>
      <c r="F329" s="99">
        <f t="shared" si="43"/>
        <v>2421.98</v>
      </c>
      <c r="G329" s="99"/>
      <c r="H329" s="99"/>
      <c r="I329" s="100"/>
      <c r="J329" s="101"/>
      <c r="L329" s="98" t="s">
        <v>150</v>
      </c>
      <c r="M329" s="99">
        <v>13332</v>
      </c>
      <c r="N329" s="95">
        <v>2222</v>
      </c>
      <c r="O329" s="99">
        <f t="shared" si="44"/>
        <v>199.98</v>
      </c>
      <c r="P329" s="99">
        <f t="shared" si="45"/>
        <v>2421.98</v>
      </c>
      <c r="Q329" s="99"/>
      <c r="R329" s="99"/>
      <c r="S329" s="100"/>
      <c r="T329" s="101"/>
    </row>
    <row r="330" spans="2:20" ht="15" thickBot="1" x14ac:dyDescent="0.35">
      <c r="B330" s="98" t="s">
        <v>151</v>
      </c>
      <c r="C330" s="99">
        <v>1110</v>
      </c>
      <c r="D330" s="99">
        <v>2222</v>
      </c>
      <c r="E330" s="99">
        <f t="shared" si="42"/>
        <v>16.649999999999999</v>
      </c>
      <c r="F330" s="99">
        <f t="shared" si="43"/>
        <v>2238.65</v>
      </c>
      <c r="G330" s="99"/>
      <c r="H330" s="99"/>
      <c r="I330" s="100"/>
      <c r="J330" s="101"/>
      <c r="L330" s="98" t="s">
        <v>151</v>
      </c>
      <c r="M330" s="99">
        <v>1110</v>
      </c>
      <c r="N330" s="99">
        <v>2222</v>
      </c>
      <c r="O330" s="99">
        <f t="shared" si="44"/>
        <v>16.649999999999999</v>
      </c>
      <c r="P330" s="99">
        <f t="shared" si="45"/>
        <v>2238.65</v>
      </c>
      <c r="Q330" s="99"/>
      <c r="R330" s="99"/>
      <c r="S330" s="100"/>
      <c r="T330" s="101"/>
    </row>
    <row r="331" spans="2:20" x14ac:dyDescent="0.3">
      <c r="B331" s="98" t="s">
        <v>152</v>
      </c>
      <c r="C331" s="99">
        <v>8888</v>
      </c>
      <c r="D331" s="95">
        <v>2222</v>
      </c>
      <c r="E331" s="99">
        <f t="shared" si="42"/>
        <v>133.32</v>
      </c>
      <c r="F331" s="99">
        <f t="shared" si="43"/>
        <v>2355.3200000000002</v>
      </c>
      <c r="G331" s="99"/>
      <c r="H331" s="99"/>
      <c r="I331" s="100"/>
      <c r="J331" s="101"/>
      <c r="L331" s="98" t="s">
        <v>152</v>
      </c>
      <c r="M331" s="99">
        <v>8888</v>
      </c>
      <c r="N331" s="95">
        <v>2222</v>
      </c>
      <c r="O331" s="99">
        <f t="shared" si="44"/>
        <v>133.32</v>
      </c>
      <c r="P331" s="99">
        <f t="shared" si="45"/>
        <v>2355.3200000000002</v>
      </c>
      <c r="Q331" s="99"/>
      <c r="R331" s="99"/>
      <c r="S331" s="100"/>
      <c r="T331" s="101"/>
    </row>
    <row r="332" spans="2:20" ht="15" thickBot="1" x14ac:dyDescent="0.35">
      <c r="B332" s="98" t="s">
        <v>153</v>
      </c>
      <c r="C332" s="99">
        <v>6666</v>
      </c>
      <c r="D332" s="99">
        <v>2222</v>
      </c>
      <c r="E332" s="99">
        <f t="shared" si="42"/>
        <v>99.99</v>
      </c>
      <c r="F332" s="99">
        <f t="shared" si="43"/>
        <v>2321.9899999999998</v>
      </c>
      <c r="G332" s="99"/>
      <c r="H332" s="99"/>
      <c r="I332" s="100"/>
      <c r="J332" s="101"/>
      <c r="L332" s="98" t="s">
        <v>153</v>
      </c>
      <c r="M332" s="99">
        <v>6666</v>
      </c>
      <c r="N332" s="99">
        <v>2222</v>
      </c>
      <c r="O332" s="99">
        <f t="shared" si="44"/>
        <v>99.99</v>
      </c>
      <c r="P332" s="99">
        <f t="shared" si="45"/>
        <v>2321.9899999999998</v>
      </c>
      <c r="Q332" s="99"/>
      <c r="R332" s="99"/>
      <c r="S332" s="100"/>
      <c r="T332" s="101"/>
    </row>
    <row r="333" spans="2:20" x14ac:dyDescent="0.3">
      <c r="B333" s="98" t="s">
        <v>154</v>
      </c>
      <c r="C333" s="99">
        <v>4444</v>
      </c>
      <c r="D333" s="95">
        <v>2222</v>
      </c>
      <c r="E333" s="99">
        <f t="shared" si="42"/>
        <v>66.66</v>
      </c>
      <c r="F333" s="99">
        <f t="shared" si="43"/>
        <v>2288.66</v>
      </c>
      <c r="G333" s="99"/>
      <c r="H333" s="99"/>
      <c r="I333" s="100"/>
      <c r="J333" s="101"/>
      <c r="L333" s="98" t="s">
        <v>154</v>
      </c>
      <c r="M333" s="99">
        <v>4444</v>
      </c>
      <c r="N333" s="95">
        <v>2222</v>
      </c>
      <c r="O333" s="99">
        <f t="shared" si="44"/>
        <v>66.66</v>
      </c>
      <c r="P333" s="99">
        <f t="shared" si="45"/>
        <v>2288.66</v>
      </c>
      <c r="Q333" s="99"/>
      <c r="R333" s="99"/>
      <c r="S333" s="100"/>
      <c r="T333" s="101"/>
    </row>
    <row r="334" spans="2:20" ht="15" thickBot="1" x14ac:dyDescent="0.35">
      <c r="B334" s="103" t="s">
        <v>155</v>
      </c>
      <c r="C334" s="102">
        <v>2222</v>
      </c>
      <c r="D334" s="99">
        <v>2222</v>
      </c>
      <c r="E334" s="102">
        <f t="shared" si="42"/>
        <v>33.33</v>
      </c>
      <c r="F334" s="102">
        <f t="shared" si="43"/>
        <v>2255.33</v>
      </c>
      <c r="G334" s="102"/>
      <c r="H334" s="102"/>
      <c r="I334" s="104"/>
      <c r="J334" s="105" t="s">
        <v>42</v>
      </c>
      <c r="L334" s="103" t="s">
        <v>155</v>
      </c>
      <c r="M334" s="102">
        <v>2222</v>
      </c>
      <c r="N334" s="99">
        <v>2222</v>
      </c>
      <c r="O334" s="102">
        <f t="shared" si="44"/>
        <v>33.33</v>
      </c>
      <c r="P334" s="102">
        <f t="shared" si="45"/>
        <v>2255.33</v>
      </c>
      <c r="Q334" s="102"/>
      <c r="R334" s="102"/>
      <c r="S334" s="104"/>
      <c r="T334" s="105" t="s">
        <v>42</v>
      </c>
    </row>
    <row r="335" spans="2:20" x14ac:dyDescent="0.3">
      <c r="D335" s="118"/>
    </row>
    <row r="339" spans="1:20" x14ac:dyDescent="0.3">
      <c r="A339" s="1"/>
      <c r="B339" s="80" t="s">
        <v>0</v>
      </c>
      <c r="C339" s="77" t="s">
        <v>309</v>
      </c>
      <c r="D339" s="112"/>
      <c r="E339" s="112"/>
      <c r="F339" s="79"/>
      <c r="G339" s="80"/>
      <c r="I339" s="81" t="s">
        <v>1</v>
      </c>
      <c r="J339" s="82">
        <v>70000</v>
      </c>
      <c r="K339" s="1"/>
      <c r="L339" s="80" t="s">
        <v>0</v>
      </c>
      <c r="M339" s="77" t="s">
        <v>309</v>
      </c>
      <c r="N339" s="112"/>
      <c r="O339" s="112"/>
      <c r="P339" s="79"/>
      <c r="Q339" s="80"/>
      <c r="S339" s="81" t="s">
        <v>1</v>
      </c>
      <c r="T339" s="82">
        <v>70000</v>
      </c>
    </row>
    <row r="340" spans="1:20" x14ac:dyDescent="0.3">
      <c r="A340" s="1"/>
      <c r="B340" s="80" t="s">
        <v>2</v>
      </c>
      <c r="C340" s="131"/>
      <c r="D340" s="132"/>
      <c r="E340" s="83"/>
      <c r="F340" s="81"/>
      <c r="G340" s="81"/>
      <c r="H340" s="84"/>
      <c r="I340" s="81" t="s">
        <v>3</v>
      </c>
      <c r="J340" s="85" t="s">
        <v>280</v>
      </c>
      <c r="K340" s="1"/>
      <c r="L340" s="80" t="s">
        <v>2</v>
      </c>
      <c r="M340" s="131"/>
      <c r="N340" s="132"/>
      <c r="O340" s="83"/>
      <c r="P340" s="81"/>
      <c r="Q340" s="81"/>
      <c r="R340" s="84"/>
      <c r="S340" s="81" t="s">
        <v>3</v>
      </c>
      <c r="T340" s="85" t="s">
        <v>280</v>
      </c>
    </row>
    <row r="341" spans="1:20" x14ac:dyDescent="0.3">
      <c r="A341" s="1"/>
      <c r="B341" s="80" t="s">
        <v>4</v>
      </c>
      <c r="C341" s="112"/>
      <c r="D341" s="132"/>
      <c r="E341" s="78"/>
      <c r="F341" s="81"/>
      <c r="G341" s="81"/>
      <c r="H341" s="81"/>
      <c r="I341" s="81" t="s">
        <v>5</v>
      </c>
      <c r="J341" s="86">
        <v>1.4999999999999999E-2</v>
      </c>
      <c r="K341" s="1"/>
      <c r="L341" s="80" t="s">
        <v>4</v>
      </c>
      <c r="M341" s="112"/>
      <c r="N341" s="132"/>
      <c r="O341" s="78"/>
      <c r="P341" s="81"/>
      <c r="Q341" s="81"/>
      <c r="R341" s="81"/>
      <c r="S341" s="81" t="s">
        <v>5</v>
      </c>
      <c r="T341" s="86">
        <v>1.4999999999999999E-2</v>
      </c>
    </row>
    <row r="342" spans="1:20" ht="15" thickBot="1" x14ac:dyDescent="0.35">
      <c r="A342" s="1"/>
      <c r="B342" s="80" t="s">
        <v>6</v>
      </c>
      <c r="C342" s="87"/>
      <c r="D342" s="87"/>
      <c r="E342" s="88"/>
      <c r="F342" s="88"/>
      <c r="G342" s="88"/>
      <c r="H342" s="88"/>
      <c r="I342" s="88" t="s">
        <v>7</v>
      </c>
      <c r="J342" s="78">
        <v>48</v>
      </c>
      <c r="K342" s="1"/>
      <c r="L342" s="80" t="s">
        <v>6</v>
      </c>
      <c r="M342" s="87"/>
      <c r="N342" s="87"/>
      <c r="O342" s="88"/>
      <c r="P342" s="88"/>
      <c r="Q342" s="88"/>
      <c r="R342" s="88"/>
      <c r="S342" s="88" t="s">
        <v>7</v>
      </c>
      <c r="T342" s="78">
        <v>48</v>
      </c>
    </row>
    <row r="343" spans="1:20" ht="41.4" thickBot="1" x14ac:dyDescent="0.35">
      <c r="A343" s="1"/>
      <c r="B343" s="89" t="s">
        <v>8</v>
      </c>
      <c r="C343" s="89" t="s">
        <v>9</v>
      </c>
      <c r="D343" s="89" t="s">
        <v>10</v>
      </c>
      <c r="E343" s="90" t="s">
        <v>11</v>
      </c>
      <c r="F343" s="91" t="s">
        <v>12</v>
      </c>
      <c r="G343" s="92" t="s">
        <v>13</v>
      </c>
      <c r="H343" s="92" t="s">
        <v>14</v>
      </c>
      <c r="I343" s="92" t="s">
        <v>15</v>
      </c>
      <c r="J343" s="93" t="s">
        <v>16</v>
      </c>
      <c r="K343" s="1"/>
      <c r="L343" s="89" t="s">
        <v>8</v>
      </c>
      <c r="M343" s="89" t="s">
        <v>9</v>
      </c>
      <c r="N343" s="89" t="s">
        <v>10</v>
      </c>
      <c r="O343" s="90" t="s">
        <v>11</v>
      </c>
      <c r="P343" s="91" t="s">
        <v>12</v>
      </c>
      <c r="Q343" s="92" t="s">
        <v>13</v>
      </c>
      <c r="R343" s="92" t="s">
        <v>14</v>
      </c>
      <c r="S343" s="92" t="s">
        <v>15</v>
      </c>
      <c r="T343" s="93" t="s">
        <v>16</v>
      </c>
    </row>
    <row r="344" spans="1:20" x14ac:dyDescent="0.3">
      <c r="A344" s="1"/>
      <c r="B344" s="94" t="s">
        <v>17</v>
      </c>
      <c r="C344" s="95">
        <f>J339</f>
        <v>70000</v>
      </c>
      <c r="D344" s="95">
        <f>J339/J342</f>
        <v>1458.3333333333333</v>
      </c>
      <c r="E344" s="95">
        <f t="shared" ref="E344:E367" si="46">(C344*0.015)</f>
        <v>1050</v>
      </c>
      <c r="F344" s="95">
        <f t="shared" ref="F344:F367" si="47">SUM(D344:E344)</f>
        <v>2508.333333333333</v>
      </c>
      <c r="G344" s="95">
        <v>4000</v>
      </c>
      <c r="H344" s="126" t="s">
        <v>281</v>
      </c>
      <c r="I344" s="128" t="s">
        <v>287</v>
      </c>
      <c r="J344" s="97"/>
      <c r="K344" s="1"/>
      <c r="L344" s="94" t="s">
        <v>17</v>
      </c>
      <c r="M344" s="95">
        <f>T339</f>
        <v>70000</v>
      </c>
      <c r="N344" s="95">
        <f>T339/T342</f>
        <v>1458.3333333333333</v>
      </c>
      <c r="O344" s="95">
        <f t="shared" ref="O344:O367" si="48">(M344*0.015)</f>
        <v>1050</v>
      </c>
      <c r="P344" s="95">
        <f t="shared" ref="P344:P367" si="49">SUM(N344:O344)</f>
        <v>2508.333333333333</v>
      </c>
      <c r="Q344" s="95">
        <v>4000</v>
      </c>
      <c r="R344" s="126" t="s">
        <v>281</v>
      </c>
      <c r="S344" s="128" t="s">
        <v>287</v>
      </c>
      <c r="T344" s="97"/>
    </row>
    <row r="345" spans="1:20" ht="15" thickBot="1" x14ac:dyDescent="0.35">
      <c r="A345" s="1"/>
      <c r="B345" s="98" t="s">
        <v>18</v>
      </c>
      <c r="C345" s="99">
        <v>68526</v>
      </c>
      <c r="D345" s="99">
        <v>1458</v>
      </c>
      <c r="E345" s="99">
        <f t="shared" si="46"/>
        <v>1027.8899999999999</v>
      </c>
      <c r="F345" s="99">
        <f t="shared" si="47"/>
        <v>2485.89</v>
      </c>
      <c r="G345" s="99">
        <v>5000</v>
      </c>
      <c r="H345" s="127" t="s">
        <v>282</v>
      </c>
      <c r="I345" s="129" t="s">
        <v>288</v>
      </c>
      <c r="J345" s="101"/>
      <c r="K345" s="1"/>
      <c r="L345" s="98" t="s">
        <v>18</v>
      </c>
      <c r="M345" s="99">
        <v>68526</v>
      </c>
      <c r="N345" s="99">
        <v>1458</v>
      </c>
      <c r="O345" s="99">
        <f t="shared" si="48"/>
        <v>1027.8899999999999</v>
      </c>
      <c r="P345" s="99">
        <f t="shared" si="49"/>
        <v>2485.89</v>
      </c>
      <c r="Q345" s="99">
        <v>5000</v>
      </c>
      <c r="R345" s="127" t="s">
        <v>282</v>
      </c>
      <c r="S345" s="129" t="s">
        <v>288</v>
      </c>
      <c r="T345" s="101"/>
    </row>
    <row r="346" spans="1:20" x14ac:dyDescent="0.3">
      <c r="B346" s="98" t="s">
        <v>19</v>
      </c>
      <c r="C346" s="99">
        <v>67068</v>
      </c>
      <c r="D346" s="95">
        <v>1458</v>
      </c>
      <c r="E346" s="99">
        <f t="shared" si="46"/>
        <v>1006.02</v>
      </c>
      <c r="F346" s="99">
        <f t="shared" si="47"/>
        <v>2464.02</v>
      </c>
      <c r="G346" s="99">
        <v>5000</v>
      </c>
      <c r="H346" s="127" t="s">
        <v>283</v>
      </c>
      <c r="I346" s="129" t="s">
        <v>289</v>
      </c>
      <c r="J346" s="101"/>
      <c r="L346" s="98" t="s">
        <v>19</v>
      </c>
      <c r="M346" s="99">
        <v>67068</v>
      </c>
      <c r="N346" s="95">
        <v>1458</v>
      </c>
      <c r="O346" s="99">
        <f t="shared" si="48"/>
        <v>1006.02</v>
      </c>
      <c r="P346" s="99">
        <f t="shared" si="49"/>
        <v>2464.02</v>
      </c>
      <c r="Q346" s="99">
        <v>5000</v>
      </c>
      <c r="R346" s="127" t="s">
        <v>283</v>
      </c>
      <c r="S346" s="129" t="s">
        <v>289</v>
      </c>
      <c r="T346" s="101"/>
    </row>
    <row r="347" spans="1:20" ht="15" thickBot="1" x14ac:dyDescent="0.35">
      <c r="B347" s="98" t="s">
        <v>20</v>
      </c>
      <c r="C347" s="99">
        <v>65610</v>
      </c>
      <c r="D347" s="99">
        <v>1458</v>
      </c>
      <c r="E347" s="99">
        <f t="shared" si="46"/>
        <v>984.15</v>
      </c>
      <c r="F347" s="99">
        <f t="shared" si="47"/>
        <v>2442.15</v>
      </c>
      <c r="G347" s="99">
        <v>5000</v>
      </c>
      <c r="H347" s="127" t="s">
        <v>284</v>
      </c>
      <c r="I347" s="129" t="s">
        <v>290</v>
      </c>
      <c r="J347" s="101"/>
      <c r="L347" s="98" t="s">
        <v>20</v>
      </c>
      <c r="M347" s="99">
        <v>65610</v>
      </c>
      <c r="N347" s="99">
        <v>1458</v>
      </c>
      <c r="O347" s="99">
        <f t="shared" si="48"/>
        <v>984.15</v>
      </c>
      <c r="P347" s="99">
        <f t="shared" si="49"/>
        <v>2442.15</v>
      </c>
      <c r="Q347" s="99">
        <v>5000</v>
      </c>
      <c r="R347" s="127" t="s">
        <v>284</v>
      </c>
      <c r="S347" s="129" t="s">
        <v>290</v>
      </c>
      <c r="T347" s="101"/>
    </row>
    <row r="348" spans="1:20" ht="15" thickBot="1" x14ac:dyDescent="0.35">
      <c r="B348" s="98" t="s">
        <v>21</v>
      </c>
      <c r="C348" s="99">
        <v>64152</v>
      </c>
      <c r="D348" s="95">
        <v>1458</v>
      </c>
      <c r="E348" s="99">
        <f t="shared" si="46"/>
        <v>962.28</v>
      </c>
      <c r="F348" s="99">
        <f t="shared" si="47"/>
        <v>2420.2799999999997</v>
      </c>
      <c r="G348" s="99">
        <v>6000</v>
      </c>
      <c r="H348" s="127" t="s">
        <v>285</v>
      </c>
      <c r="I348" s="129" t="s">
        <v>291</v>
      </c>
      <c r="J348" s="101"/>
      <c r="L348" s="98" t="s">
        <v>21</v>
      </c>
      <c r="M348" s="99">
        <v>64152</v>
      </c>
      <c r="N348" s="95">
        <v>1458</v>
      </c>
      <c r="O348" s="99">
        <f t="shared" si="48"/>
        <v>962.28</v>
      </c>
      <c r="P348" s="99">
        <f t="shared" si="49"/>
        <v>2420.2799999999997</v>
      </c>
      <c r="Q348" s="99">
        <v>6000</v>
      </c>
      <c r="R348" s="127" t="s">
        <v>285</v>
      </c>
      <c r="S348" s="129" t="s">
        <v>291</v>
      </c>
      <c r="T348" s="101"/>
    </row>
    <row r="349" spans="1:20" x14ac:dyDescent="0.3">
      <c r="B349" s="98" t="s">
        <v>23</v>
      </c>
      <c r="C349" s="99">
        <v>62694</v>
      </c>
      <c r="D349" s="95">
        <v>1458</v>
      </c>
      <c r="E349" s="99">
        <f t="shared" si="46"/>
        <v>940.41</v>
      </c>
      <c r="F349" s="99">
        <f t="shared" si="47"/>
        <v>2398.41</v>
      </c>
      <c r="G349" s="99">
        <v>2000</v>
      </c>
      <c r="H349" s="127" t="s">
        <v>286</v>
      </c>
      <c r="I349" s="129" t="s">
        <v>292</v>
      </c>
      <c r="J349" s="101"/>
      <c r="L349" s="98" t="s">
        <v>23</v>
      </c>
      <c r="M349" s="99">
        <v>62694</v>
      </c>
      <c r="N349" s="95">
        <v>1458</v>
      </c>
      <c r="O349" s="99">
        <f t="shared" si="48"/>
        <v>940.41</v>
      </c>
      <c r="P349" s="99">
        <f t="shared" si="49"/>
        <v>2398.41</v>
      </c>
      <c r="Q349" s="99">
        <v>2000</v>
      </c>
      <c r="R349" s="127" t="s">
        <v>286</v>
      </c>
      <c r="S349" s="129" t="s">
        <v>292</v>
      </c>
      <c r="T349" s="101"/>
    </row>
    <row r="350" spans="1:20" ht="15" thickBot="1" x14ac:dyDescent="0.35">
      <c r="B350" s="98" t="s">
        <v>24</v>
      </c>
      <c r="C350" s="99">
        <v>61236</v>
      </c>
      <c r="D350" s="99">
        <v>1458</v>
      </c>
      <c r="E350" s="99">
        <f t="shared" si="46"/>
        <v>918.54</v>
      </c>
      <c r="F350" s="99">
        <f t="shared" si="47"/>
        <v>2376.54</v>
      </c>
      <c r="G350" s="99">
        <v>2000</v>
      </c>
      <c r="H350" s="127" t="s">
        <v>302</v>
      </c>
      <c r="I350" s="129" t="s">
        <v>293</v>
      </c>
      <c r="J350" s="101"/>
      <c r="L350" s="98" t="s">
        <v>24</v>
      </c>
      <c r="M350" s="99">
        <v>61236</v>
      </c>
      <c r="N350" s="99">
        <v>1458</v>
      </c>
      <c r="O350" s="99">
        <f t="shared" si="48"/>
        <v>918.54</v>
      </c>
      <c r="P350" s="99">
        <f t="shared" si="49"/>
        <v>2376.54</v>
      </c>
      <c r="Q350" s="99">
        <v>2000</v>
      </c>
      <c r="R350" s="127" t="s">
        <v>302</v>
      </c>
      <c r="S350" s="129" t="s">
        <v>293</v>
      </c>
      <c r="T350" s="101"/>
    </row>
    <row r="351" spans="1:20" x14ac:dyDescent="0.3">
      <c r="B351" s="98" t="s">
        <v>25</v>
      </c>
      <c r="C351" s="99">
        <v>59778</v>
      </c>
      <c r="D351" s="95">
        <v>1458</v>
      </c>
      <c r="E351" s="99">
        <f t="shared" si="46"/>
        <v>896.67</v>
      </c>
      <c r="F351" s="99">
        <f t="shared" si="47"/>
        <v>2354.67</v>
      </c>
      <c r="G351" s="99">
        <v>2000</v>
      </c>
      <c r="H351" s="127" t="s">
        <v>303</v>
      </c>
      <c r="I351" s="129" t="s">
        <v>294</v>
      </c>
      <c r="J351" s="101"/>
      <c r="L351" s="98" t="s">
        <v>25</v>
      </c>
      <c r="M351" s="99">
        <v>59778</v>
      </c>
      <c r="N351" s="95">
        <v>1458</v>
      </c>
      <c r="O351" s="99">
        <f t="shared" si="48"/>
        <v>896.67</v>
      </c>
      <c r="P351" s="99">
        <f t="shared" si="49"/>
        <v>2354.67</v>
      </c>
      <c r="Q351" s="99">
        <v>2000</v>
      </c>
      <c r="R351" s="127" t="s">
        <v>303</v>
      </c>
      <c r="S351" s="129" t="s">
        <v>294</v>
      </c>
      <c r="T351" s="101"/>
    </row>
    <row r="352" spans="1:20" ht="15" thickBot="1" x14ac:dyDescent="0.35">
      <c r="B352" s="98" t="s">
        <v>26</v>
      </c>
      <c r="C352" s="99">
        <v>58320</v>
      </c>
      <c r="D352" s="99">
        <v>1458</v>
      </c>
      <c r="E352" s="99">
        <f t="shared" si="46"/>
        <v>874.8</v>
      </c>
      <c r="F352" s="99">
        <f t="shared" si="47"/>
        <v>2332.8000000000002</v>
      </c>
      <c r="G352" s="99">
        <v>4000</v>
      </c>
      <c r="H352" s="127" t="s">
        <v>304</v>
      </c>
      <c r="I352" s="129" t="s">
        <v>295</v>
      </c>
      <c r="J352" s="101"/>
      <c r="L352" s="98" t="s">
        <v>26</v>
      </c>
      <c r="M352" s="99">
        <v>58320</v>
      </c>
      <c r="N352" s="99">
        <v>1458</v>
      </c>
      <c r="O352" s="99">
        <f t="shared" si="48"/>
        <v>874.8</v>
      </c>
      <c r="P352" s="99">
        <f t="shared" si="49"/>
        <v>2332.8000000000002</v>
      </c>
      <c r="Q352" s="99">
        <v>4000</v>
      </c>
      <c r="R352" s="127" t="s">
        <v>304</v>
      </c>
      <c r="S352" s="129" t="s">
        <v>295</v>
      </c>
      <c r="T352" s="101"/>
    </row>
    <row r="353" spans="2:20" ht="15" thickBot="1" x14ac:dyDescent="0.35">
      <c r="B353" s="98" t="s">
        <v>27</v>
      </c>
      <c r="C353" s="99">
        <v>56862</v>
      </c>
      <c r="D353" s="95">
        <v>1458</v>
      </c>
      <c r="E353" s="99">
        <f t="shared" si="46"/>
        <v>852.93</v>
      </c>
      <c r="F353" s="99">
        <f t="shared" si="47"/>
        <v>2310.9299999999998</v>
      </c>
      <c r="G353" s="99">
        <v>2000</v>
      </c>
      <c r="H353" s="127" t="s">
        <v>305</v>
      </c>
      <c r="I353" s="129" t="s">
        <v>296</v>
      </c>
      <c r="J353" s="101"/>
      <c r="L353" s="98" t="s">
        <v>27</v>
      </c>
      <c r="M353" s="99">
        <v>56862</v>
      </c>
      <c r="N353" s="95">
        <v>1458</v>
      </c>
      <c r="O353" s="99">
        <f t="shared" si="48"/>
        <v>852.93</v>
      </c>
      <c r="P353" s="99">
        <f t="shared" si="49"/>
        <v>2310.9299999999998</v>
      </c>
      <c r="Q353" s="99">
        <v>2000</v>
      </c>
      <c r="R353" s="127" t="s">
        <v>305</v>
      </c>
      <c r="S353" s="129" t="s">
        <v>296</v>
      </c>
      <c r="T353" s="101"/>
    </row>
    <row r="354" spans="2:20" x14ac:dyDescent="0.3">
      <c r="B354" s="98" t="s">
        <v>28</v>
      </c>
      <c r="C354" s="99">
        <v>55404</v>
      </c>
      <c r="D354" s="95">
        <v>1458</v>
      </c>
      <c r="E354" s="99">
        <f t="shared" si="46"/>
        <v>831.06</v>
      </c>
      <c r="F354" s="99">
        <f t="shared" si="47"/>
        <v>2289.06</v>
      </c>
      <c r="G354" s="99">
        <v>2000</v>
      </c>
      <c r="H354" s="127" t="s">
        <v>169</v>
      </c>
      <c r="I354" s="129" t="s">
        <v>297</v>
      </c>
      <c r="J354" s="101"/>
      <c r="L354" s="98" t="s">
        <v>28</v>
      </c>
      <c r="M354" s="99">
        <v>55404</v>
      </c>
      <c r="N354" s="95">
        <v>1458</v>
      </c>
      <c r="O354" s="99">
        <f t="shared" si="48"/>
        <v>831.06</v>
      </c>
      <c r="P354" s="99">
        <f t="shared" si="49"/>
        <v>2289.06</v>
      </c>
      <c r="Q354" s="99">
        <v>2000</v>
      </c>
      <c r="R354" s="127" t="s">
        <v>169</v>
      </c>
      <c r="S354" s="129" t="s">
        <v>297</v>
      </c>
      <c r="T354" s="101"/>
    </row>
    <row r="355" spans="2:20" ht="15" thickBot="1" x14ac:dyDescent="0.35">
      <c r="B355" s="98" t="s">
        <v>29</v>
      </c>
      <c r="C355" s="99">
        <v>53946</v>
      </c>
      <c r="D355" s="99">
        <v>1458</v>
      </c>
      <c r="E355" s="99">
        <f t="shared" si="46"/>
        <v>809.18999999999994</v>
      </c>
      <c r="F355" s="99">
        <f t="shared" si="47"/>
        <v>2267.19</v>
      </c>
      <c r="G355" s="99">
        <v>2000</v>
      </c>
      <c r="H355" s="127" t="s">
        <v>306</v>
      </c>
      <c r="I355" s="129" t="s">
        <v>298</v>
      </c>
      <c r="J355" s="101"/>
      <c r="L355" s="98" t="s">
        <v>29</v>
      </c>
      <c r="M355" s="99">
        <v>53946</v>
      </c>
      <c r="N355" s="99">
        <v>1458</v>
      </c>
      <c r="O355" s="99">
        <f t="shared" si="48"/>
        <v>809.18999999999994</v>
      </c>
      <c r="P355" s="99">
        <f t="shared" si="49"/>
        <v>2267.19</v>
      </c>
      <c r="Q355" s="99">
        <v>2000</v>
      </c>
      <c r="R355" s="127" t="s">
        <v>306</v>
      </c>
      <c r="S355" s="129" t="s">
        <v>298</v>
      </c>
      <c r="T355" s="101"/>
    </row>
    <row r="356" spans="2:20" x14ac:dyDescent="0.3">
      <c r="B356" s="98" t="s">
        <v>30</v>
      </c>
      <c r="C356" s="99">
        <v>52488</v>
      </c>
      <c r="D356" s="95">
        <v>1458</v>
      </c>
      <c r="E356" s="99">
        <f t="shared" si="46"/>
        <v>787.31999999999994</v>
      </c>
      <c r="F356" s="99">
        <f t="shared" si="47"/>
        <v>2245.3199999999997</v>
      </c>
      <c r="G356" s="99">
        <v>6000</v>
      </c>
      <c r="H356" s="127" t="s">
        <v>198</v>
      </c>
      <c r="I356" s="129" t="s">
        <v>299</v>
      </c>
      <c r="J356" s="101"/>
      <c r="L356" s="98" t="s">
        <v>30</v>
      </c>
      <c r="M356" s="99">
        <v>52488</v>
      </c>
      <c r="N356" s="95">
        <v>1458</v>
      </c>
      <c r="O356" s="99">
        <f t="shared" si="48"/>
        <v>787.31999999999994</v>
      </c>
      <c r="P356" s="99">
        <f t="shared" si="49"/>
        <v>2245.3199999999997</v>
      </c>
      <c r="Q356" s="99">
        <v>6000</v>
      </c>
      <c r="R356" s="127" t="s">
        <v>198</v>
      </c>
      <c r="S356" s="129" t="s">
        <v>299</v>
      </c>
      <c r="T356" s="101"/>
    </row>
    <row r="357" spans="2:20" ht="15" thickBot="1" x14ac:dyDescent="0.35">
      <c r="B357" s="98" t="s">
        <v>31</v>
      </c>
      <c r="C357" s="99">
        <v>51030</v>
      </c>
      <c r="D357" s="99">
        <v>1458</v>
      </c>
      <c r="E357" s="99">
        <f t="shared" si="46"/>
        <v>765.44999999999993</v>
      </c>
      <c r="F357" s="99">
        <f t="shared" si="47"/>
        <v>2223.4499999999998</v>
      </c>
      <c r="G357" s="99">
        <v>2000</v>
      </c>
      <c r="H357" s="127" t="s">
        <v>307</v>
      </c>
      <c r="I357" s="129" t="s">
        <v>300</v>
      </c>
      <c r="J357" s="101"/>
      <c r="L357" s="98" t="s">
        <v>31</v>
      </c>
      <c r="M357" s="99">
        <v>51030</v>
      </c>
      <c r="N357" s="99">
        <v>1458</v>
      </c>
      <c r="O357" s="99">
        <f t="shared" si="48"/>
        <v>765.44999999999993</v>
      </c>
      <c r="P357" s="99">
        <f t="shared" si="49"/>
        <v>2223.4499999999998</v>
      </c>
      <c r="Q357" s="99">
        <v>2000</v>
      </c>
      <c r="R357" s="127" t="s">
        <v>307</v>
      </c>
      <c r="S357" s="129" t="s">
        <v>300</v>
      </c>
      <c r="T357" s="101"/>
    </row>
    <row r="358" spans="2:20" ht="15" thickBot="1" x14ac:dyDescent="0.35">
      <c r="B358" s="98" t="s">
        <v>32</v>
      </c>
      <c r="C358" s="99">
        <v>49572</v>
      </c>
      <c r="D358" s="95">
        <v>1458</v>
      </c>
      <c r="E358" s="99">
        <f t="shared" si="46"/>
        <v>743.57999999999993</v>
      </c>
      <c r="F358" s="99">
        <f t="shared" si="47"/>
        <v>2201.58</v>
      </c>
      <c r="G358" s="99">
        <v>3706.78</v>
      </c>
      <c r="H358" s="127" t="s">
        <v>308</v>
      </c>
      <c r="I358" s="129" t="s">
        <v>301</v>
      </c>
      <c r="J358" s="101"/>
      <c r="L358" s="98" t="s">
        <v>32</v>
      </c>
      <c r="M358" s="99">
        <v>49572</v>
      </c>
      <c r="N358" s="95">
        <v>1458</v>
      </c>
      <c r="O358" s="99">
        <f t="shared" si="48"/>
        <v>743.57999999999993</v>
      </c>
      <c r="P358" s="99">
        <f t="shared" si="49"/>
        <v>2201.58</v>
      </c>
      <c r="Q358" s="99">
        <v>3706.78</v>
      </c>
      <c r="R358" s="127" t="s">
        <v>308</v>
      </c>
      <c r="S358" s="129" t="s">
        <v>301</v>
      </c>
      <c r="T358" s="101"/>
    </row>
    <row r="359" spans="2:20" x14ac:dyDescent="0.3">
      <c r="B359" s="98" t="s">
        <v>33</v>
      </c>
      <c r="C359" s="99">
        <v>48114</v>
      </c>
      <c r="D359" s="95">
        <v>1458</v>
      </c>
      <c r="E359" s="99">
        <f t="shared" si="46"/>
        <v>721.70999999999992</v>
      </c>
      <c r="F359" s="99">
        <f t="shared" si="47"/>
        <v>2179.71</v>
      </c>
      <c r="G359" s="99"/>
      <c r="H359" s="99"/>
      <c r="I359" s="100"/>
      <c r="J359" s="101"/>
      <c r="L359" s="98" t="s">
        <v>33</v>
      </c>
      <c r="M359" s="99">
        <v>48114</v>
      </c>
      <c r="N359" s="95">
        <v>1458</v>
      </c>
      <c r="O359" s="99">
        <f t="shared" si="48"/>
        <v>721.70999999999992</v>
      </c>
      <c r="P359" s="99">
        <f t="shared" si="49"/>
        <v>2179.71</v>
      </c>
      <c r="Q359" s="99"/>
      <c r="R359" s="99"/>
      <c r="S359" s="100"/>
      <c r="T359" s="101"/>
    </row>
    <row r="360" spans="2:20" ht="15" thickBot="1" x14ac:dyDescent="0.35">
      <c r="B360" s="98" t="s">
        <v>34</v>
      </c>
      <c r="C360" s="99">
        <v>46656</v>
      </c>
      <c r="D360" s="99">
        <v>1458</v>
      </c>
      <c r="E360" s="99">
        <f t="shared" si="46"/>
        <v>699.83999999999992</v>
      </c>
      <c r="F360" s="99">
        <f t="shared" si="47"/>
        <v>2157.84</v>
      </c>
      <c r="G360" s="99"/>
      <c r="H360" s="99"/>
      <c r="I360" s="100"/>
      <c r="J360" s="101"/>
      <c r="L360" s="98" t="s">
        <v>34</v>
      </c>
      <c r="M360" s="99">
        <v>46656</v>
      </c>
      <c r="N360" s="99">
        <v>1458</v>
      </c>
      <c r="O360" s="99">
        <f t="shared" si="48"/>
        <v>699.83999999999992</v>
      </c>
      <c r="P360" s="99">
        <f t="shared" si="49"/>
        <v>2157.84</v>
      </c>
      <c r="Q360" s="99"/>
      <c r="R360" s="99"/>
      <c r="S360" s="100"/>
      <c r="T360" s="101"/>
    </row>
    <row r="361" spans="2:20" ht="15" thickBot="1" x14ac:dyDescent="0.35">
      <c r="B361" s="98" t="s">
        <v>35</v>
      </c>
      <c r="C361" s="99">
        <v>45198</v>
      </c>
      <c r="D361" s="95">
        <v>1458</v>
      </c>
      <c r="E361" s="99">
        <f t="shared" si="46"/>
        <v>677.97</v>
      </c>
      <c r="F361" s="99">
        <f t="shared" si="47"/>
        <v>2135.9700000000003</v>
      </c>
      <c r="G361" s="99"/>
      <c r="H361" s="99"/>
      <c r="I361" s="100"/>
      <c r="J361" s="101"/>
      <c r="L361" s="98" t="s">
        <v>35</v>
      </c>
      <c r="M361" s="99">
        <v>45198</v>
      </c>
      <c r="N361" s="95">
        <v>1458</v>
      </c>
      <c r="O361" s="99">
        <f t="shared" si="48"/>
        <v>677.97</v>
      </c>
      <c r="P361" s="99">
        <f t="shared" si="49"/>
        <v>2135.9700000000003</v>
      </c>
      <c r="Q361" s="99"/>
      <c r="R361" s="99"/>
      <c r="S361" s="100"/>
      <c r="T361" s="101"/>
    </row>
    <row r="362" spans="2:20" x14ac:dyDescent="0.3">
      <c r="B362" s="98" t="s">
        <v>36</v>
      </c>
      <c r="C362" s="99">
        <v>43740</v>
      </c>
      <c r="D362" s="95">
        <v>1458</v>
      </c>
      <c r="E362" s="99">
        <f t="shared" si="46"/>
        <v>656.1</v>
      </c>
      <c r="F362" s="99">
        <f t="shared" si="47"/>
        <v>2114.1</v>
      </c>
      <c r="G362" s="99"/>
      <c r="H362" s="99"/>
      <c r="I362" s="100"/>
      <c r="J362" s="101"/>
      <c r="L362" s="98" t="s">
        <v>36</v>
      </c>
      <c r="M362" s="99">
        <v>43740</v>
      </c>
      <c r="N362" s="95">
        <v>1458</v>
      </c>
      <c r="O362" s="99">
        <f t="shared" si="48"/>
        <v>656.1</v>
      </c>
      <c r="P362" s="99">
        <f t="shared" si="49"/>
        <v>2114.1</v>
      </c>
      <c r="Q362" s="99"/>
      <c r="R362" s="99"/>
      <c r="S362" s="100"/>
      <c r="T362" s="101"/>
    </row>
    <row r="363" spans="2:20" ht="15" thickBot="1" x14ac:dyDescent="0.35">
      <c r="B363" s="98" t="s">
        <v>37</v>
      </c>
      <c r="C363" s="99">
        <v>42282</v>
      </c>
      <c r="D363" s="99">
        <v>1458</v>
      </c>
      <c r="E363" s="99">
        <f t="shared" si="46"/>
        <v>634.23</v>
      </c>
      <c r="F363" s="99">
        <f t="shared" si="47"/>
        <v>2092.23</v>
      </c>
      <c r="G363" s="99"/>
      <c r="H363" s="99"/>
      <c r="I363" s="100"/>
      <c r="J363" s="101"/>
      <c r="L363" s="98" t="s">
        <v>37</v>
      </c>
      <c r="M363" s="99">
        <v>42282</v>
      </c>
      <c r="N363" s="99">
        <v>1458</v>
      </c>
      <c r="O363" s="99">
        <f t="shared" si="48"/>
        <v>634.23</v>
      </c>
      <c r="P363" s="99">
        <f t="shared" si="49"/>
        <v>2092.23</v>
      </c>
      <c r="Q363" s="99"/>
      <c r="R363" s="99"/>
      <c r="S363" s="100"/>
      <c r="T363" s="101"/>
    </row>
    <row r="364" spans="2:20" ht="15" thickBot="1" x14ac:dyDescent="0.35">
      <c r="B364" s="98" t="s">
        <v>38</v>
      </c>
      <c r="C364" s="99">
        <v>40824</v>
      </c>
      <c r="D364" s="95">
        <v>1458</v>
      </c>
      <c r="E364" s="99">
        <f t="shared" si="46"/>
        <v>612.36</v>
      </c>
      <c r="F364" s="99">
        <f t="shared" si="47"/>
        <v>2070.36</v>
      </c>
      <c r="G364" s="99"/>
      <c r="H364" s="99"/>
      <c r="I364" s="100"/>
      <c r="J364" s="101"/>
      <c r="L364" s="98" t="s">
        <v>38</v>
      </c>
      <c r="M364" s="99">
        <v>40824</v>
      </c>
      <c r="N364" s="95">
        <v>1458</v>
      </c>
      <c r="O364" s="99">
        <f t="shared" si="48"/>
        <v>612.36</v>
      </c>
      <c r="P364" s="99">
        <f t="shared" si="49"/>
        <v>2070.36</v>
      </c>
      <c r="Q364" s="99"/>
      <c r="R364" s="99"/>
      <c r="S364" s="100"/>
      <c r="T364" s="101"/>
    </row>
    <row r="365" spans="2:20" x14ac:dyDescent="0.3">
      <c r="B365" s="98" t="s">
        <v>39</v>
      </c>
      <c r="C365" s="99">
        <v>39366</v>
      </c>
      <c r="D365" s="95">
        <v>1458</v>
      </c>
      <c r="E365" s="99">
        <f t="shared" si="46"/>
        <v>590.49</v>
      </c>
      <c r="F365" s="99">
        <f t="shared" si="47"/>
        <v>2048.4899999999998</v>
      </c>
      <c r="G365" s="99"/>
      <c r="H365" s="99"/>
      <c r="I365" s="100"/>
      <c r="J365" s="101"/>
      <c r="L365" s="98" t="s">
        <v>39</v>
      </c>
      <c r="M365" s="99">
        <v>39366</v>
      </c>
      <c r="N365" s="95">
        <v>1458</v>
      </c>
      <c r="O365" s="99">
        <f t="shared" si="48"/>
        <v>590.49</v>
      </c>
      <c r="P365" s="99">
        <f t="shared" si="49"/>
        <v>2048.4899999999998</v>
      </c>
      <c r="Q365" s="99"/>
      <c r="R365" s="99"/>
      <c r="S365" s="100"/>
      <c r="T365" s="101"/>
    </row>
    <row r="366" spans="2:20" ht="15" thickBot="1" x14ac:dyDescent="0.35">
      <c r="B366" s="98" t="s">
        <v>40</v>
      </c>
      <c r="C366" s="99">
        <v>37908</v>
      </c>
      <c r="D366" s="99">
        <v>1458</v>
      </c>
      <c r="E366" s="99">
        <f t="shared" si="46"/>
        <v>568.62</v>
      </c>
      <c r="F366" s="99">
        <f t="shared" si="47"/>
        <v>2026.62</v>
      </c>
      <c r="G366" s="99"/>
      <c r="H366" s="99"/>
      <c r="I366" s="100"/>
      <c r="J366" s="101"/>
      <c r="L366" s="98" t="s">
        <v>40</v>
      </c>
      <c r="M366" s="99">
        <v>37908</v>
      </c>
      <c r="N366" s="99">
        <v>1458</v>
      </c>
      <c r="O366" s="99">
        <f t="shared" si="48"/>
        <v>568.62</v>
      </c>
      <c r="P366" s="99">
        <f t="shared" si="49"/>
        <v>2026.62</v>
      </c>
      <c r="Q366" s="99"/>
      <c r="R366" s="99"/>
      <c r="S366" s="100"/>
      <c r="T366" s="101"/>
    </row>
    <row r="367" spans="2:20" ht="15" thickBot="1" x14ac:dyDescent="0.35">
      <c r="B367" s="103" t="s">
        <v>41</v>
      </c>
      <c r="C367" s="102">
        <v>36450</v>
      </c>
      <c r="D367" s="95">
        <v>1458</v>
      </c>
      <c r="E367" s="102">
        <f t="shared" si="46"/>
        <v>546.75</v>
      </c>
      <c r="F367" s="102">
        <f t="shared" si="47"/>
        <v>2004.75</v>
      </c>
      <c r="G367" s="102"/>
      <c r="H367" s="102"/>
      <c r="I367" s="104"/>
      <c r="J367" s="105"/>
      <c r="L367" s="103" t="s">
        <v>41</v>
      </c>
      <c r="M367" s="102">
        <v>36450</v>
      </c>
      <c r="N367" s="95">
        <v>1458</v>
      </c>
      <c r="O367" s="102">
        <f t="shared" si="48"/>
        <v>546.75</v>
      </c>
      <c r="P367" s="102">
        <f t="shared" si="49"/>
        <v>2004.75</v>
      </c>
      <c r="Q367" s="102"/>
      <c r="R367" s="102"/>
      <c r="S367" s="104"/>
      <c r="T367" s="105"/>
    </row>
    <row r="368" spans="2:20" x14ac:dyDescent="0.3">
      <c r="F368" s="38"/>
      <c r="P368" s="38"/>
    </row>
    <row r="373" spans="2:20" ht="15" thickBot="1" x14ac:dyDescent="0.35"/>
    <row r="374" spans="2:20" x14ac:dyDescent="0.3">
      <c r="B374" s="98" t="s">
        <v>144</v>
      </c>
      <c r="C374" s="99">
        <v>34992</v>
      </c>
      <c r="D374" s="95">
        <v>1458</v>
      </c>
      <c r="E374" s="99">
        <f t="shared" ref="E374:E385" si="50">(C374*0.015)</f>
        <v>524.88</v>
      </c>
      <c r="F374" s="99">
        <f t="shared" ref="F374:F385" si="51">SUM(D374:E374)</f>
        <v>1982.88</v>
      </c>
      <c r="G374" s="99"/>
      <c r="H374" s="99"/>
      <c r="I374" s="100"/>
      <c r="J374" s="101"/>
      <c r="L374" s="98" t="s">
        <v>144</v>
      </c>
      <c r="M374" s="99">
        <v>34992</v>
      </c>
      <c r="N374" s="95">
        <v>1458</v>
      </c>
      <c r="O374" s="99">
        <f t="shared" ref="O374:O397" si="52">(M374*0.015)</f>
        <v>524.88</v>
      </c>
      <c r="P374" s="99">
        <f t="shared" ref="P374:P397" si="53">SUM(N374:O374)</f>
        <v>1982.88</v>
      </c>
      <c r="Q374" s="99"/>
      <c r="R374" s="99"/>
      <c r="S374" s="100"/>
      <c r="T374" s="101"/>
    </row>
    <row r="375" spans="2:20" ht="15" thickBot="1" x14ac:dyDescent="0.35">
      <c r="B375" s="98" t="s">
        <v>145</v>
      </c>
      <c r="C375" s="99">
        <v>33534</v>
      </c>
      <c r="D375" s="99">
        <v>1458</v>
      </c>
      <c r="E375" s="99">
        <f t="shared" si="50"/>
        <v>503.01</v>
      </c>
      <c r="F375" s="99">
        <f t="shared" si="51"/>
        <v>1961.01</v>
      </c>
      <c r="G375" s="99"/>
      <c r="H375" s="99"/>
      <c r="I375" s="100"/>
      <c r="J375" s="101"/>
      <c r="L375" s="98" t="s">
        <v>145</v>
      </c>
      <c r="M375" s="99">
        <v>33534</v>
      </c>
      <c r="N375" s="99">
        <v>1458</v>
      </c>
      <c r="O375" s="99">
        <f t="shared" si="52"/>
        <v>503.01</v>
      </c>
      <c r="P375" s="99">
        <f t="shared" si="53"/>
        <v>1961.01</v>
      </c>
      <c r="Q375" s="99"/>
      <c r="R375" s="99"/>
      <c r="S375" s="100"/>
      <c r="T375" s="101"/>
    </row>
    <row r="376" spans="2:20" x14ac:dyDescent="0.3">
      <c r="B376" s="98" t="s">
        <v>146</v>
      </c>
      <c r="C376" s="99">
        <v>32076</v>
      </c>
      <c r="D376" s="95">
        <v>1458</v>
      </c>
      <c r="E376" s="99">
        <f t="shared" si="50"/>
        <v>481.14</v>
      </c>
      <c r="F376" s="99">
        <f t="shared" si="51"/>
        <v>1939.1399999999999</v>
      </c>
      <c r="G376" s="99"/>
      <c r="H376" s="99"/>
      <c r="I376" s="100"/>
      <c r="J376" s="101"/>
      <c r="L376" s="98" t="s">
        <v>146</v>
      </c>
      <c r="M376" s="99">
        <v>32076</v>
      </c>
      <c r="N376" s="95">
        <v>1458</v>
      </c>
      <c r="O376" s="99">
        <f t="shared" si="52"/>
        <v>481.14</v>
      </c>
      <c r="P376" s="99">
        <f t="shared" si="53"/>
        <v>1939.1399999999999</v>
      </c>
      <c r="Q376" s="99"/>
      <c r="R376" s="99"/>
      <c r="S376" s="100"/>
      <c r="T376" s="101"/>
    </row>
    <row r="377" spans="2:20" ht="15" thickBot="1" x14ac:dyDescent="0.35">
      <c r="B377" s="98" t="s">
        <v>147</v>
      </c>
      <c r="C377" s="99">
        <v>30618</v>
      </c>
      <c r="D377" s="99">
        <v>1458</v>
      </c>
      <c r="E377" s="99">
        <f t="shared" si="50"/>
        <v>459.27</v>
      </c>
      <c r="F377" s="99">
        <f t="shared" si="51"/>
        <v>1917.27</v>
      </c>
      <c r="G377" s="99"/>
      <c r="H377" s="99"/>
      <c r="I377" s="100"/>
      <c r="J377" s="101"/>
      <c r="L377" s="98" t="s">
        <v>147</v>
      </c>
      <c r="M377" s="99">
        <v>30618</v>
      </c>
      <c r="N377" s="99">
        <v>1458</v>
      </c>
      <c r="O377" s="99">
        <f t="shared" si="52"/>
        <v>459.27</v>
      </c>
      <c r="P377" s="99">
        <f t="shared" si="53"/>
        <v>1917.27</v>
      </c>
      <c r="Q377" s="99"/>
      <c r="R377" s="99"/>
      <c r="S377" s="100"/>
      <c r="T377" s="101"/>
    </row>
    <row r="378" spans="2:20" ht="15" thickBot="1" x14ac:dyDescent="0.35">
      <c r="B378" s="98" t="s">
        <v>148</v>
      </c>
      <c r="C378" s="99">
        <v>29160</v>
      </c>
      <c r="D378" s="95">
        <v>1458</v>
      </c>
      <c r="E378" s="99">
        <f t="shared" si="50"/>
        <v>437.4</v>
      </c>
      <c r="F378" s="99">
        <f t="shared" si="51"/>
        <v>1895.4</v>
      </c>
      <c r="G378" s="99"/>
      <c r="H378" s="99"/>
      <c r="I378" s="100"/>
      <c r="J378" s="101"/>
      <c r="L378" s="98" t="s">
        <v>148</v>
      </c>
      <c r="M378" s="99">
        <v>29160</v>
      </c>
      <c r="N378" s="95">
        <v>1458</v>
      </c>
      <c r="O378" s="99">
        <f t="shared" si="52"/>
        <v>437.4</v>
      </c>
      <c r="P378" s="99">
        <f t="shared" si="53"/>
        <v>1895.4</v>
      </c>
      <c r="Q378" s="99"/>
      <c r="R378" s="99"/>
      <c r="S378" s="100"/>
      <c r="T378" s="101"/>
    </row>
    <row r="379" spans="2:20" x14ac:dyDescent="0.3">
      <c r="B379" s="98" t="s">
        <v>149</v>
      </c>
      <c r="C379" s="99">
        <v>27702</v>
      </c>
      <c r="D379" s="95">
        <v>1458</v>
      </c>
      <c r="E379" s="99">
        <f t="shared" si="50"/>
        <v>415.53</v>
      </c>
      <c r="F379" s="99">
        <f t="shared" si="51"/>
        <v>1873.53</v>
      </c>
      <c r="G379" s="99"/>
      <c r="H379" s="99"/>
      <c r="I379" s="100"/>
      <c r="J379" s="101"/>
      <c r="L379" s="98" t="s">
        <v>149</v>
      </c>
      <c r="M379" s="99">
        <v>27702</v>
      </c>
      <c r="N379" s="95">
        <v>1458</v>
      </c>
      <c r="O379" s="99">
        <f t="shared" si="52"/>
        <v>415.53</v>
      </c>
      <c r="P379" s="99">
        <f t="shared" si="53"/>
        <v>1873.53</v>
      </c>
      <c r="Q379" s="99"/>
      <c r="R379" s="99"/>
      <c r="S379" s="100"/>
      <c r="T379" s="101"/>
    </row>
    <row r="380" spans="2:20" ht="15" thickBot="1" x14ac:dyDescent="0.35">
      <c r="B380" s="98" t="s">
        <v>150</v>
      </c>
      <c r="C380" s="99">
        <v>26244</v>
      </c>
      <c r="D380" s="99">
        <v>1458</v>
      </c>
      <c r="E380" s="99">
        <f t="shared" si="50"/>
        <v>393.65999999999997</v>
      </c>
      <c r="F380" s="99">
        <f t="shared" si="51"/>
        <v>1851.6599999999999</v>
      </c>
      <c r="G380" s="99"/>
      <c r="H380" s="99"/>
      <c r="I380" s="100"/>
      <c r="J380" s="101"/>
      <c r="L380" s="98" t="s">
        <v>150</v>
      </c>
      <c r="M380" s="99">
        <v>26244</v>
      </c>
      <c r="N380" s="99">
        <v>1458</v>
      </c>
      <c r="O380" s="99">
        <f t="shared" si="52"/>
        <v>393.65999999999997</v>
      </c>
      <c r="P380" s="99">
        <f t="shared" si="53"/>
        <v>1851.6599999999999</v>
      </c>
      <c r="Q380" s="99"/>
      <c r="R380" s="99"/>
      <c r="S380" s="100"/>
      <c r="T380" s="101"/>
    </row>
    <row r="381" spans="2:20" x14ac:dyDescent="0.3">
      <c r="B381" s="98" t="s">
        <v>151</v>
      </c>
      <c r="C381" s="99">
        <v>24786</v>
      </c>
      <c r="D381" s="95">
        <v>1458</v>
      </c>
      <c r="E381" s="99">
        <f t="shared" si="50"/>
        <v>371.78999999999996</v>
      </c>
      <c r="F381" s="99">
        <f t="shared" si="51"/>
        <v>1829.79</v>
      </c>
      <c r="G381" s="99"/>
      <c r="H381" s="99"/>
      <c r="I381" s="100"/>
      <c r="J381" s="101"/>
      <c r="L381" s="98" t="s">
        <v>151</v>
      </c>
      <c r="M381" s="99">
        <v>24786</v>
      </c>
      <c r="N381" s="95">
        <v>1458</v>
      </c>
      <c r="O381" s="99">
        <f t="shared" si="52"/>
        <v>371.78999999999996</v>
      </c>
      <c r="P381" s="99">
        <f t="shared" si="53"/>
        <v>1829.79</v>
      </c>
      <c r="Q381" s="99"/>
      <c r="R381" s="99"/>
      <c r="S381" s="100"/>
      <c r="T381" s="101"/>
    </row>
    <row r="382" spans="2:20" ht="15" thickBot="1" x14ac:dyDescent="0.35">
      <c r="B382" s="98" t="s">
        <v>152</v>
      </c>
      <c r="C382" s="99">
        <v>23328</v>
      </c>
      <c r="D382" s="99">
        <v>1458</v>
      </c>
      <c r="E382" s="99">
        <f t="shared" si="50"/>
        <v>349.91999999999996</v>
      </c>
      <c r="F382" s="99">
        <f t="shared" si="51"/>
        <v>1807.92</v>
      </c>
      <c r="G382" s="99"/>
      <c r="H382" s="99"/>
      <c r="I382" s="100"/>
      <c r="J382" s="101"/>
      <c r="L382" s="98" t="s">
        <v>152</v>
      </c>
      <c r="M382" s="99">
        <v>23328</v>
      </c>
      <c r="N382" s="99">
        <v>1458</v>
      </c>
      <c r="O382" s="99">
        <f t="shared" si="52"/>
        <v>349.91999999999996</v>
      </c>
      <c r="P382" s="99">
        <f t="shared" si="53"/>
        <v>1807.92</v>
      </c>
      <c r="Q382" s="99"/>
      <c r="R382" s="99"/>
      <c r="S382" s="100"/>
      <c r="T382" s="101"/>
    </row>
    <row r="383" spans="2:20" ht="15" thickBot="1" x14ac:dyDescent="0.35">
      <c r="B383" s="98" t="s">
        <v>153</v>
      </c>
      <c r="C383" s="99">
        <v>21870</v>
      </c>
      <c r="D383" s="95">
        <v>1458</v>
      </c>
      <c r="E383" s="99">
        <f t="shared" si="50"/>
        <v>328.05</v>
      </c>
      <c r="F383" s="99">
        <f t="shared" si="51"/>
        <v>1786.05</v>
      </c>
      <c r="G383" s="99"/>
      <c r="H383" s="99"/>
      <c r="I383" s="100"/>
      <c r="J383" s="101"/>
      <c r="L383" s="98" t="s">
        <v>153</v>
      </c>
      <c r="M383" s="99">
        <v>21870</v>
      </c>
      <c r="N383" s="95">
        <v>1458</v>
      </c>
      <c r="O383" s="99">
        <f t="shared" si="52"/>
        <v>328.05</v>
      </c>
      <c r="P383" s="99">
        <f t="shared" si="53"/>
        <v>1786.05</v>
      </c>
      <c r="Q383" s="99"/>
      <c r="R383" s="99"/>
      <c r="S383" s="100"/>
      <c r="T383" s="101"/>
    </row>
    <row r="384" spans="2:20" x14ac:dyDescent="0.3">
      <c r="B384" s="98" t="s">
        <v>154</v>
      </c>
      <c r="C384" s="99">
        <v>20412</v>
      </c>
      <c r="D384" s="95">
        <v>1458</v>
      </c>
      <c r="E384" s="99">
        <f t="shared" si="50"/>
        <v>306.18</v>
      </c>
      <c r="F384" s="99">
        <f t="shared" si="51"/>
        <v>1764.18</v>
      </c>
      <c r="G384" s="99"/>
      <c r="H384" s="99"/>
      <c r="I384" s="100"/>
      <c r="J384" s="101"/>
      <c r="L384" s="98" t="s">
        <v>154</v>
      </c>
      <c r="M384" s="99">
        <v>20412</v>
      </c>
      <c r="N384" s="95">
        <v>1458</v>
      </c>
      <c r="O384" s="99">
        <f t="shared" si="52"/>
        <v>306.18</v>
      </c>
      <c r="P384" s="99">
        <f t="shared" si="53"/>
        <v>1764.18</v>
      </c>
      <c r="Q384" s="99"/>
      <c r="R384" s="99"/>
      <c r="S384" s="100"/>
      <c r="T384" s="101"/>
    </row>
    <row r="385" spans="2:20" ht="15" thickBot="1" x14ac:dyDescent="0.35">
      <c r="B385" s="103" t="s">
        <v>155</v>
      </c>
      <c r="C385" s="102">
        <v>18954</v>
      </c>
      <c r="D385" s="99">
        <v>1458</v>
      </c>
      <c r="E385" s="102">
        <f t="shared" si="50"/>
        <v>284.31</v>
      </c>
      <c r="F385" s="102">
        <f t="shared" si="51"/>
        <v>1742.31</v>
      </c>
      <c r="G385" s="102"/>
      <c r="H385" s="102"/>
      <c r="I385" s="104"/>
      <c r="J385" s="105"/>
      <c r="L385" s="103" t="s">
        <v>155</v>
      </c>
      <c r="M385" s="102">
        <v>18954</v>
      </c>
      <c r="N385" s="99">
        <v>1458</v>
      </c>
      <c r="O385" s="102">
        <f t="shared" si="52"/>
        <v>284.31</v>
      </c>
      <c r="P385" s="102">
        <f t="shared" si="53"/>
        <v>1742.31</v>
      </c>
      <c r="Q385" s="102"/>
      <c r="R385" s="102"/>
      <c r="S385" s="104"/>
      <c r="T385" s="105"/>
    </row>
    <row r="386" spans="2:20" x14ac:dyDescent="0.3">
      <c r="B386" s="94" t="s">
        <v>252</v>
      </c>
      <c r="C386" s="95">
        <v>17496</v>
      </c>
      <c r="D386" s="95">
        <v>1458</v>
      </c>
      <c r="E386" s="95">
        <f t="shared" ref="E386:E397" si="54">(C386*0.015)</f>
        <v>262.44</v>
      </c>
      <c r="F386" s="95">
        <f t="shared" ref="F386:F397" si="55">SUM(D386:E386)</f>
        <v>1720.44</v>
      </c>
      <c r="G386" s="95"/>
      <c r="H386" s="95"/>
      <c r="I386" s="96"/>
      <c r="J386" s="97"/>
      <c r="L386" s="94" t="s">
        <v>252</v>
      </c>
      <c r="M386" s="95">
        <v>17496</v>
      </c>
      <c r="N386" s="95">
        <v>1458</v>
      </c>
      <c r="O386" s="95">
        <f t="shared" si="52"/>
        <v>262.44</v>
      </c>
      <c r="P386" s="95">
        <f t="shared" si="53"/>
        <v>1720.44</v>
      </c>
      <c r="Q386" s="95"/>
      <c r="R386" s="95"/>
      <c r="S386" s="96"/>
      <c r="T386" s="97"/>
    </row>
    <row r="387" spans="2:20" ht="15" thickBot="1" x14ac:dyDescent="0.35">
      <c r="B387" s="98" t="s">
        <v>253</v>
      </c>
      <c r="C387" s="99">
        <v>16038</v>
      </c>
      <c r="D387" s="99">
        <v>1458</v>
      </c>
      <c r="E387" s="99">
        <f t="shared" si="54"/>
        <v>240.57</v>
      </c>
      <c r="F387" s="99">
        <f t="shared" si="55"/>
        <v>1698.57</v>
      </c>
      <c r="G387" s="99"/>
      <c r="H387" s="99"/>
      <c r="I387" s="100"/>
      <c r="J387" s="101"/>
      <c r="L387" s="98" t="s">
        <v>253</v>
      </c>
      <c r="M387" s="99">
        <v>16038</v>
      </c>
      <c r="N387" s="99">
        <v>1458</v>
      </c>
      <c r="O387" s="99">
        <f t="shared" si="52"/>
        <v>240.57</v>
      </c>
      <c r="P387" s="99">
        <f t="shared" si="53"/>
        <v>1698.57</v>
      </c>
      <c r="Q387" s="99"/>
      <c r="R387" s="99"/>
      <c r="S387" s="100"/>
      <c r="T387" s="101"/>
    </row>
    <row r="388" spans="2:20" ht="15" thickBot="1" x14ac:dyDescent="0.35">
      <c r="B388" s="98" t="s">
        <v>254</v>
      </c>
      <c r="C388" s="99">
        <v>14580</v>
      </c>
      <c r="D388" s="95">
        <v>1458</v>
      </c>
      <c r="E388" s="99">
        <f t="shared" si="54"/>
        <v>218.7</v>
      </c>
      <c r="F388" s="99">
        <f t="shared" si="55"/>
        <v>1676.7</v>
      </c>
      <c r="G388" s="99"/>
      <c r="H388" s="99"/>
      <c r="I388" s="100"/>
      <c r="J388" s="101"/>
      <c r="L388" s="98" t="s">
        <v>254</v>
      </c>
      <c r="M388" s="99">
        <v>14580</v>
      </c>
      <c r="N388" s="95">
        <v>1458</v>
      </c>
      <c r="O388" s="99">
        <f t="shared" si="52"/>
        <v>218.7</v>
      </c>
      <c r="P388" s="99">
        <f t="shared" si="53"/>
        <v>1676.7</v>
      </c>
      <c r="Q388" s="99"/>
      <c r="R388" s="99"/>
      <c r="S388" s="100"/>
      <c r="T388" s="101"/>
    </row>
    <row r="389" spans="2:20" x14ac:dyDescent="0.3">
      <c r="B389" s="98" t="s">
        <v>255</v>
      </c>
      <c r="C389" s="99">
        <v>13122</v>
      </c>
      <c r="D389" s="95">
        <v>1458</v>
      </c>
      <c r="E389" s="99">
        <f t="shared" si="54"/>
        <v>196.82999999999998</v>
      </c>
      <c r="F389" s="99">
        <f t="shared" si="55"/>
        <v>1654.83</v>
      </c>
      <c r="G389" s="99"/>
      <c r="H389" s="99"/>
      <c r="I389" s="100"/>
      <c r="J389" s="101"/>
      <c r="L389" s="98" t="s">
        <v>255</v>
      </c>
      <c r="M389" s="99">
        <v>13122</v>
      </c>
      <c r="N389" s="95">
        <v>1458</v>
      </c>
      <c r="O389" s="99">
        <f t="shared" si="52"/>
        <v>196.82999999999998</v>
      </c>
      <c r="P389" s="99">
        <f t="shared" si="53"/>
        <v>1654.83</v>
      </c>
      <c r="Q389" s="99"/>
      <c r="R389" s="99"/>
      <c r="S389" s="100"/>
      <c r="T389" s="101"/>
    </row>
    <row r="390" spans="2:20" ht="15" thickBot="1" x14ac:dyDescent="0.35">
      <c r="B390" s="98" t="s">
        <v>257</v>
      </c>
      <c r="C390" s="99">
        <v>11664</v>
      </c>
      <c r="D390" s="99">
        <v>1458</v>
      </c>
      <c r="E390" s="99">
        <f t="shared" si="54"/>
        <v>174.95999999999998</v>
      </c>
      <c r="F390" s="99">
        <f t="shared" si="55"/>
        <v>1632.96</v>
      </c>
      <c r="G390" s="99"/>
      <c r="H390" s="99"/>
      <c r="I390" s="100"/>
      <c r="J390" s="101"/>
      <c r="L390" s="98" t="s">
        <v>257</v>
      </c>
      <c r="M390" s="99">
        <v>11664</v>
      </c>
      <c r="N390" s="99">
        <v>1458</v>
      </c>
      <c r="O390" s="99">
        <f t="shared" si="52"/>
        <v>174.95999999999998</v>
      </c>
      <c r="P390" s="99">
        <f t="shared" si="53"/>
        <v>1632.96</v>
      </c>
      <c r="Q390" s="99"/>
      <c r="R390" s="99"/>
      <c r="S390" s="100"/>
      <c r="T390" s="101"/>
    </row>
    <row r="391" spans="2:20" ht="15" thickBot="1" x14ac:dyDescent="0.35">
      <c r="B391" s="98" t="s">
        <v>258</v>
      </c>
      <c r="C391" s="99">
        <v>10206</v>
      </c>
      <c r="D391" s="95">
        <v>1458</v>
      </c>
      <c r="E391" s="99">
        <f t="shared" si="54"/>
        <v>153.09</v>
      </c>
      <c r="F391" s="99">
        <f t="shared" si="55"/>
        <v>1611.09</v>
      </c>
      <c r="G391" s="99"/>
      <c r="H391" s="99"/>
      <c r="I391" s="100"/>
      <c r="J391" s="101"/>
      <c r="L391" s="98" t="s">
        <v>258</v>
      </c>
      <c r="M391" s="99">
        <v>10206</v>
      </c>
      <c r="N391" s="95">
        <v>1458</v>
      </c>
      <c r="O391" s="99">
        <f t="shared" si="52"/>
        <v>153.09</v>
      </c>
      <c r="P391" s="99">
        <f t="shared" si="53"/>
        <v>1611.09</v>
      </c>
      <c r="Q391" s="99"/>
      <c r="R391" s="99"/>
      <c r="S391" s="100"/>
      <c r="T391" s="101"/>
    </row>
    <row r="392" spans="2:20" x14ac:dyDescent="0.3">
      <c r="B392" s="98" t="s">
        <v>259</v>
      </c>
      <c r="C392" s="99">
        <v>8748</v>
      </c>
      <c r="D392" s="95">
        <v>1458</v>
      </c>
      <c r="E392" s="99">
        <f t="shared" si="54"/>
        <v>131.22</v>
      </c>
      <c r="F392" s="99">
        <f t="shared" si="55"/>
        <v>1589.22</v>
      </c>
      <c r="G392" s="99"/>
      <c r="H392" s="99"/>
      <c r="I392" s="100"/>
      <c r="J392" s="101"/>
      <c r="L392" s="98" t="s">
        <v>259</v>
      </c>
      <c r="M392" s="99">
        <v>8748</v>
      </c>
      <c r="N392" s="95">
        <v>1458</v>
      </c>
      <c r="O392" s="99">
        <f t="shared" si="52"/>
        <v>131.22</v>
      </c>
      <c r="P392" s="99">
        <f t="shared" si="53"/>
        <v>1589.22</v>
      </c>
      <c r="Q392" s="99"/>
      <c r="R392" s="99"/>
      <c r="S392" s="100"/>
      <c r="T392" s="101"/>
    </row>
    <row r="393" spans="2:20" ht="15" thickBot="1" x14ac:dyDescent="0.35">
      <c r="B393" s="98" t="s">
        <v>260</v>
      </c>
      <c r="C393" s="99">
        <v>7290</v>
      </c>
      <c r="D393" s="99">
        <v>1458</v>
      </c>
      <c r="E393" s="99">
        <f t="shared" si="54"/>
        <v>109.35</v>
      </c>
      <c r="F393" s="99">
        <f t="shared" si="55"/>
        <v>1567.35</v>
      </c>
      <c r="G393" s="99"/>
      <c r="H393" s="99"/>
      <c r="I393" s="100"/>
      <c r="J393" s="101"/>
      <c r="L393" s="98" t="s">
        <v>260</v>
      </c>
      <c r="M393" s="99">
        <v>7290</v>
      </c>
      <c r="N393" s="99">
        <v>1458</v>
      </c>
      <c r="O393" s="99">
        <f t="shared" si="52"/>
        <v>109.35</v>
      </c>
      <c r="P393" s="99">
        <f t="shared" si="53"/>
        <v>1567.35</v>
      </c>
      <c r="Q393" s="99"/>
      <c r="R393" s="99"/>
      <c r="S393" s="100"/>
      <c r="T393" s="101"/>
    </row>
    <row r="394" spans="2:20" ht="15" thickBot="1" x14ac:dyDescent="0.35">
      <c r="B394" s="98" t="s">
        <v>261</v>
      </c>
      <c r="C394" s="99">
        <v>5832</v>
      </c>
      <c r="D394" s="95">
        <v>1458</v>
      </c>
      <c r="E394" s="99">
        <f t="shared" si="54"/>
        <v>87.47999999999999</v>
      </c>
      <c r="F394" s="99">
        <f t="shared" si="55"/>
        <v>1545.48</v>
      </c>
      <c r="G394" s="99"/>
      <c r="H394" s="99"/>
      <c r="I394" s="100"/>
      <c r="J394" s="101"/>
      <c r="L394" s="98" t="s">
        <v>261</v>
      </c>
      <c r="M394" s="99">
        <v>5832</v>
      </c>
      <c r="N394" s="95">
        <v>1458</v>
      </c>
      <c r="O394" s="99">
        <f t="shared" si="52"/>
        <v>87.47999999999999</v>
      </c>
      <c r="P394" s="99">
        <f t="shared" si="53"/>
        <v>1545.48</v>
      </c>
      <c r="Q394" s="99"/>
      <c r="R394" s="99"/>
      <c r="S394" s="100"/>
      <c r="T394" s="101"/>
    </row>
    <row r="395" spans="2:20" x14ac:dyDescent="0.3">
      <c r="B395" s="98" t="s">
        <v>262</v>
      </c>
      <c r="C395" s="99">
        <v>4374</v>
      </c>
      <c r="D395" s="95">
        <v>1458</v>
      </c>
      <c r="E395" s="99">
        <f t="shared" si="54"/>
        <v>65.61</v>
      </c>
      <c r="F395" s="99">
        <f t="shared" si="55"/>
        <v>1523.61</v>
      </c>
      <c r="G395" s="99"/>
      <c r="H395" s="99"/>
      <c r="I395" s="100"/>
      <c r="J395" s="101"/>
      <c r="L395" s="98" t="s">
        <v>262</v>
      </c>
      <c r="M395" s="99">
        <v>4374</v>
      </c>
      <c r="N395" s="95">
        <v>1458</v>
      </c>
      <c r="O395" s="99">
        <f t="shared" si="52"/>
        <v>65.61</v>
      </c>
      <c r="P395" s="99">
        <f t="shared" si="53"/>
        <v>1523.61</v>
      </c>
      <c r="Q395" s="99"/>
      <c r="R395" s="99"/>
      <c r="S395" s="100"/>
      <c r="T395" s="101"/>
    </row>
    <row r="396" spans="2:20" ht="15" thickBot="1" x14ac:dyDescent="0.35">
      <c r="B396" s="98" t="s">
        <v>263</v>
      </c>
      <c r="C396" s="99">
        <v>2916</v>
      </c>
      <c r="D396" s="99">
        <v>1458</v>
      </c>
      <c r="E396" s="99">
        <f t="shared" si="54"/>
        <v>43.739999999999995</v>
      </c>
      <c r="F396" s="99">
        <f t="shared" si="55"/>
        <v>1501.74</v>
      </c>
      <c r="G396" s="99"/>
      <c r="H396" s="99"/>
      <c r="I396" s="100"/>
      <c r="J396" s="101"/>
      <c r="L396" s="98" t="s">
        <v>263</v>
      </c>
      <c r="M396" s="99">
        <v>2916</v>
      </c>
      <c r="N396" s="99">
        <v>1458</v>
      </c>
      <c r="O396" s="99">
        <f t="shared" si="52"/>
        <v>43.739999999999995</v>
      </c>
      <c r="P396" s="99">
        <f t="shared" si="53"/>
        <v>1501.74</v>
      </c>
      <c r="Q396" s="99"/>
      <c r="R396" s="99"/>
      <c r="S396" s="100"/>
      <c r="T396" s="101"/>
    </row>
    <row r="397" spans="2:20" ht="15" thickBot="1" x14ac:dyDescent="0.35">
      <c r="B397" s="98" t="s">
        <v>264</v>
      </c>
      <c r="C397" s="99">
        <v>1458</v>
      </c>
      <c r="D397" s="95">
        <v>1458</v>
      </c>
      <c r="E397" s="99">
        <f t="shared" si="54"/>
        <v>21.869999999999997</v>
      </c>
      <c r="F397" s="99">
        <f t="shared" si="55"/>
        <v>1479.87</v>
      </c>
      <c r="G397" s="99"/>
      <c r="H397" s="99"/>
      <c r="I397" s="100"/>
      <c r="J397" s="105" t="s">
        <v>42</v>
      </c>
      <c r="L397" s="98" t="s">
        <v>264</v>
      </c>
      <c r="M397" s="99">
        <v>1458</v>
      </c>
      <c r="N397" s="95">
        <v>1458</v>
      </c>
      <c r="O397" s="99">
        <f t="shared" si="52"/>
        <v>21.869999999999997</v>
      </c>
      <c r="P397" s="99">
        <f t="shared" si="53"/>
        <v>1479.87</v>
      </c>
      <c r="Q397" s="99"/>
      <c r="R397" s="99"/>
      <c r="S397" s="100"/>
      <c r="T397" s="105" t="s">
        <v>42</v>
      </c>
    </row>
    <row r="398" spans="2:20" x14ac:dyDescent="0.3">
      <c r="F398" s="38">
        <f>SUM(F344:F397)</f>
        <v>95703.693333333344</v>
      </c>
      <c r="G398" s="38">
        <f>SUM(G344:G367)</f>
        <v>52706.78</v>
      </c>
    </row>
    <row r="406" spans="2:10" ht="15" thickBot="1" x14ac:dyDescent="0.35"/>
    <row r="407" spans="2:10" x14ac:dyDescent="0.3">
      <c r="B407" s="98" t="s">
        <v>265</v>
      </c>
      <c r="C407" s="99">
        <v>53328</v>
      </c>
      <c r="D407" s="95">
        <v>2222</v>
      </c>
      <c r="E407" s="99">
        <f>(C407*0.015)</f>
        <v>799.92</v>
      </c>
      <c r="F407" s="99">
        <f>SUM(D407:E407)</f>
        <v>3021.92</v>
      </c>
      <c r="G407" s="99"/>
      <c r="H407" s="99"/>
      <c r="I407" s="100"/>
      <c r="J407" s="101"/>
    </row>
    <row r="408" spans="2:10" ht="15" thickBot="1" x14ac:dyDescent="0.35">
      <c r="B408" s="98" t="s">
        <v>266</v>
      </c>
      <c r="C408" s="99">
        <v>51106</v>
      </c>
      <c r="D408" s="99">
        <v>2222</v>
      </c>
      <c r="E408" s="99">
        <f>(C408*0.015)</f>
        <v>766.58999999999992</v>
      </c>
      <c r="F408" s="99">
        <f>SUM(D408:E408)</f>
        <v>2988.59</v>
      </c>
      <c r="G408" s="99"/>
      <c r="H408" s="99"/>
      <c r="I408" s="100"/>
      <c r="J408" s="101"/>
    </row>
    <row r="409" spans="2:10" ht="15" thickBot="1" x14ac:dyDescent="0.35">
      <c r="B409" s="98" t="s">
        <v>256</v>
      </c>
      <c r="C409" s="99">
        <v>48884</v>
      </c>
      <c r="D409" s="95">
        <v>2222</v>
      </c>
      <c r="E409" s="99">
        <f>(C409*0.015)</f>
        <v>733.26</v>
      </c>
      <c r="F409" s="99">
        <f>SUM(D409:E409)</f>
        <v>2955.26</v>
      </c>
      <c r="G409" s="99"/>
      <c r="H409" s="99"/>
      <c r="I409" s="100"/>
      <c r="J409" s="101"/>
    </row>
    <row r="410" spans="2:10" x14ac:dyDescent="0.3">
      <c r="B410" s="98" t="s">
        <v>271</v>
      </c>
      <c r="C410" s="99">
        <v>39996</v>
      </c>
      <c r="D410" s="95">
        <v>2222</v>
      </c>
      <c r="E410" s="99">
        <f t="shared" ref="E410:E415" si="56">(C410*0.015)</f>
        <v>599.93999999999994</v>
      </c>
      <c r="F410" s="99">
        <f t="shared" ref="F410:F415" si="57">SUM(D410:E410)</f>
        <v>2821.94</v>
      </c>
      <c r="G410" s="99"/>
      <c r="H410" s="99"/>
      <c r="I410" s="100"/>
      <c r="J410" s="101"/>
    </row>
    <row r="411" spans="2:10" ht="15" thickBot="1" x14ac:dyDescent="0.35">
      <c r="B411" s="98" t="s">
        <v>272</v>
      </c>
      <c r="C411" s="99">
        <v>37774</v>
      </c>
      <c r="D411" s="99">
        <v>2222</v>
      </c>
      <c r="E411" s="99">
        <f t="shared" si="56"/>
        <v>566.61</v>
      </c>
      <c r="F411" s="99">
        <f t="shared" si="57"/>
        <v>2788.61</v>
      </c>
      <c r="G411" s="99"/>
      <c r="H411" s="99"/>
      <c r="I411" s="100"/>
      <c r="J411" s="101"/>
    </row>
    <row r="412" spans="2:10" x14ac:dyDescent="0.3">
      <c r="B412" s="98" t="s">
        <v>273</v>
      </c>
      <c r="C412" s="99">
        <v>35552</v>
      </c>
      <c r="D412" s="95">
        <v>2222</v>
      </c>
      <c r="E412" s="99">
        <f t="shared" si="56"/>
        <v>533.28</v>
      </c>
      <c r="F412" s="99">
        <f t="shared" si="57"/>
        <v>2755.2799999999997</v>
      </c>
      <c r="G412" s="99"/>
      <c r="H412" s="99"/>
      <c r="I412" s="100"/>
      <c r="J412" s="101"/>
    </row>
    <row r="413" spans="2:10" ht="15" thickBot="1" x14ac:dyDescent="0.35">
      <c r="B413" s="98" t="s">
        <v>274</v>
      </c>
      <c r="C413" s="99">
        <v>33330</v>
      </c>
      <c r="D413" s="99">
        <v>2222</v>
      </c>
      <c r="E413" s="99">
        <f t="shared" si="56"/>
        <v>499.95</v>
      </c>
      <c r="F413" s="99">
        <f t="shared" si="57"/>
        <v>2721.95</v>
      </c>
      <c r="G413" s="99"/>
      <c r="H413" s="99"/>
      <c r="I413" s="100"/>
      <c r="J413" s="101"/>
    </row>
    <row r="414" spans="2:10" x14ac:dyDescent="0.3">
      <c r="B414" s="98" t="s">
        <v>275</v>
      </c>
      <c r="C414" s="99">
        <v>31108</v>
      </c>
      <c r="D414" s="95">
        <v>2222</v>
      </c>
      <c r="E414" s="99">
        <f t="shared" si="56"/>
        <v>466.62</v>
      </c>
      <c r="F414" s="99">
        <f t="shared" si="57"/>
        <v>2688.62</v>
      </c>
      <c r="G414" s="99"/>
      <c r="H414" s="99"/>
      <c r="I414" s="100"/>
      <c r="J414" s="101"/>
    </row>
    <row r="415" spans="2:10" ht="15" thickBot="1" x14ac:dyDescent="0.35">
      <c r="B415" s="98" t="s">
        <v>276</v>
      </c>
      <c r="C415" s="102">
        <v>28886</v>
      </c>
      <c r="D415" s="99">
        <v>2222</v>
      </c>
      <c r="E415" s="102">
        <f t="shared" si="56"/>
        <v>433.28999999999996</v>
      </c>
      <c r="F415" s="102">
        <f t="shared" si="57"/>
        <v>2655.29</v>
      </c>
      <c r="G415" s="102"/>
      <c r="H415" s="102"/>
      <c r="I415" s="104"/>
      <c r="J415" s="105"/>
    </row>
    <row r="416" spans="2:10" ht="15" thickBot="1" x14ac:dyDescent="0.35">
      <c r="B416" s="98" t="s">
        <v>277</v>
      </c>
      <c r="C416" s="99">
        <v>73326</v>
      </c>
      <c r="D416" s="99">
        <v>2222</v>
      </c>
      <c r="E416" s="99">
        <f t="shared" ref="E416:E436" si="58">(C416*0.015)</f>
        <v>1099.8899999999999</v>
      </c>
      <c r="F416" s="99">
        <f t="shared" ref="F416:F436" si="59">SUM(D416:E416)</f>
        <v>3321.89</v>
      </c>
      <c r="G416" s="99"/>
      <c r="H416" s="99"/>
      <c r="I416" s="100"/>
      <c r="J416" s="101"/>
    </row>
    <row r="417" spans="2:10" x14ac:dyDescent="0.3">
      <c r="B417" s="98" t="s">
        <v>278</v>
      </c>
      <c r="C417" s="99">
        <v>71104</v>
      </c>
      <c r="D417" s="95">
        <v>2222</v>
      </c>
      <c r="E417" s="99">
        <f t="shared" si="58"/>
        <v>1066.56</v>
      </c>
      <c r="F417" s="99">
        <f t="shared" si="59"/>
        <v>3288.56</v>
      </c>
      <c r="G417" s="99"/>
      <c r="H417" s="99"/>
      <c r="I417" s="100"/>
      <c r="J417" s="101"/>
    </row>
    <row r="418" spans="2:10" ht="15" thickBot="1" x14ac:dyDescent="0.35">
      <c r="B418" s="98" t="s">
        <v>279</v>
      </c>
      <c r="C418" s="99">
        <v>68882</v>
      </c>
      <c r="D418" s="99">
        <v>2222</v>
      </c>
      <c r="E418" s="99">
        <f t="shared" si="58"/>
        <v>1033.23</v>
      </c>
      <c r="F418" s="99">
        <f t="shared" si="59"/>
        <v>3255.23</v>
      </c>
      <c r="G418" s="99"/>
      <c r="H418" s="99"/>
      <c r="I418" s="100"/>
      <c r="J418" s="101"/>
    </row>
    <row r="419" spans="2:10" x14ac:dyDescent="0.3">
      <c r="B419" s="98" t="s">
        <v>271</v>
      </c>
      <c r="C419" s="99">
        <v>66660</v>
      </c>
      <c r="D419" s="95">
        <v>2222</v>
      </c>
      <c r="E419" s="99">
        <f t="shared" si="58"/>
        <v>999.9</v>
      </c>
      <c r="F419" s="99">
        <f t="shared" si="59"/>
        <v>3221.9</v>
      </c>
      <c r="G419" s="99"/>
      <c r="H419" s="99"/>
      <c r="I419" s="100"/>
      <c r="J419" s="101"/>
    </row>
    <row r="420" spans="2:10" ht="15" thickBot="1" x14ac:dyDescent="0.35">
      <c r="B420" s="98" t="s">
        <v>272</v>
      </c>
      <c r="C420" s="99">
        <v>64438</v>
      </c>
      <c r="D420" s="99">
        <v>2222</v>
      </c>
      <c r="E420" s="99">
        <f t="shared" si="58"/>
        <v>966.56999999999994</v>
      </c>
      <c r="F420" s="99">
        <f t="shared" si="59"/>
        <v>3188.5699999999997</v>
      </c>
      <c r="G420" s="99"/>
      <c r="H420" s="99"/>
      <c r="I420" s="100"/>
      <c r="J420" s="101"/>
    </row>
    <row r="421" spans="2:10" x14ac:dyDescent="0.3">
      <c r="B421" s="98" t="s">
        <v>273</v>
      </c>
      <c r="C421" s="99">
        <v>62216</v>
      </c>
      <c r="D421" s="95">
        <v>2222</v>
      </c>
      <c r="E421" s="99">
        <f t="shared" si="58"/>
        <v>933.24</v>
      </c>
      <c r="F421" s="99">
        <f t="shared" si="59"/>
        <v>3155.24</v>
      </c>
      <c r="G421" s="99"/>
      <c r="H421" s="99"/>
      <c r="I421" s="100"/>
      <c r="J421" s="101"/>
    </row>
    <row r="422" spans="2:10" ht="15" thickBot="1" x14ac:dyDescent="0.35">
      <c r="B422" s="98" t="s">
        <v>274</v>
      </c>
      <c r="C422" s="99">
        <v>59994</v>
      </c>
      <c r="D422" s="99">
        <v>2222</v>
      </c>
      <c r="E422" s="99">
        <f t="shared" si="58"/>
        <v>899.91</v>
      </c>
      <c r="F422" s="99">
        <f t="shared" si="59"/>
        <v>3121.91</v>
      </c>
      <c r="G422" s="99"/>
      <c r="H422" s="99"/>
      <c r="I422" s="100"/>
      <c r="J422" s="101"/>
    </row>
    <row r="423" spans="2:10" x14ac:dyDescent="0.3">
      <c r="B423" s="98" t="s">
        <v>275</v>
      </c>
      <c r="C423" s="99">
        <v>57772</v>
      </c>
      <c r="D423" s="95">
        <v>2222</v>
      </c>
      <c r="E423" s="99">
        <f t="shared" si="58"/>
        <v>866.57999999999993</v>
      </c>
      <c r="F423" s="99">
        <f t="shared" si="59"/>
        <v>3088.58</v>
      </c>
      <c r="G423" s="99"/>
      <c r="H423" s="99"/>
      <c r="I423" s="100"/>
      <c r="J423" s="101"/>
    </row>
    <row r="424" spans="2:10" ht="15" thickBot="1" x14ac:dyDescent="0.35">
      <c r="B424" s="103" t="s">
        <v>276</v>
      </c>
      <c r="C424" s="99">
        <v>55550</v>
      </c>
      <c r="D424" s="99">
        <v>2222</v>
      </c>
      <c r="E424" s="99">
        <f t="shared" si="58"/>
        <v>833.25</v>
      </c>
      <c r="F424" s="99">
        <f t="shared" si="59"/>
        <v>3055.25</v>
      </c>
      <c r="G424" s="99"/>
      <c r="H424" s="99"/>
      <c r="I424" s="100"/>
      <c r="J424" s="101"/>
    </row>
    <row r="425" spans="2:10" x14ac:dyDescent="0.3">
      <c r="B425" s="98" t="s">
        <v>265</v>
      </c>
      <c r="C425" s="99">
        <v>53328</v>
      </c>
      <c r="D425" s="95">
        <v>2222</v>
      </c>
      <c r="E425" s="99">
        <f t="shared" si="58"/>
        <v>799.92</v>
      </c>
      <c r="F425" s="99">
        <f t="shared" si="59"/>
        <v>3021.92</v>
      </c>
      <c r="G425" s="99"/>
      <c r="H425" s="99"/>
      <c r="I425" s="100"/>
      <c r="J425" s="101"/>
    </row>
    <row r="426" spans="2:10" ht="15" thickBot="1" x14ac:dyDescent="0.35">
      <c r="B426" s="98" t="s">
        <v>266</v>
      </c>
      <c r="C426" s="99">
        <v>51106</v>
      </c>
      <c r="D426" s="99">
        <v>2222</v>
      </c>
      <c r="E426" s="99">
        <f t="shared" si="58"/>
        <v>766.58999999999992</v>
      </c>
      <c r="F426" s="99">
        <f t="shared" si="59"/>
        <v>2988.59</v>
      </c>
      <c r="G426" s="99"/>
      <c r="H426" s="99"/>
      <c r="I426" s="100"/>
      <c r="J426" s="101"/>
    </row>
    <row r="427" spans="2:10" x14ac:dyDescent="0.3">
      <c r="B427" s="98" t="s">
        <v>267</v>
      </c>
      <c r="C427" s="99">
        <v>48884</v>
      </c>
      <c r="D427" s="95">
        <v>2222</v>
      </c>
      <c r="E427" s="99">
        <f t="shared" si="58"/>
        <v>733.26</v>
      </c>
      <c r="F427" s="99">
        <f t="shared" si="59"/>
        <v>2955.26</v>
      </c>
      <c r="G427" s="99"/>
      <c r="H427" s="99"/>
      <c r="I427" s="100"/>
      <c r="J427" s="101"/>
    </row>
    <row r="428" spans="2:10" ht="15" thickBot="1" x14ac:dyDescent="0.35">
      <c r="B428" s="98" t="s">
        <v>268</v>
      </c>
      <c r="C428" s="99">
        <v>46662</v>
      </c>
      <c r="D428" s="99">
        <v>2222</v>
      </c>
      <c r="E428" s="99">
        <f t="shared" si="58"/>
        <v>699.93</v>
      </c>
      <c r="F428" s="99">
        <f t="shared" si="59"/>
        <v>2921.93</v>
      </c>
      <c r="G428" s="99"/>
      <c r="H428" s="99"/>
      <c r="I428" s="100"/>
      <c r="J428" s="101"/>
    </row>
    <row r="429" spans="2:10" x14ac:dyDescent="0.3">
      <c r="B429" s="98" t="s">
        <v>269</v>
      </c>
      <c r="C429" s="99">
        <v>44440</v>
      </c>
      <c r="D429" s="95">
        <v>2222</v>
      </c>
      <c r="E429" s="99">
        <f t="shared" si="58"/>
        <v>666.6</v>
      </c>
      <c r="F429" s="99">
        <f t="shared" si="59"/>
        <v>2888.6</v>
      </c>
      <c r="G429" s="99"/>
      <c r="H429" s="99"/>
      <c r="I429" s="100"/>
      <c r="J429" s="101"/>
    </row>
    <row r="430" spans="2:10" ht="15" thickBot="1" x14ac:dyDescent="0.35">
      <c r="B430" s="98" t="s">
        <v>270</v>
      </c>
      <c r="C430" s="99">
        <v>42218</v>
      </c>
      <c r="D430" s="99">
        <v>2222</v>
      </c>
      <c r="E430" s="99">
        <f t="shared" si="58"/>
        <v>633.27</v>
      </c>
      <c r="F430" s="99">
        <f t="shared" si="59"/>
        <v>2855.27</v>
      </c>
      <c r="G430" s="99"/>
      <c r="H430" s="99"/>
      <c r="I430" s="100"/>
      <c r="J430" s="101"/>
    </row>
    <row r="431" spans="2:10" x14ac:dyDescent="0.3">
      <c r="B431" s="98" t="s">
        <v>271</v>
      </c>
      <c r="C431" s="99">
        <v>39996</v>
      </c>
      <c r="D431" s="95">
        <v>2222</v>
      </c>
      <c r="E431" s="99">
        <f t="shared" si="58"/>
        <v>599.93999999999994</v>
      </c>
      <c r="F431" s="99">
        <f t="shared" si="59"/>
        <v>2821.94</v>
      </c>
      <c r="G431" s="99"/>
      <c r="H431" s="99"/>
      <c r="I431" s="100"/>
      <c r="J431" s="101"/>
    </row>
    <row r="432" spans="2:10" ht="15" thickBot="1" x14ac:dyDescent="0.35">
      <c r="B432" s="98" t="s">
        <v>272</v>
      </c>
      <c r="C432" s="99">
        <v>37774</v>
      </c>
      <c r="D432" s="99">
        <v>2222</v>
      </c>
      <c r="E432" s="99">
        <f t="shared" si="58"/>
        <v>566.61</v>
      </c>
      <c r="F432" s="99">
        <f t="shared" si="59"/>
        <v>2788.61</v>
      </c>
      <c r="G432" s="99"/>
      <c r="H432" s="99"/>
      <c r="I432" s="100"/>
      <c r="J432" s="101"/>
    </row>
    <row r="433" spans="2:10" x14ac:dyDescent="0.3">
      <c r="B433" s="98" t="s">
        <v>273</v>
      </c>
      <c r="C433" s="99">
        <v>35552</v>
      </c>
      <c r="D433" s="95">
        <v>2222</v>
      </c>
      <c r="E433" s="99">
        <f t="shared" si="58"/>
        <v>533.28</v>
      </c>
      <c r="F433" s="99">
        <f t="shared" si="59"/>
        <v>2755.2799999999997</v>
      </c>
      <c r="G433" s="99"/>
      <c r="H433" s="99"/>
      <c r="I433" s="100"/>
      <c r="J433" s="101"/>
    </row>
    <row r="434" spans="2:10" ht="15" thickBot="1" x14ac:dyDescent="0.35">
      <c r="B434" s="98" t="s">
        <v>274</v>
      </c>
      <c r="C434" s="99">
        <v>33330</v>
      </c>
      <c r="D434" s="99">
        <v>2222</v>
      </c>
      <c r="E434" s="99">
        <f t="shared" si="58"/>
        <v>499.95</v>
      </c>
      <c r="F434" s="99">
        <f t="shared" si="59"/>
        <v>2721.95</v>
      </c>
      <c r="G434" s="99"/>
      <c r="H434" s="99"/>
      <c r="I434" s="100"/>
      <c r="J434" s="101"/>
    </row>
    <row r="435" spans="2:10" x14ac:dyDescent="0.3">
      <c r="B435" s="98" t="s">
        <v>275</v>
      </c>
      <c r="C435" s="99">
        <v>31108</v>
      </c>
      <c r="D435" s="95">
        <v>2222</v>
      </c>
      <c r="E435" s="99">
        <f t="shared" si="58"/>
        <v>466.62</v>
      </c>
      <c r="F435" s="99">
        <f t="shared" si="59"/>
        <v>2688.62</v>
      </c>
      <c r="G435" s="99"/>
      <c r="H435" s="99"/>
      <c r="I435" s="100"/>
      <c r="J435" s="101"/>
    </row>
    <row r="436" spans="2:10" ht="15" thickBot="1" x14ac:dyDescent="0.35">
      <c r="B436" s="103" t="s">
        <v>276</v>
      </c>
      <c r="C436" s="102">
        <v>28886</v>
      </c>
      <c r="D436" s="99">
        <v>2222</v>
      </c>
      <c r="E436" s="102">
        <f t="shared" si="58"/>
        <v>433.28999999999996</v>
      </c>
      <c r="F436" s="102">
        <f t="shared" si="59"/>
        <v>2655.29</v>
      </c>
      <c r="G436" s="102"/>
      <c r="H436" s="102"/>
      <c r="I436" s="104"/>
      <c r="J436" s="105"/>
    </row>
  </sheetData>
  <mergeCells count="25">
    <mergeCell ref="C214:E214"/>
    <mergeCell ref="H214:I214"/>
    <mergeCell ref="F216:I216"/>
    <mergeCell ref="C217:D217"/>
    <mergeCell ref="E217:I217"/>
    <mergeCell ref="M214:O214"/>
    <mergeCell ref="R214:S214"/>
    <mergeCell ref="P216:S216"/>
    <mergeCell ref="M217:N217"/>
    <mergeCell ref="O217:S217"/>
    <mergeCell ref="M182:O182"/>
    <mergeCell ref="R182:S182"/>
    <mergeCell ref="P184:S184"/>
    <mergeCell ref="M185:N185"/>
    <mergeCell ref="O185:S185"/>
    <mergeCell ref="F278:I278"/>
    <mergeCell ref="C279:D279"/>
    <mergeCell ref="E279:I279"/>
    <mergeCell ref="M276:O276"/>
    <mergeCell ref="R276:S276"/>
    <mergeCell ref="P278:S278"/>
    <mergeCell ref="M279:N279"/>
    <mergeCell ref="O279:S279"/>
    <mergeCell ref="C276:E276"/>
    <mergeCell ref="H276:I276"/>
  </mergeCells>
  <pageMargins left="0.25" right="0.25" top="0.75" bottom="0.75" header="0.3" footer="0.3"/>
  <pageSetup paperSize="5" scale="90" orientation="landscape" horizontalDpi="4294967292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6D57-BDDD-4AD6-8A6A-64211FC6EF24}">
  <dimension ref="B1:T42"/>
  <sheetViews>
    <sheetView topLeftCell="A19" workbookViewId="0">
      <selection activeCell="A34" sqref="A34:T42"/>
    </sheetView>
  </sheetViews>
  <sheetFormatPr defaultRowHeight="14.4" x14ac:dyDescent="0.3"/>
  <cols>
    <col min="1" max="1" width="2.21875" customWidth="1"/>
    <col min="2" max="2" width="11.21875" customWidth="1"/>
    <col min="11" max="11" width="6.21875" customWidth="1"/>
    <col min="12" max="12" width="11.109375" customWidth="1"/>
  </cols>
  <sheetData>
    <row r="1" spans="2:20" x14ac:dyDescent="0.3">
      <c r="B1" s="77" t="s">
        <v>0</v>
      </c>
      <c r="C1" s="229" t="s">
        <v>203</v>
      </c>
      <c r="D1" s="230"/>
      <c r="E1" s="230"/>
      <c r="F1" s="79"/>
      <c r="G1" s="80"/>
      <c r="H1" s="231" t="s">
        <v>1</v>
      </c>
      <c r="I1" s="231"/>
      <c r="J1" s="82">
        <v>40000</v>
      </c>
      <c r="L1" s="77" t="s">
        <v>0</v>
      </c>
      <c r="M1" s="229" t="s">
        <v>203</v>
      </c>
      <c r="N1" s="230"/>
      <c r="O1" s="230"/>
      <c r="P1" s="79"/>
      <c r="Q1" s="80"/>
      <c r="R1" s="231" t="s">
        <v>1</v>
      </c>
      <c r="S1" s="231"/>
      <c r="T1" s="82">
        <v>40000</v>
      </c>
    </row>
    <row r="2" spans="2:20" x14ac:dyDescent="0.3">
      <c r="B2" s="77" t="s">
        <v>2</v>
      </c>
      <c r="C2" s="83"/>
      <c r="D2" s="79"/>
      <c r="E2" s="83"/>
      <c r="F2" s="81"/>
      <c r="G2" s="81"/>
      <c r="H2" s="84"/>
      <c r="I2" s="81" t="s">
        <v>3</v>
      </c>
      <c r="J2" s="85" t="s">
        <v>204</v>
      </c>
      <c r="L2" s="77" t="s">
        <v>2</v>
      </c>
      <c r="M2" s="83"/>
      <c r="N2" s="79"/>
      <c r="O2" s="83"/>
      <c r="P2" s="81"/>
      <c r="Q2" s="81"/>
      <c r="R2" s="84"/>
      <c r="S2" s="81" t="s">
        <v>3</v>
      </c>
      <c r="T2" s="85" t="s">
        <v>204</v>
      </c>
    </row>
    <row r="3" spans="2:20" x14ac:dyDescent="0.3">
      <c r="B3" s="77" t="s">
        <v>4</v>
      </c>
      <c r="C3" s="78"/>
      <c r="D3" s="79"/>
      <c r="E3" s="78"/>
      <c r="F3" s="231" t="s">
        <v>5</v>
      </c>
      <c r="G3" s="231"/>
      <c r="H3" s="231"/>
      <c r="I3" s="231"/>
      <c r="J3" s="86">
        <v>1.4999999999999999E-2</v>
      </c>
      <c r="L3" s="77" t="s">
        <v>4</v>
      </c>
      <c r="M3" s="78"/>
      <c r="N3" s="79"/>
      <c r="O3" s="78"/>
      <c r="P3" s="231" t="s">
        <v>5</v>
      </c>
      <c r="Q3" s="231"/>
      <c r="R3" s="231"/>
      <c r="S3" s="231"/>
      <c r="T3" s="86">
        <v>1.4999999999999999E-2</v>
      </c>
    </row>
    <row r="4" spans="2:20" ht="15" thickBot="1" x14ac:dyDescent="0.35">
      <c r="B4" s="77" t="s">
        <v>6</v>
      </c>
      <c r="C4" s="232"/>
      <c r="D4" s="232"/>
      <c r="E4" s="233" t="s">
        <v>7</v>
      </c>
      <c r="F4" s="233"/>
      <c r="G4" s="233"/>
      <c r="H4" s="233"/>
      <c r="I4" s="233"/>
      <c r="J4" s="78">
        <v>4</v>
      </c>
      <c r="L4" s="77" t="s">
        <v>6</v>
      </c>
      <c r="M4" s="232"/>
      <c r="N4" s="232"/>
      <c r="O4" s="233" t="s">
        <v>7</v>
      </c>
      <c r="P4" s="233"/>
      <c r="Q4" s="233"/>
      <c r="R4" s="233"/>
      <c r="S4" s="233"/>
      <c r="T4" s="78">
        <v>4</v>
      </c>
    </row>
    <row r="5" spans="2:20" ht="41.4" thickBot="1" x14ac:dyDescent="0.35">
      <c r="B5" s="89" t="s">
        <v>8</v>
      </c>
      <c r="C5" s="89" t="s">
        <v>9</v>
      </c>
      <c r="D5" s="89" t="s">
        <v>10</v>
      </c>
      <c r="E5" s="90" t="s">
        <v>11</v>
      </c>
      <c r="F5" s="91" t="s">
        <v>12</v>
      </c>
      <c r="G5" s="92" t="s">
        <v>13</v>
      </c>
      <c r="H5" s="92" t="s">
        <v>14</v>
      </c>
      <c r="I5" s="92" t="s">
        <v>15</v>
      </c>
      <c r="J5" s="93" t="s">
        <v>16</v>
      </c>
      <c r="L5" s="89" t="s">
        <v>8</v>
      </c>
      <c r="M5" s="89" t="s">
        <v>9</v>
      </c>
      <c r="N5" s="89" t="s">
        <v>10</v>
      </c>
      <c r="O5" s="90" t="s">
        <v>11</v>
      </c>
      <c r="P5" s="91" t="s">
        <v>12</v>
      </c>
      <c r="Q5" s="92" t="s">
        <v>13</v>
      </c>
      <c r="R5" s="92" t="s">
        <v>14</v>
      </c>
      <c r="S5" s="92" t="s">
        <v>15</v>
      </c>
      <c r="T5" s="93" t="s">
        <v>16</v>
      </c>
    </row>
    <row r="6" spans="2:20" x14ac:dyDescent="0.3">
      <c r="B6" s="162" t="s">
        <v>17</v>
      </c>
      <c r="C6" s="138">
        <f>J1</f>
        <v>40000</v>
      </c>
      <c r="D6" s="95">
        <f>J1/J4</f>
        <v>10000</v>
      </c>
      <c r="E6" s="95">
        <f>(C6*0.015)</f>
        <v>600</v>
      </c>
      <c r="F6" s="95">
        <f>SUM(D6:E6)</f>
        <v>10600</v>
      </c>
      <c r="G6" s="95"/>
      <c r="H6" s="95"/>
      <c r="I6" s="96"/>
      <c r="J6" s="97"/>
      <c r="L6" s="94" t="s">
        <v>17</v>
      </c>
      <c r="M6" s="138">
        <f>T1</f>
        <v>40000</v>
      </c>
      <c r="N6" s="95">
        <f>T1/T4</f>
        <v>10000</v>
      </c>
      <c r="O6" s="95">
        <f>(M6*0.015)</f>
        <v>600</v>
      </c>
      <c r="P6" s="95">
        <f>SUM(N6:O6)</f>
        <v>10600</v>
      </c>
      <c r="Q6" s="95"/>
      <c r="R6" s="95"/>
      <c r="S6" s="96"/>
      <c r="T6" s="97"/>
    </row>
    <row r="7" spans="2:20" x14ac:dyDescent="0.3">
      <c r="B7" s="163" t="s">
        <v>18</v>
      </c>
      <c r="C7" s="139">
        <v>30000</v>
      </c>
      <c r="D7" s="99">
        <v>10000</v>
      </c>
      <c r="E7" s="99">
        <f>(C7*0.015)</f>
        <v>450</v>
      </c>
      <c r="F7" s="99">
        <f>SUM(D7:E7)</f>
        <v>10450</v>
      </c>
      <c r="G7" s="99"/>
      <c r="H7" s="99"/>
      <c r="I7" s="100"/>
      <c r="J7" s="101"/>
      <c r="L7" s="98" t="s">
        <v>18</v>
      </c>
      <c r="M7" s="139">
        <v>30000</v>
      </c>
      <c r="N7" s="99">
        <v>10000</v>
      </c>
      <c r="O7" s="99">
        <f>(M7*0.015)</f>
        <v>450</v>
      </c>
      <c r="P7" s="99">
        <f>SUM(N7:O7)</f>
        <v>10450</v>
      </c>
      <c r="Q7" s="99"/>
      <c r="R7" s="99"/>
      <c r="S7" s="100"/>
      <c r="T7" s="101"/>
    </row>
    <row r="8" spans="2:20" x14ac:dyDescent="0.3">
      <c r="B8" s="163" t="s">
        <v>19</v>
      </c>
      <c r="C8" s="139">
        <v>20000</v>
      </c>
      <c r="D8" s="99">
        <v>10000</v>
      </c>
      <c r="E8" s="99">
        <f>(C8*0.015)</f>
        <v>300</v>
      </c>
      <c r="F8" s="99">
        <f>SUM(D8:E8)</f>
        <v>10300</v>
      </c>
      <c r="G8" s="99"/>
      <c r="H8" s="99"/>
      <c r="I8" s="100"/>
      <c r="J8" s="101"/>
      <c r="L8" s="98" t="s">
        <v>19</v>
      </c>
      <c r="M8" s="139">
        <v>20000</v>
      </c>
      <c r="N8" s="99">
        <v>10000</v>
      </c>
      <c r="O8" s="99">
        <f>(M8*0.015)</f>
        <v>300</v>
      </c>
      <c r="P8" s="99">
        <f>SUM(N8:O8)</f>
        <v>10300</v>
      </c>
      <c r="Q8" s="99"/>
      <c r="R8" s="99"/>
      <c r="S8" s="100"/>
      <c r="T8" s="101"/>
    </row>
    <row r="9" spans="2:20" x14ac:dyDescent="0.3">
      <c r="B9" s="163" t="s">
        <v>20</v>
      </c>
      <c r="C9" s="139">
        <v>10000</v>
      </c>
      <c r="D9" s="99">
        <v>10000</v>
      </c>
      <c r="E9" s="99">
        <f>(C9*0.015)</f>
        <v>150</v>
      </c>
      <c r="F9" s="99">
        <f>SUM(D9:E9)</f>
        <v>10150</v>
      </c>
      <c r="G9" s="99"/>
      <c r="H9" s="99"/>
      <c r="I9" s="100"/>
      <c r="J9" s="101" t="s">
        <v>42</v>
      </c>
      <c r="L9" s="98" t="s">
        <v>20</v>
      </c>
      <c r="M9" s="139">
        <v>10000</v>
      </c>
      <c r="N9" s="99">
        <v>10000</v>
      </c>
      <c r="O9" s="99">
        <f>(M9*0.015)</f>
        <v>150</v>
      </c>
      <c r="P9" s="99">
        <f>SUM(N9:O9)</f>
        <v>10150</v>
      </c>
      <c r="Q9" s="99"/>
      <c r="R9" s="99"/>
      <c r="S9" s="100"/>
      <c r="T9" s="101" t="s">
        <v>42</v>
      </c>
    </row>
    <row r="12" spans="2:20" x14ac:dyDescent="0.3">
      <c r="B12" s="77" t="s">
        <v>0</v>
      </c>
      <c r="C12" s="229" t="s">
        <v>239</v>
      </c>
      <c r="D12" s="230"/>
      <c r="E12" s="230"/>
      <c r="F12" s="79"/>
      <c r="G12" s="80"/>
      <c r="H12" s="231" t="s">
        <v>1</v>
      </c>
      <c r="I12" s="231"/>
      <c r="J12" s="82">
        <v>50000</v>
      </c>
      <c r="L12" s="77" t="s">
        <v>0</v>
      </c>
      <c r="M12" s="229" t="s">
        <v>239</v>
      </c>
      <c r="N12" s="230"/>
      <c r="O12" s="230"/>
      <c r="P12" s="79"/>
      <c r="Q12" s="80"/>
      <c r="R12" s="231" t="s">
        <v>1</v>
      </c>
      <c r="S12" s="231"/>
      <c r="T12" s="82">
        <v>50000</v>
      </c>
    </row>
    <row r="13" spans="2:20" x14ac:dyDescent="0.3">
      <c r="B13" s="77" t="s">
        <v>2</v>
      </c>
      <c r="C13" s="83"/>
      <c r="D13" s="79"/>
      <c r="E13" s="83"/>
      <c r="F13" s="81"/>
      <c r="G13" s="81"/>
      <c r="H13" s="84"/>
      <c r="I13" s="81" t="s">
        <v>3</v>
      </c>
      <c r="J13" s="85" t="s">
        <v>240</v>
      </c>
      <c r="L13" s="77" t="s">
        <v>2</v>
      </c>
      <c r="M13" s="83"/>
      <c r="N13" s="79"/>
      <c r="O13" s="83"/>
      <c r="P13" s="81"/>
      <c r="Q13" s="81"/>
      <c r="R13" s="84"/>
      <c r="S13" s="81" t="s">
        <v>3</v>
      </c>
      <c r="T13" s="85" t="s">
        <v>240</v>
      </c>
    </row>
    <row r="14" spans="2:20" x14ac:dyDescent="0.3">
      <c r="B14" s="77" t="s">
        <v>4</v>
      </c>
      <c r="C14" s="78"/>
      <c r="D14" s="79"/>
      <c r="E14" s="78"/>
      <c r="F14" s="231" t="s">
        <v>5</v>
      </c>
      <c r="G14" s="231"/>
      <c r="H14" s="231"/>
      <c r="I14" s="231"/>
      <c r="J14" s="86">
        <v>1.4999999999999999E-2</v>
      </c>
      <c r="L14" s="77" t="s">
        <v>4</v>
      </c>
      <c r="M14" s="78"/>
      <c r="N14" s="79"/>
      <c r="O14" s="78"/>
      <c r="P14" s="231" t="s">
        <v>5</v>
      </c>
      <c r="Q14" s="231"/>
      <c r="R14" s="231"/>
      <c r="S14" s="231"/>
      <c r="T14" s="86">
        <v>1.4999999999999999E-2</v>
      </c>
    </row>
    <row r="15" spans="2:20" ht="15" thickBot="1" x14ac:dyDescent="0.35">
      <c r="B15" s="77" t="s">
        <v>6</v>
      </c>
      <c r="C15" s="232"/>
      <c r="D15" s="232"/>
      <c r="E15" s="233" t="s">
        <v>7</v>
      </c>
      <c r="F15" s="233"/>
      <c r="G15" s="233"/>
      <c r="H15" s="233"/>
      <c r="I15" s="233"/>
      <c r="J15" s="78">
        <v>4</v>
      </c>
      <c r="L15" s="77" t="s">
        <v>6</v>
      </c>
      <c r="M15" s="232"/>
      <c r="N15" s="232"/>
      <c r="O15" s="233" t="s">
        <v>7</v>
      </c>
      <c r="P15" s="233"/>
      <c r="Q15" s="233"/>
      <c r="R15" s="233"/>
      <c r="S15" s="233"/>
      <c r="T15" s="78">
        <v>4</v>
      </c>
    </row>
    <row r="16" spans="2:20" ht="41.4" thickBot="1" x14ac:dyDescent="0.35">
      <c r="B16" s="89" t="s">
        <v>8</v>
      </c>
      <c r="C16" s="89" t="s">
        <v>9</v>
      </c>
      <c r="D16" s="89" t="s">
        <v>10</v>
      </c>
      <c r="E16" s="90" t="s">
        <v>11</v>
      </c>
      <c r="F16" s="91" t="s">
        <v>12</v>
      </c>
      <c r="G16" s="92" t="s">
        <v>13</v>
      </c>
      <c r="H16" s="92" t="s">
        <v>14</v>
      </c>
      <c r="I16" s="92" t="s">
        <v>15</v>
      </c>
      <c r="J16" s="93" t="s">
        <v>16</v>
      </c>
      <c r="L16" s="89" t="s">
        <v>8</v>
      </c>
      <c r="M16" s="89" t="s">
        <v>9</v>
      </c>
      <c r="N16" s="89" t="s">
        <v>10</v>
      </c>
      <c r="O16" s="90" t="s">
        <v>11</v>
      </c>
      <c r="P16" s="91" t="s">
        <v>12</v>
      </c>
      <c r="Q16" s="92" t="s">
        <v>13</v>
      </c>
      <c r="R16" s="92" t="s">
        <v>14</v>
      </c>
      <c r="S16" s="92" t="s">
        <v>15</v>
      </c>
      <c r="T16" s="93" t="s">
        <v>16</v>
      </c>
    </row>
    <row r="17" spans="2:20" x14ac:dyDescent="0.3">
      <c r="B17" s="162" t="s">
        <v>17</v>
      </c>
      <c r="C17" s="138">
        <f>J12</f>
        <v>50000</v>
      </c>
      <c r="D17" s="95">
        <f>J12/J15</f>
        <v>12500</v>
      </c>
      <c r="E17" s="95">
        <f>(C17*0.015)</f>
        <v>750</v>
      </c>
      <c r="F17" s="95">
        <f>SUM(D17:E17)</f>
        <v>13250</v>
      </c>
      <c r="G17" s="95">
        <v>45000</v>
      </c>
      <c r="H17" s="95"/>
      <c r="I17" s="96"/>
      <c r="J17" s="97"/>
      <c r="L17" s="162" t="s">
        <v>17</v>
      </c>
      <c r="M17" s="138">
        <f>T12</f>
        <v>50000</v>
      </c>
      <c r="N17" s="95">
        <f>T12/T15</f>
        <v>12500</v>
      </c>
      <c r="O17" s="95">
        <f>(M17*0.015)</f>
        <v>750</v>
      </c>
      <c r="P17" s="95">
        <f>SUM(N17:O17)</f>
        <v>13250</v>
      </c>
      <c r="Q17" s="95"/>
      <c r="R17" s="95"/>
      <c r="S17" s="96"/>
      <c r="T17" s="97"/>
    </row>
    <row r="18" spans="2:20" x14ac:dyDescent="0.3">
      <c r="B18" s="163" t="s">
        <v>18</v>
      </c>
      <c r="C18" s="139">
        <v>37500</v>
      </c>
      <c r="D18" s="99">
        <v>12500</v>
      </c>
      <c r="E18" s="99">
        <f>(C18*0.015)</f>
        <v>562.5</v>
      </c>
      <c r="F18" s="99">
        <f>SUM(D18:E18)</f>
        <v>13062.5</v>
      </c>
      <c r="G18" s="99"/>
      <c r="H18" s="99"/>
      <c r="I18" s="100"/>
      <c r="J18" s="101"/>
      <c r="L18" s="163" t="s">
        <v>18</v>
      </c>
      <c r="M18" s="139">
        <v>37500</v>
      </c>
      <c r="N18" s="99">
        <v>12500</v>
      </c>
      <c r="O18" s="99">
        <f>(M18*0.015)</f>
        <v>562.5</v>
      </c>
      <c r="P18" s="99">
        <f>SUM(N18:O18)</f>
        <v>13062.5</v>
      </c>
      <c r="Q18" s="99"/>
      <c r="R18" s="99"/>
      <c r="S18" s="100"/>
      <c r="T18" s="101"/>
    </row>
    <row r="19" spans="2:20" x14ac:dyDescent="0.3">
      <c r="B19" s="163" t="s">
        <v>19</v>
      </c>
      <c r="C19" s="139">
        <v>25000</v>
      </c>
      <c r="D19" s="99">
        <v>12500</v>
      </c>
      <c r="E19" s="99">
        <f>(C19*0.015)</f>
        <v>375</v>
      </c>
      <c r="F19" s="99">
        <f>SUM(D19:E19)</f>
        <v>12875</v>
      </c>
      <c r="G19" s="99"/>
      <c r="H19" s="99"/>
      <c r="I19" s="100"/>
      <c r="J19" s="101"/>
      <c r="L19" s="163" t="s">
        <v>19</v>
      </c>
      <c r="M19" s="139">
        <v>25000</v>
      </c>
      <c r="N19" s="99">
        <v>12500</v>
      </c>
      <c r="O19" s="99">
        <f>(M19*0.015)</f>
        <v>375</v>
      </c>
      <c r="P19" s="99">
        <f>SUM(N19:O19)</f>
        <v>12875</v>
      </c>
      <c r="Q19" s="99"/>
      <c r="R19" s="99"/>
      <c r="S19" s="100"/>
      <c r="T19" s="101"/>
    </row>
    <row r="20" spans="2:20" x14ac:dyDescent="0.3">
      <c r="B20" s="163" t="s">
        <v>20</v>
      </c>
      <c r="C20" s="139">
        <v>12500</v>
      </c>
      <c r="D20" s="99">
        <v>12500</v>
      </c>
      <c r="E20" s="99">
        <f>(C20*0.015)</f>
        <v>187.5</v>
      </c>
      <c r="F20" s="99">
        <f>SUM(D20:E20)</f>
        <v>12687.5</v>
      </c>
      <c r="G20" s="99"/>
      <c r="H20" s="99"/>
      <c r="I20" s="100"/>
      <c r="J20" s="101" t="s">
        <v>42</v>
      </c>
      <c r="L20" s="163" t="s">
        <v>20</v>
      </c>
      <c r="M20" s="139">
        <v>12500</v>
      </c>
      <c r="N20" s="99">
        <v>12500</v>
      </c>
      <c r="O20" s="99">
        <f>(M20*0.015)</f>
        <v>187.5</v>
      </c>
      <c r="P20" s="99">
        <f>SUM(N20:O20)</f>
        <v>12687.5</v>
      </c>
      <c r="Q20" s="99"/>
      <c r="R20" s="99"/>
      <c r="S20" s="100"/>
      <c r="T20" s="101" t="s">
        <v>42</v>
      </c>
    </row>
    <row r="21" spans="2:20" x14ac:dyDescent="0.3">
      <c r="F21" s="38">
        <f>SUM(F17:F20)</f>
        <v>51875</v>
      </c>
    </row>
    <row r="23" spans="2:20" x14ac:dyDescent="0.3">
      <c r="B23" s="77" t="s">
        <v>0</v>
      </c>
      <c r="C23" s="229" t="s">
        <v>186</v>
      </c>
      <c r="D23" s="230"/>
      <c r="E23" s="230"/>
      <c r="F23" s="79"/>
      <c r="G23" s="80"/>
      <c r="H23" s="231" t="s">
        <v>1</v>
      </c>
      <c r="I23" s="231"/>
      <c r="J23" s="82">
        <v>10000</v>
      </c>
      <c r="L23" s="77" t="s">
        <v>0</v>
      </c>
      <c r="M23" s="229" t="s">
        <v>186</v>
      </c>
      <c r="N23" s="230"/>
      <c r="O23" s="230"/>
      <c r="P23" s="79"/>
      <c r="Q23" s="80"/>
      <c r="R23" s="231" t="s">
        <v>1</v>
      </c>
      <c r="S23" s="231"/>
      <c r="T23" s="82">
        <v>10000</v>
      </c>
    </row>
    <row r="24" spans="2:20" x14ac:dyDescent="0.3">
      <c r="B24" s="77" t="s">
        <v>2</v>
      </c>
      <c r="C24" s="83"/>
      <c r="D24" s="79"/>
      <c r="E24" s="83"/>
      <c r="F24" s="81"/>
      <c r="G24" s="81"/>
      <c r="H24" s="84"/>
      <c r="I24" s="81" t="s">
        <v>3</v>
      </c>
      <c r="J24" s="85" t="s">
        <v>238</v>
      </c>
      <c r="L24" s="77" t="s">
        <v>2</v>
      </c>
      <c r="M24" s="83"/>
      <c r="N24" s="79"/>
      <c r="O24" s="83"/>
      <c r="P24" s="81"/>
      <c r="Q24" s="81"/>
      <c r="R24" s="84"/>
      <c r="S24" s="81" t="s">
        <v>3</v>
      </c>
      <c r="T24" s="85" t="s">
        <v>238</v>
      </c>
    </row>
    <row r="25" spans="2:20" x14ac:dyDescent="0.3">
      <c r="B25" s="77" t="s">
        <v>4</v>
      </c>
      <c r="C25" s="78"/>
      <c r="D25" s="79"/>
      <c r="E25" s="78"/>
      <c r="F25" s="231" t="s">
        <v>5</v>
      </c>
      <c r="G25" s="231"/>
      <c r="H25" s="231"/>
      <c r="I25" s="231"/>
      <c r="J25" s="86">
        <v>1.4999999999999999E-2</v>
      </c>
      <c r="L25" s="77" t="s">
        <v>4</v>
      </c>
      <c r="M25" s="78"/>
      <c r="N25" s="79"/>
      <c r="O25" s="78"/>
      <c r="P25" s="231" t="s">
        <v>5</v>
      </c>
      <c r="Q25" s="231"/>
      <c r="R25" s="231"/>
      <c r="S25" s="231"/>
      <c r="T25" s="86">
        <v>1.4999999999999999E-2</v>
      </c>
    </row>
    <row r="26" spans="2:20" ht="15" thickBot="1" x14ac:dyDescent="0.35">
      <c r="B26" s="77" t="s">
        <v>6</v>
      </c>
      <c r="C26" s="232"/>
      <c r="D26" s="232"/>
      <c r="E26" s="233" t="s">
        <v>7</v>
      </c>
      <c r="F26" s="233"/>
      <c r="G26" s="233"/>
      <c r="H26" s="233"/>
      <c r="I26" s="233"/>
      <c r="J26" s="78">
        <v>4</v>
      </c>
      <c r="L26" s="77" t="s">
        <v>6</v>
      </c>
      <c r="M26" s="232"/>
      <c r="N26" s="232"/>
      <c r="O26" s="233" t="s">
        <v>7</v>
      </c>
      <c r="P26" s="233"/>
      <c r="Q26" s="233"/>
      <c r="R26" s="233"/>
      <c r="S26" s="233"/>
      <c r="T26" s="78">
        <v>4</v>
      </c>
    </row>
    <row r="27" spans="2:20" ht="41.4" thickBot="1" x14ac:dyDescent="0.35">
      <c r="B27" s="89" t="s">
        <v>8</v>
      </c>
      <c r="C27" s="89" t="s">
        <v>9</v>
      </c>
      <c r="D27" s="89" t="s">
        <v>10</v>
      </c>
      <c r="E27" s="90" t="s">
        <v>11</v>
      </c>
      <c r="F27" s="91" t="s">
        <v>12</v>
      </c>
      <c r="G27" s="92" t="s">
        <v>13</v>
      </c>
      <c r="H27" s="92" t="s">
        <v>14</v>
      </c>
      <c r="I27" s="92" t="s">
        <v>15</v>
      </c>
      <c r="J27" s="93" t="s">
        <v>16</v>
      </c>
      <c r="L27" s="89" t="s">
        <v>8</v>
      </c>
      <c r="M27" s="89" t="s">
        <v>9</v>
      </c>
      <c r="N27" s="89" t="s">
        <v>10</v>
      </c>
      <c r="O27" s="90" t="s">
        <v>11</v>
      </c>
      <c r="P27" s="91" t="s">
        <v>12</v>
      </c>
      <c r="Q27" s="92" t="s">
        <v>13</v>
      </c>
      <c r="R27" s="92" t="s">
        <v>14</v>
      </c>
      <c r="S27" s="92" t="s">
        <v>15</v>
      </c>
      <c r="T27" s="93" t="s">
        <v>16</v>
      </c>
    </row>
    <row r="28" spans="2:20" x14ac:dyDescent="0.3">
      <c r="B28" s="162" t="s">
        <v>17</v>
      </c>
      <c r="C28" s="138">
        <f>J23</f>
        <v>10000</v>
      </c>
      <c r="D28" s="95">
        <f>J23/J26</f>
        <v>2500</v>
      </c>
      <c r="E28" s="95">
        <f>(C28*0.015)</f>
        <v>150</v>
      </c>
      <c r="F28" s="95">
        <f>SUM(D28:E28)</f>
        <v>2650</v>
      </c>
      <c r="G28" s="95"/>
      <c r="H28" s="95"/>
      <c r="I28" s="96"/>
      <c r="J28" s="97"/>
      <c r="L28" s="94" t="s">
        <v>17</v>
      </c>
      <c r="M28" s="138">
        <f>T23</f>
        <v>10000</v>
      </c>
      <c r="N28" s="95">
        <f>T23/T26</f>
        <v>2500</v>
      </c>
      <c r="O28" s="95">
        <f>(M28*0.015)</f>
        <v>150</v>
      </c>
      <c r="P28" s="95">
        <f>SUM(N28:O28)</f>
        <v>2650</v>
      </c>
      <c r="Q28" s="95"/>
      <c r="R28" s="95"/>
      <c r="S28" s="96"/>
      <c r="T28" s="97"/>
    </row>
    <row r="29" spans="2:20" x14ac:dyDescent="0.3">
      <c r="B29" s="163" t="s">
        <v>18</v>
      </c>
      <c r="C29" s="139">
        <v>7500</v>
      </c>
      <c r="D29" s="99">
        <v>2500</v>
      </c>
      <c r="E29" s="99">
        <f>(C29*0.015)</f>
        <v>112.5</v>
      </c>
      <c r="F29" s="99">
        <f>SUM(D29:E29)</f>
        <v>2612.5</v>
      </c>
      <c r="G29" s="99"/>
      <c r="H29" s="99"/>
      <c r="I29" s="100"/>
      <c r="J29" s="101"/>
      <c r="L29" s="98" t="s">
        <v>18</v>
      </c>
      <c r="M29" s="139">
        <v>7500</v>
      </c>
      <c r="N29" s="99">
        <v>2500</v>
      </c>
      <c r="O29" s="99">
        <f>(M29*0.015)</f>
        <v>112.5</v>
      </c>
      <c r="P29" s="99">
        <f>SUM(N29:O29)</f>
        <v>2612.5</v>
      </c>
      <c r="Q29" s="99"/>
      <c r="R29" s="99"/>
      <c r="S29" s="100"/>
      <c r="T29" s="101"/>
    </row>
    <row r="30" spans="2:20" x14ac:dyDescent="0.3">
      <c r="B30" s="163" t="s">
        <v>19</v>
      </c>
      <c r="C30" s="139">
        <v>5000</v>
      </c>
      <c r="D30" s="99">
        <v>2500</v>
      </c>
      <c r="E30" s="99">
        <f>(C30*0.015)</f>
        <v>75</v>
      </c>
      <c r="F30" s="99">
        <f>SUM(D30:E30)</f>
        <v>2575</v>
      </c>
      <c r="G30" s="99"/>
      <c r="H30" s="99"/>
      <c r="I30" s="100"/>
      <c r="J30" s="101"/>
      <c r="L30" s="98" t="s">
        <v>19</v>
      </c>
      <c r="M30" s="139">
        <v>5000</v>
      </c>
      <c r="N30" s="99">
        <v>2500</v>
      </c>
      <c r="O30" s="99">
        <f>(M30*0.015)</f>
        <v>75</v>
      </c>
      <c r="P30" s="99">
        <f>SUM(N30:O30)</f>
        <v>2575</v>
      </c>
      <c r="Q30" s="99"/>
      <c r="R30" s="99"/>
      <c r="S30" s="100"/>
      <c r="T30" s="101"/>
    </row>
    <row r="31" spans="2:20" x14ac:dyDescent="0.3">
      <c r="B31" s="163" t="s">
        <v>20</v>
      </c>
      <c r="C31" s="139">
        <v>2500</v>
      </c>
      <c r="D31" s="99">
        <v>2500</v>
      </c>
      <c r="E31" s="99">
        <f>(C31*0.015)</f>
        <v>37.5</v>
      </c>
      <c r="F31" s="99">
        <f>SUM(D31:E31)</f>
        <v>2537.5</v>
      </c>
      <c r="G31" s="99"/>
      <c r="H31" s="99"/>
      <c r="I31" s="100"/>
      <c r="J31" s="101" t="s">
        <v>42</v>
      </c>
      <c r="L31" s="98" t="s">
        <v>20</v>
      </c>
      <c r="M31" s="139">
        <v>2500</v>
      </c>
      <c r="N31" s="99">
        <v>2500</v>
      </c>
      <c r="O31" s="99">
        <f>(M31*0.015)</f>
        <v>37.5</v>
      </c>
      <c r="P31" s="99">
        <f>SUM(N31:O31)</f>
        <v>2537.5</v>
      </c>
      <c r="Q31" s="99"/>
      <c r="R31" s="99"/>
      <c r="S31" s="100"/>
      <c r="T31" s="101" t="s">
        <v>42</v>
      </c>
    </row>
    <row r="34" spans="2:20" x14ac:dyDescent="0.3">
      <c r="B34" s="77" t="s">
        <v>0</v>
      </c>
      <c r="C34" s="229" t="s">
        <v>87</v>
      </c>
      <c r="D34" s="230"/>
      <c r="E34" s="230"/>
      <c r="F34" s="117"/>
      <c r="G34" s="123"/>
      <c r="H34" s="231" t="s">
        <v>1</v>
      </c>
      <c r="I34" s="231"/>
      <c r="J34" s="82">
        <v>10000</v>
      </c>
      <c r="L34" s="77" t="s">
        <v>0</v>
      </c>
      <c r="M34" s="229" t="s">
        <v>87</v>
      </c>
      <c r="N34" s="230"/>
      <c r="O34" s="230"/>
      <c r="P34" s="117"/>
      <c r="Q34" s="123"/>
      <c r="R34" s="231" t="s">
        <v>1</v>
      </c>
      <c r="S34" s="231"/>
      <c r="T34" s="82">
        <v>10000</v>
      </c>
    </row>
    <row r="35" spans="2:20" x14ac:dyDescent="0.3">
      <c r="B35" s="77" t="s">
        <v>2</v>
      </c>
      <c r="C35" s="83"/>
      <c r="D35" s="79"/>
      <c r="E35" s="83"/>
      <c r="F35" s="81"/>
      <c r="G35" s="81"/>
      <c r="H35" s="84"/>
      <c r="I35" s="81" t="s">
        <v>3</v>
      </c>
      <c r="J35" s="85" t="s">
        <v>227</v>
      </c>
      <c r="L35" s="77" t="s">
        <v>2</v>
      </c>
      <c r="M35" s="83"/>
      <c r="N35" s="79"/>
      <c r="O35" s="83"/>
      <c r="P35" s="81"/>
      <c r="Q35" s="81"/>
      <c r="R35" s="84"/>
      <c r="S35" s="81" t="s">
        <v>3</v>
      </c>
      <c r="T35" s="85" t="s">
        <v>227</v>
      </c>
    </row>
    <row r="36" spans="2:20" x14ac:dyDescent="0.3">
      <c r="B36" s="77" t="s">
        <v>4</v>
      </c>
      <c r="C36" s="78"/>
      <c r="D36" s="79"/>
      <c r="E36" s="78"/>
      <c r="F36" s="231" t="s">
        <v>5</v>
      </c>
      <c r="G36" s="231"/>
      <c r="H36" s="231"/>
      <c r="I36" s="231"/>
      <c r="J36" s="86">
        <v>1.4999999999999999E-2</v>
      </c>
      <c r="L36" s="77" t="s">
        <v>4</v>
      </c>
      <c r="M36" s="78"/>
      <c r="N36" s="79"/>
      <c r="O36" s="78"/>
      <c r="P36" s="231" t="s">
        <v>5</v>
      </c>
      <c r="Q36" s="231"/>
      <c r="R36" s="231"/>
      <c r="S36" s="231"/>
      <c r="T36" s="86">
        <v>1.4999999999999999E-2</v>
      </c>
    </row>
    <row r="37" spans="2:20" ht="15" thickBot="1" x14ac:dyDescent="0.35">
      <c r="B37" s="77" t="s">
        <v>6</v>
      </c>
      <c r="C37" s="232"/>
      <c r="D37" s="232"/>
      <c r="E37" s="233" t="s">
        <v>7</v>
      </c>
      <c r="F37" s="233"/>
      <c r="G37" s="233"/>
      <c r="H37" s="233"/>
      <c r="I37" s="233"/>
      <c r="J37" s="78">
        <v>4</v>
      </c>
      <c r="L37" s="77" t="s">
        <v>6</v>
      </c>
      <c r="M37" s="232"/>
      <c r="N37" s="232"/>
      <c r="O37" s="233" t="s">
        <v>7</v>
      </c>
      <c r="P37" s="233"/>
      <c r="Q37" s="233"/>
      <c r="R37" s="233"/>
      <c r="S37" s="233"/>
      <c r="T37" s="78">
        <v>4</v>
      </c>
    </row>
    <row r="38" spans="2:20" ht="41.4" thickBot="1" x14ac:dyDescent="0.35">
      <c r="B38" s="89" t="s">
        <v>8</v>
      </c>
      <c r="C38" s="89" t="s">
        <v>9</v>
      </c>
      <c r="D38" s="89" t="s">
        <v>10</v>
      </c>
      <c r="E38" s="90" t="s">
        <v>11</v>
      </c>
      <c r="F38" s="91" t="s">
        <v>12</v>
      </c>
      <c r="G38" s="92" t="s">
        <v>13</v>
      </c>
      <c r="H38" s="92" t="s">
        <v>14</v>
      </c>
      <c r="I38" s="92" t="s">
        <v>15</v>
      </c>
      <c r="J38" s="93" t="s">
        <v>16</v>
      </c>
      <c r="L38" s="89" t="s">
        <v>8</v>
      </c>
      <c r="M38" s="89" t="s">
        <v>9</v>
      </c>
      <c r="N38" s="89" t="s">
        <v>10</v>
      </c>
      <c r="O38" s="90" t="s">
        <v>11</v>
      </c>
      <c r="P38" s="91" t="s">
        <v>12</v>
      </c>
      <c r="Q38" s="92" t="s">
        <v>13</v>
      </c>
      <c r="R38" s="92" t="s">
        <v>14</v>
      </c>
      <c r="S38" s="92" t="s">
        <v>15</v>
      </c>
      <c r="T38" s="93" t="s">
        <v>16</v>
      </c>
    </row>
    <row r="39" spans="2:20" x14ac:dyDescent="0.3">
      <c r="B39" s="94" t="s">
        <v>17</v>
      </c>
      <c r="C39" s="138">
        <f>J34</f>
        <v>10000</v>
      </c>
      <c r="D39" s="95">
        <f>J34/J37</f>
        <v>2500</v>
      </c>
      <c r="E39" s="95">
        <f>(C39*0.015)</f>
        <v>150</v>
      </c>
      <c r="F39" s="95">
        <f>SUM(D39:E39)</f>
        <v>2650</v>
      </c>
      <c r="G39" s="95"/>
      <c r="H39" s="95"/>
      <c r="I39" s="96"/>
      <c r="J39" s="97"/>
      <c r="L39" s="94" t="s">
        <v>17</v>
      </c>
      <c r="M39" s="138">
        <f>T34</f>
        <v>10000</v>
      </c>
      <c r="N39" s="95">
        <f>T34/T37</f>
        <v>2500</v>
      </c>
      <c r="O39" s="95">
        <f>(M39*0.015)</f>
        <v>150</v>
      </c>
      <c r="P39" s="95">
        <f>SUM(N39:O39)</f>
        <v>2650</v>
      </c>
      <c r="Q39" s="95"/>
      <c r="R39" s="95"/>
      <c r="S39" s="96"/>
      <c r="T39" s="97"/>
    </row>
    <row r="40" spans="2:20" x14ac:dyDescent="0.3">
      <c r="B40" s="98" t="s">
        <v>18</v>
      </c>
      <c r="C40" s="139">
        <v>7500</v>
      </c>
      <c r="D40" s="99">
        <v>2500</v>
      </c>
      <c r="E40" s="99">
        <f>(C40*0.015)</f>
        <v>112.5</v>
      </c>
      <c r="F40" s="99">
        <f>SUM(D40:E40)</f>
        <v>2612.5</v>
      </c>
      <c r="G40" s="99"/>
      <c r="H40" s="99"/>
      <c r="I40" s="100"/>
      <c r="J40" s="101"/>
      <c r="L40" s="98" t="s">
        <v>18</v>
      </c>
      <c r="M40" s="139">
        <v>7500</v>
      </c>
      <c r="N40" s="99">
        <v>2500</v>
      </c>
      <c r="O40" s="99">
        <f>(M40*0.015)</f>
        <v>112.5</v>
      </c>
      <c r="P40" s="99">
        <f>SUM(N40:O40)</f>
        <v>2612.5</v>
      </c>
      <c r="Q40" s="99"/>
      <c r="R40" s="99"/>
      <c r="S40" s="100"/>
      <c r="T40" s="101"/>
    </row>
    <row r="41" spans="2:20" x14ac:dyDescent="0.3">
      <c r="B41" s="98" t="s">
        <v>19</v>
      </c>
      <c r="C41" s="139">
        <v>5000</v>
      </c>
      <c r="D41" s="99">
        <v>2500</v>
      </c>
      <c r="E41" s="99">
        <f>(C41*0.015)</f>
        <v>75</v>
      </c>
      <c r="F41" s="99">
        <f>SUM(D41:E41)</f>
        <v>2575</v>
      </c>
      <c r="G41" s="99"/>
      <c r="H41" s="99"/>
      <c r="I41" s="100"/>
      <c r="J41" s="101"/>
      <c r="L41" s="98" t="s">
        <v>19</v>
      </c>
      <c r="M41" s="139">
        <v>5000</v>
      </c>
      <c r="N41" s="99">
        <v>2500</v>
      </c>
      <c r="O41" s="99">
        <f>(M41*0.015)</f>
        <v>75</v>
      </c>
      <c r="P41" s="99">
        <f>SUM(N41:O41)</f>
        <v>2575</v>
      </c>
      <c r="Q41" s="99"/>
      <c r="R41" s="99"/>
      <c r="S41" s="100"/>
      <c r="T41" s="101"/>
    </row>
    <row r="42" spans="2:20" x14ac:dyDescent="0.3">
      <c r="B42" s="98" t="s">
        <v>20</v>
      </c>
      <c r="C42" s="139">
        <v>2500</v>
      </c>
      <c r="D42" s="99">
        <v>2500</v>
      </c>
      <c r="E42" s="99">
        <f>(C42*0.015)</f>
        <v>37.5</v>
      </c>
      <c r="F42" s="99">
        <f>SUM(D42:E42)</f>
        <v>2537.5</v>
      </c>
      <c r="G42" s="99"/>
      <c r="H42" s="99"/>
      <c r="I42" s="100"/>
      <c r="J42" s="101" t="s">
        <v>42</v>
      </c>
      <c r="L42" s="98" t="s">
        <v>20</v>
      </c>
      <c r="M42" s="139">
        <v>2500</v>
      </c>
      <c r="N42" s="99">
        <v>2500</v>
      </c>
      <c r="O42" s="99">
        <f>(M42*0.015)</f>
        <v>37.5</v>
      </c>
      <c r="P42" s="99">
        <f>SUM(N42:O42)</f>
        <v>2537.5</v>
      </c>
      <c r="Q42" s="99"/>
      <c r="R42" s="99"/>
      <c r="S42" s="100"/>
      <c r="T42" s="101" t="s">
        <v>42</v>
      </c>
    </row>
  </sheetData>
  <mergeCells count="40">
    <mergeCell ref="C15:D15"/>
    <mergeCell ref="E15:I15"/>
    <mergeCell ref="M15:N15"/>
    <mergeCell ref="O15:S15"/>
    <mergeCell ref="C12:E12"/>
    <mergeCell ref="H12:I12"/>
    <mergeCell ref="M12:O12"/>
    <mergeCell ref="R12:S12"/>
    <mergeCell ref="F14:I14"/>
    <mergeCell ref="P14:S14"/>
    <mergeCell ref="R1:S1"/>
    <mergeCell ref="P3:S3"/>
    <mergeCell ref="M4:N4"/>
    <mergeCell ref="O4:S4"/>
    <mergeCell ref="C1:E1"/>
    <mergeCell ref="H1:I1"/>
    <mergeCell ref="F3:I3"/>
    <mergeCell ref="C4:D4"/>
    <mergeCell ref="E4:I4"/>
    <mergeCell ref="M1:O1"/>
    <mergeCell ref="C26:D26"/>
    <mergeCell ref="E26:I26"/>
    <mergeCell ref="M26:N26"/>
    <mergeCell ref="O26:S26"/>
    <mergeCell ref="C23:E23"/>
    <mergeCell ref="H23:I23"/>
    <mergeCell ref="M23:O23"/>
    <mergeCell ref="R23:S23"/>
    <mergeCell ref="F25:I25"/>
    <mergeCell ref="P25:S25"/>
    <mergeCell ref="C37:D37"/>
    <mergeCell ref="E37:I37"/>
    <mergeCell ref="M37:N37"/>
    <mergeCell ref="O37:S37"/>
    <mergeCell ref="C34:E34"/>
    <mergeCell ref="H34:I34"/>
    <mergeCell ref="M34:O34"/>
    <mergeCell ref="R34:S34"/>
    <mergeCell ref="F36:I36"/>
    <mergeCell ref="P36:S36"/>
  </mergeCells>
  <pageMargins left="0.25" right="0.25" top="0.75" bottom="0.75" header="0.3" footer="0.3"/>
  <pageSetup paperSize="5" scale="90" orientation="landscape" horizontalDpi="4294967292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9225-0647-45C8-8647-76C1C3DB5D2B}">
  <dimension ref="A2:T65"/>
  <sheetViews>
    <sheetView topLeftCell="A42" workbookViewId="0">
      <selection activeCell="L37" sqref="L37:T65"/>
    </sheetView>
  </sheetViews>
  <sheetFormatPr defaultRowHeight="14.4" x14ac:dyDescent="0.3"/>
  <cols>
    <col min="1" max="1" width="2.88671875" customWidth="1"/>
    <col min="2" max="2" width="13.88671875" customWidth="1"/>
    <col min="3" max="10" width="7.21875" customWidth="1"/>
    <col min="11" max="11" width="7.77734375" customWidth="1"/>
    <col min="12" max="12" width="14.44140625" customWidth="1"/>
    <col min="13" max="20" width="7.21875" customWidth="1"/>
  </cols>
  <sheetData>
    <row r="2" spans="1:20" x14ac:dyDescent="0.3">
      <c r="A2" s="1"/>
      <c r="B2" s="234"/>
      <c r="C2" s="234"/>
      <c r="D2" s="234"/>
      <c r="F2" s="2"/>
      <c r="G2" s="235"/>
      <c r="H2" s="235"/>
      <c r="I2" s="3"/>
    </row>
    <row r="3" spans="1:20" ht="13.2" customHeight="1" x14ac:dyDescent="0.3">
      <c r="A3" s="1"/>
      <c r="B3" s="81" t="s">
        <v>0</v>
      </c>
      <c r="C3" s="77" t="s">
        <v>127</v>
      </c>
      <c r="D3" s="78"/>
      <c r="E3" s="78"/>
      <c r="F3" s="79"/>
      <c r="G3" s="80"/>
      <c r="I3" s="81" t="s">
        <v>1</v>
      </c>
      <c r="J3" s="82">
        <v>20000</v>
      </c>
      <c r="L3" s="81" t="s">
        <v>0</v>
      </c>
      <c r="M3" s="229" t="s">
        <v>126</v>
      </c>
      <c r="N3" s="229"/>
      <c r="O3" s="229"/>
      <c r="P3" s="79"/>
      <c r="Q3" s="80"/>
      <c r="R3" s="231" t="s">
        <v>1</v>
      </c>
      <c r="S3" s="231"/>
      <c r="T3" s="82">
        <v>20000</v>
      </c>
    </row>
    <row r="4" spans="1:20" ht="13.2" customHeight="1" x14ac:dyDescent="0.3">
      <c r="A4" s="1"/>
      <c r="B4" s="81" t="s">
        <v>2</v>
      </c>
      <c r="C4" s="83"/>
      <c r="D4" s="79"/>
      <c r="E4" s="83"/>
      <c r="F4" s="81"/>
      <c r="G4" s="81"/>
      <c r="H4" s="84"/>
      <c r="I4" s="81" t="s">
        <v>3</v>
      </c>
      <c r="J4" s="85" t="s">
        <v>60</v>
      </c>
      <c r="L4" s="81" t="s">
        <v>2</v>
      </c>
      <c r="M4" s="83"/>
      <c r="N4" s="79"/>
      <c r="O4" s="83"/>
      <c r="P4" s="81"/>
      <c r="Q4" s="81"/>
      <c r="R4" s="84"/>
      <c r="S4" s="81" t="s">
        <v>3</v>
      </c>
      <c r="T4" s="85" t="s">
        <v>54</v>
      </c>
    </row>
    <row r="5" spans="1:20" ht="13.2" customHeight="1" x14ac:dyDescent="0.3">
      <c r="A5" s="1"/>
      <c r="B5" s="81" t="s">
        <v>4</v>
      </c>
      <c r="C5" s="78"/>
      <c r="D5" s="79"/>
      <c r="E5" s="78"/>
      <c r="G5" s="81"/>
      <c r="H5" s="81"/>
      <c r="I5" s="81" t="s">
        <v>5</v>
      </c>
      <c r="J5" s="86">
        <v>1.4999999999999999E-2</v>
      </c>
      <c r="L5" s="81" t="s">
        <v>4</v>
      </c>
      <c r="M5" s="78"/>
      <c r="N5" s="79"/>
      <c r="O5" s="78"/>
      <c r="Q5" s="81"/>
      <c r="R5" s="81"/>
      <c r="S5" s="81" t="s">
        <v>5</v>
      </c>
      <c r="T5" s="86">
        <v>1.4999999999999999E-2</v>
      </c>
    </row>
    <row r="6" spans="1:20" ht="13.2" customHeight="1" thickBot="1" x14ac:dyDescent="0.35">
      <c r="A6" s="44"/>
      <c r="B6" s="81" t="s">
        <v>6</v>
      </c>
      <c r="C6" s="87"/>
      <c r="D6" s="87"/>
      <c r="F6" s="88"/>
      <c r="G6" s="88"/>
      <c r="H6" s="88"/>
      <c r="I6" s="88" t="s">
        <v>7</v>
      </c>
      <c r="J6" s="78">
        <v>24</v>
      </c>
      <c r="L6" s="81" t="s">
        <v>6</v>
      </c>
      <c r="M6" s="87"/>
      <c r="N6" s="87"/>
      <c r="P6" s="88"/>
      <c r="Q6" s="88"/>
      <c r="R6" s="88"/>
      <c r="S6" s="88" t="s">
        <v>7</v>
      </c>
      <c r="T6" s="78">
        <v>24</v>
      </c>
    </row>
    <row r="7" spans="1:20" ht="51" customHeight="1" thickBot="1" x14ac:dyDescent="0.35">
      <c r="A7" s="1"/>
      <c r="B7" s="89" t="s">
        <v>8</v>
      </c>
      <c r="C7" s="89" t="s">
        <v>9</v>
      </c>
      <c r="D7" s="89" t="s">
        <v>10</v>
      </c>
      <c r="E7" s="90" t="s">
        <v>11</v>
      </c>
      <c r="F7" s="91" t="s">
        <v>12</v>
      </c>
      <c r="G7" s="92" t="s">
        <v>13</v>
      </c>
      <c r="H7" s="92" t="s">
        <v>14</v>
      </c>
      <c r="I7" s="92" t="s">
        <v>15</v>
      </c>
      <c r="J7" s="93" t="s">
        <v>16</v>
      </c>
      <c r="L7" s="89" t="s">
        <v>8</v>
      </c>
      <c r="M7" s="89" t="s">
        <v>9</v>
      </c>
      <c r="N7" s="89" t="s">
        <v>10</v>
      </c>
      <c r="O7" s="90" t="s">
        <v>11</v>
      </c>
      <c r="P7" s="91" t="s">
        <v>12</v>
      </c>
      <c r="Q7" s="92" t="s">
        <v>13</v>
      </c>
      <c r="R7" s="92" t="s">
        <v>14</v>
      </c>
      <c r="S7" s="92" t="s">
        <v>15</v>
      </c>
      <c r="T7" s="93" t="s">
        <v>16</v>
      </c>
    </row>
    <row r="8" spans="1:20" ht="13.2" customHeight="1" x14ac:dyDescent="0.3">
      <c r="A8" s="1"/>
      <c r="B8" s="94" t="s">
        <v>17</v>
      </c>
      <c r="C8" s="95">
        <f>J3</f>
        <v>20000</v>
      </c>
      <c r="D8" s="95">
        <f>J3/J6</f>
        <v>833.33333333333337</v>
      </c>
      <c r="E8" s="95">
        <f>(C8*0.015)</f>
        <v>300</v>
      </c>
      <c r="F8" s="95">
        <f t="shared" ref="F8:F31" si="0">$C$6+E8</f>
        <v>300</v>
      </c>
      <c r="G8" s="95"/>
      <c r="H8" s="95"/>
      <c r="I8" s="96"/>
      <c r="J8" s="97"/>
      <c r="L8" s="94" t="s">
        <v>17</v>
      </c>
      <c r="M8" s="95">
        <f>T3</f>
        <v>20000</v>
      </c>
      <c r="N8" s="95">
        <f>T3/T6</f>
        <v>833.33333333333337</v>
      </c>
      <c r="O8" s="95">
        <f>(M8*0.015)</f>
        <v>300</v>
      </c>
      <c r="P8" s="17" t="e">
        <f>$C$7+'60-12'!#REF!</f>
        <v>#VALUE!</v>
      </c>
      <c r="Q8" s="95"/>
      <c r="R8" s="95"/>
      <c r="S8" s="96"/>
      <c r="T8" s="97"/>
    </row>
    <row r="9" spans="1:20" ht="13.2" customHeight="1" x14ac:dyDescent="0.3">
      <c r="A9" s="1"/>
      <c r="B9" s="98" t="s">
        <v>18</v>
      </c>
      <c r="C9" s="99">
        <v>19159</v>
      </c>
      <c r="D9" s="99">
        <f t="shared" ref="D9:D31" si="1">$C$6</f>
        <v>0</v>
      </c>
      <c r="E9" s="99">
        <f t="shared" ref="E9:E31" si="2">(C9*0.015)</f>
        <v>287.38499999999999</v>
      </c>
      <c r="F9" s="99">
        <f t="shared" si="0"/>
        <v>287.38499999999999</v>
      </c>
      <c r="G9" s="99"/>
      <c r="H9" s="99"/>
      <c r="I9" s="100"/>
      <c r="J9" s="101"/>
      <c r="L9" s="98" t="s">
        <v>18</v>
      </c>
      <c r="M9" s="99">
        <v>19159</v>
      </c>
      <c r="N9" s="99" t="str">
        <f>$C$7</f>
        <v>Present Capital Loan</v>
      </c>
      <c r="O9" s="99">
        <f t="shared" ref="O9:O31" si="3">(M9*0.015)</f>
        <v>287.38499999999999</v>
      </c>
      <c r="P9" s="8" t="e">
        <f t="shared" ref="P9:P31" si="4">$C$7+O9</f>
        <v>#VALUE!</v>
      </c>
      <c r="Q9" s="99"/>
      <c r="R9" s="99"/>
      <c r="S9" s="100"/>
      <c r="T9" s="101"/>
    </row>
    <row r="10" spans="1:20" ht="13.2" customHeight="1" x14ac:dyDescent="0.3">
      <c r="A10" s="1"/>
      <c r="B10" s="98" t="s">
        <v>19</v>
      </c>
      <c r="C10" s="99">
        <v>18326</v>
      </c>
      <c r="D10" s="99">
        <f t="shared" si="1"/>
        <v>0</v>
      </c>
      <c r="E10" s="99">
        <f t="shared" si="2"/>
        <v>274.89</v>
      </c>
      <c r="F10" s="99">
        <f t="shared" si="0"/>
        <v>274.89</v>
      </c>
      <c r="G10" s="99"/>
      <c r="H10" s="99"/>
      <c r="I10" s="100"/>
      <c r="J10" s="101"/>
      <c r="L10" s="98" t="s">
        <v>19</v>
      </c>
      <c r="M10" s="99">
        <v>18326</v>
      </c>
      <c r="N10" s="99" t="str">
        <f t="shared" ref="N10:N31" si="5">$C$7</f>
        <v>Present Capital Loan</v>
      </c>
      <c r="O10" s="99">
        <f t="shared" si="3"/>
        <v>274.89</v>
      </c>
      <c r="P10" s="8" t="e">
        <f t="shared" si="4"/>
        <v>#VALUE!</v>
      </c>
      <c r="Q10" s="99"/>
      <c r="R10" s="99"/>
      <c r="S10" s="100"/>
      <c r="T10" s="101"/>
    </row>
    <row r="11" spans="1:20" ht="13.2" customHeight="1" x14ac:dyDescent="0.3">
      <c r="A11" s="1"/>
      <c r="B11" s="98" t="s">
        <v>20</v>
      </c>
      <c r="C11" s="99">
        <v>17493</v>
      </c>
      <c r="D11" s="99">
        <f t="shared" si="1"/>
        <v>0</v>
      </c>
      <c r="E11" s="99">
        <f t="shared" si="2"/>
        <v>262.39499999999998</v>
      </c>
      <c r="F11" s="99">
        <f t="shared" si="0"/>
        <v>262.39499999999998</v>
      </c>
      <c r="G11" s="99"/>
      <c r="H11" s="99"/>
      <c r="I11" s="100"/>
      <c r="J11" s="101"/>
      <c r="L11" s="98" t="s">
        <v>20</v>
      </c>
      <c r="M11" s="99">
        <v>17493</v>
      </c>
      <c r="N11" s="99" t="str">
        <f t="shared" si="5"/>
        <v>Present Capital Loan</v>
      </c>
      <c r="O11" s="99">
        <f t="shared" si="3"/>
        <v>262.39499999999998</v>
      </c>
      <c r="P11" s="8" t="e">
        <f t="shared" si="4"/>
        <v>#VALUE!</v>
      </c>
      <c r="Q11" s="99"/>
      <c r="R11" s="99"/>
      <c r="S11" s="100"/>
      <c r="T11" s="101"/>
    </row>
    <row r="12" spans="1:20" ht="13.2" customHeight="1" x14ac:dyDescent="0.3">
      <c r="A12" s="1"/>
      <c r="B12" s="98" t="s">
        <v>21</v>
      </c>
      <c r="C12" s="99">
        <v>16660</v>
      </c>
      <c r="D12" s="99">
        <f t="shared" si="1"/>
        <v>0</v>
      </c>
      <c r="E12" s="99">
        <f t="shared" si="2"/>
        <v>249.89999999999998</v>
      </c>
      <c r="F12" s="99">
        <f t="shared" si="0"/>
        <v>249.89999999999998</v>
      </c>
      <c r="G12" s="99"/>
      <c r="H12" s="99"/>
      <c r="I12" s="100"/>
      <c r="J12" s="101"/>
      <c r="L12" s="98" t="s">
        <v>21</v>
      </c>
      <c r="M12" s="99">
        <v>16660</v>
      </c>
      <c r="N12" s="99" t="str">
        <f t="shared" si="5"/>
        <v>Present Capital Loan</v>
      </c>
      <c r="O12" s="99">
        <f t="shared" si="3"/>
        <v>249.89999999999998</v>
      </c>
      <c r="P12" s="8" t="e">
        <f t="shared" si="4"/>
        <v>#VALUE!</v>
      </c>
      <c r="Q12" s="99"/>
      <c r="R12" s="99"/>
      <c r="S12" s="100"/>
      <c r="T12" s="101"/>
    </row>
    <row r="13" spans="1:20" ht="13.2" customHeight="1" x14ac:dyDescent="0.3">
      <c r="A13" s="1"/>
      <c r="B13" s="98" t="s">
        <v>23</v>
      </c>
      <c r="C13" s="99">
        <v>15827</v>
      </c>
      <c r="D13" s="99">
        <f t="shared" si="1"/>
        <v>0</v>
      </c>
      <c r="E13" s="99">
        <f t="shared" si="2"/>
        <v>237.405</v>
      </c>
      <c r="F13" s="99">
        <f t="shared" si="0"/>
        <v>237.405</v>
      </c>
      <c r="G13" s="99"/>
      <c r="H13" s="99"/>
      <c r="I13" s="100"/>
      <c r="J13" s="101"/>
      <c r="L13" s="98" t="s">
        <v>23</v>
      </c>
      <c r="M13" s="99">
        <v>15827</v>
      </c>
      <c r="N13" s="99" t="str">
        <f t="shared" si="5"/>
        <v>Present Capital Loan</v>
      </c>
      <c r="O13" s="99">
        <f t="shared" si="3"/>
        <v>237.405</v>
      </c>
      <c r="P13" s="8" t="e">
        <f t="shared" si="4"/>
        <v>#VALUE!</v>
      </c>
      <c r="Q13" s="99"/>
      <c r="R13" s="99"/>
      <c r="S13" s="100"/>
      <c r="T13" s="101"/>
    </row>
    <row r="14" spans="1:20" ht="13.2" customHeight="1" x14ac:dyDescent="0.3">
      <c r="A14" s="1"/>
      <c r="B14" s="98" t="s">
        <v>24</v>
      </c>
      <c r="C14" s="99">
        <v>14994</v>
      </c>
      <c r="D14" s="99">
        <f t="shared" si="1"/>
        <v>0</v>
      </c>
      <c r="E14" s="99">
        <f t="shared" si="2"/>
        <v>224.91</v>
      </c>
      <c r="F14" s="99">
        <f t="shared" si="0"/>
        <v>224.91</v>
      </c>
      <c r="G14" s="99"/>
      <c r="H14" s="99"/>
      <c r="I14" s="100"/>
      <c r="J14" s="101"/>
      <c r="L14" s="98" t="s">
        <v>24</v>
      </c>
      <c r="M14" s="99">
        <v>14994</v>
      </c>
      <c r="N14" s="99" t="str">
        <f t="shared" si="5"/>
        <v>Present Capital Loan</v>
      </c>
      <c r="O14" s="99">
        <f t="shared" si="3"/>
        <v>224.91</v>
      </c>
      <c r="P14" s="8" t="e">
        <f t="shared" si="4"/>
        <v>#VALUE!</v>
      </c>
      <c r="Q14" s="99"/>
      <c r="R14" s="99"/>
      <c r="S14" s="100"/>
      <c r="T14" s="101"/>
    </row>
    <row r="15" spans="1:20" ht="13.2" customHeight="1" x14ac:dyDescent="0.3">
      <c r="A15" s="1"/>
      <c r="B15" s="98" t="s">
        <v>25</v>
      </c>
      <c r="C15" s="99">
        <v>14161</v>
      </c>
      <c r="D15" s="99">
        <f t="shared" si="1"/>
        <v>0</v>
      </c>
      <c r="E15" s="99">
        <f t="shared" si="2"/>
        <v>212.41499999999999</v>
      </c>
      <c r="F15" s="99">
        <f t="shared" si="0"/>
        <v>212.41499999999999</v>
      </c>
      <c r="G15" s="99"/>
      <c r="H15" s="99"/>
      <c r="I15" s="100"/>
      <c r="J15" s="101"/>
      <c r="L15" s="98" t="s">
        <v>25</v>
      </c>
      <c r="M15" s="99">
        <v>14161</v>
      </c>
      <c r="N15" s="99" t="str">
        <f t="shared" si="5"/>
        <v>Present Capital Loan</v>
      </c>
      <c r="O15" s="99">
        <f t="shared" si="3"/>
        <v>212.41499999999999</v>
      </c>
      <c r="P15" s="8" t="e">
        <f t="shared" si="4"/>
        <v>#VALUE!</v>
      </c>
      <c r="Q15" s="99"/>
      <c r="R15" s="99"/>
      <c r="S15" s="100"/>
      <c r="T15" s="101"/>
    </row>
    <row r="16" spans="1:20" ht="13.2" customHeight="1" x14ac:dyDescent="0.3">
      <c r="A16" s="1"/>
      <c r="B16" s="98" t="s">
        <v>26</v>
      </c>
      <c r="C16" s="99">
        <v>13328</v>
      </c>
      <c r="D16" s="99">
        <f t="shared" si="1"/>
        <v>0</v>
      </c>
      <c r="E16" s="99">
        <f t="shared" si="2"/>
        <v>199.92</v>
      </c>
      <c r="F16" s="99">
        <f t="shared" si="0"/>
        <v>199.92</v>
      </c>
      <c r="G16" s="99"/>
      <c r="H16" s="99"/>
      <c r="I16" s="100"/>
      <c r="J16" s="101"/>
      <c r="L16" s="98" t="s">
        <v>26</v>
      </c>
      <c r="M16" s="99">
        <v>13328</v>
      </c>
      <c r="N16" s="99" t="str">
        <f t="shared" si="5"/>
        <v>Present Capital Loan</v>
      </c>
      <c r="O16" s="99">
        <f t="shared" si="3"/>
        <v>199.92</v>
      </c>
      <c r="P16" s="8" t="e">
        <f t="shared" si="4"/>
        <v>#VALUE!</v>
      </c>
      <c r="Q16" s="99"/>
      <c r="R16" s="99"/>
      <c r="S16" s="100"/>
      <c r="T16" s="101"/>
    </row>
    <row r="17" spans="1:20" ht="13.2" customHeight="1" x14ac:dyDescent="0.3">
      <c r="A17" s="1"/>
      <c r="B17" s="98" t="s">
        <v>27</v>
      </c>
      <c r="C17" s="99">
        <v>12495</v>
      </c>
      <c r="D17" s="99">
        <f t="shared" si="1"/>
        <v>0</v>
      </c>
      <c r="E17" s="99">
        <f t="shared" si="2"/>
        <v>187.42499999999998</v>
      </c>
      <c r="F17" s="99">
        <f t="shared" si="0"/>
        <v>187.42499999999998</v>
      </c>
      <c r="G17" s="99"/>
      <c r="H17" s="99"/>
      <c r="I17" s="100"/>
      <c r="J17" s="101"/>
      <c r="L17" s="98" t="s">
        <v>27</v>
      </c>
      <c r="M17" s="99">
        <v>12495</v>
      </c>
      <c r="N17" s="99" t="str">
        <f t="shared" si="5"/>
        <v>Present Capital Loan</v>
      </c>
      <c r="O17" s="99">
        <f t="shared" si="3"/>
        <v>187.42499999999998</v>
      </c>
      <c r="P17" s="8" t="e">
        <f t="shared" si="4"/>
        <v>#VALUE!</v>
      </c>
      <c r="Q17" s="99"/>
      <c r="R17" s="99"/>
      <c r="S17" s="100"/>
      <c r="T17" s="101"/>
    </row>
    <row r="18" spans="1:20" ht="13.2" customHeight="1" x14ac:dyDescent="0.3">
      <c r="A18" s="1"/>
      <c r="B18" s="98" t="s">
        <v>28</v>
      </c>
      <c r="C18" s="99">
        <v>11662</v>
      </c>
      <c r="D18" s="99">
        <f t="shared" si="1"/>
        <v>0</v>
      </c>
      <c r="E18" s="99">
        <f t="shared" si="2"/>
        <v>174.93</v>
      </c>
      <c r="F18" s="99">
        <f t="shared" si="0"/>
        <v>174.93</v>
      </c>
      <c r="G18" s="99"/>
      <c r="H18" s="99"/>
      <c r="I18" s="100"/>
      <c r="J18" s="101"/>
      <c r="L18" s="98" t="s">
        <v>28</v>
      </c>
      <c r="M18" s="99">
        <v>11662</v>
      </c>
      <c r="N18" s="99" t="str">
        <f t="shared" si="5"/>
        <v>Present Capital Loan</v>
      </c>
      <c r="O18" s="99">
        <f t="shared" si="3"/>
        <v>174.93</v>
      </c>
      <c r="P18" s="8" t="e">
        <f t="shared" si="4"/>
        <v>#VALUE!</v>
      </c>
      <c r="Q18" s="99"/>
      <c r="R18" s="99"/>
      <c r="S18" s="100"/>
      <c r="T18" s="101"/>
    </row>
    <row r="19" spans="1:20" ht="13.2" customHeight="1" x14ac:dyDescent="0.3">
      <c r="B19" s="98" t="s">
        <v>29</v>
      </c>
      <c r="C19" s="99">
        <v>10829</v>
      </c>
      <c r="D19" s="99">
        <f t="shared" si="1"/>
        <v>0</v>
      </c>
      <c r="E19" s="99">
        <f t="shared" si="2"/>
        <v>162.435</v>
      </c>
      <c r="F19" s="99">
        <f t="shared" si="0"/>
        <v>162.435</v>
      </c>
      <c r="G19" s="99"/>
      <c r="H19" s="99"/>
      <c r="I19" s="100"/>
      <c r="J19" s="101"/>
      <c r="L19" s="98" t="s">
        <v>29</v>
      </c>
      <c r="M19" s="99">
        <v>10829</v>
      </c>
      <c r="N19" s="99" t="str">
        <f t="shared" si="5"/>
        <v>Present Capital Loan</v>
      </c>
      <c r="O19" s="99">
        <f t="shared" si="3"/>
        <v>162.435</v>
      </c>
      <c r="P19" s="8" t="e">
        <f t="shared" si="4"/>
        <v>#VALUE!</v>
      </c>
      <c r="Q19" s="99"/>
      <c r="R19" s="99"/>
      <c r="S19" s="100"/>
      <c r="T19" s="101"/>
    </row>
    <row r="20" spans="1:20" ht="13.2" customHeight="1" x14ac:dyDescent="0.3">
      <c r="B20" s="98" t="s">
        <v>30</v>
      </c>
      <c r="C20" s="99">
        <v>9996</v>
      </c>
      <c r="D20" s="99">
        <f t="shared" si="1"/>
        <v>0</v>
      </c>
      <c r="E20" s="99">
        <f t="shared" si="2"/>
        <v>149.94</v>
      </c>
      <c r="F20" s="99">
        <f t="shared" si="0"/>
        <v>149.94</v>
      </c>
      <c r="G20" s="99"/>
      <c r="H20" s="99"/>
      <c r="I20" s="100"/>
      <c r="J20" s="101"/>
      <c r="L20" s="98" t="s">
        <v>30</v>
      </c>
      <c r="M20" s="99">
        <v>9996</v>
      </c>
      <c r="N20" s="99" t="str">
        <f t="shared" si="5"/>
        <v>Present Capital Loan</v>
      </c>
      <c r="O20" s="99">
        <f t="shared" si="3"/>
        <v>149.94</v>
      </c>
      <c r="P20" s="8" t="e">
        <f t="shared" si="4"/>
        <v>#VALUE!</v>
      </c>
      <c r="Q20" s="99"/>
      <c r="R20" s="99"/>
      <c r="S20" s="100"/>
      <c r="T20" s="101"/>
    </row>
    <row r="21" spans="1:20" ht="13.2" customHeight="1" x14ac:dyDescent="0.3">
      <c r="B21" s="98" t="s">
        <v>31</v>
      </c>
      <c r="C21" s="99">
        <v>9163</v>
      </c>
      <c r="D21" s="99">
        <f t="shared" si="1"/>
        <v>0</v>
      </c>
      <c r="E21" s="99">
        <f t="shared" si="2"/>
        <v>137.44499999999999</v>
      </c>
      <c r="F21" s="99">
        <f t="shared" si="0"/>
        <v>137.44499999999999</v>
      </c>
      <c r="G21" s="99"/>
      <c r="H21" s="99"/>
      <c r="I21" s="100"/>
      <c r="J21" s="101"/>
      <c r="L21" s="98" t="s">
        <v>31</v>
      </c>
      <c r="M21" s="99">
        <v>9163</v>
      </c>
      <c r="N21" s="99" t="str">
        <f t="shared" si="5"/>
        <v>Present Capital Loan</v>
      </c>
      <c r="O21" s="99">
        <f t="shared" si="3"/>
        <v>137.44499999999999</v>
      </c>
      <c r="P21" s="8" t="e">
        <f t="shared" si="4"/>
        <v>#VALUE!</v>
      </c>
      <c r="Q21" s="99"/>
      <c r="R21" s="99"/>
      <c r="S21" s="100"/>
      <c r="T21" s="101"/>
    </row>
    <row r="22" spans="1:20" ht="13.2" customHeight="1" x14ac:dyDescent="0.3">
      <c r="B22" s="98" t="s">
        <v>32</v>
      </c>
      <c r="C22" s="99">
        <v>8330</v>
      </c>
      <c r="D22" s="99">
        <f t="shared" si="1"/>
        <v>0</v>
      </c>
      <c r="E22" s="99">
        <f t="shared" si="2"/>
        <v>124.94999999999999</v>
      </c>
      <c r="F22" s="99">
        <f t="shared" si="0"/>
        <v>124.94999999999999</v>
      </c>
      <c r="G22" s="99"/>
      <c r="H22" s="99"/>
      <c r="I22" s="100"/>
      <c r="J22" s="101"/>
      <c r="L22" s="98" t="s">
        <v>32</v>
      </c>
      <c r="M22" s="99">
        <v>8330</v>
      </c>
      <c r="N22" s="99" t="str">
        <f t="shared" si="5"/>
        <v>Present Capital Loan</v>
      </c>
      <c r="O22" s="99">
        <f t="shared" si="3"/>
        <v>124.94999999999999</v>
      </c>
      <c r="P22" s="8" t="e">
        <f t="shared" si="4"/>
        <v>#VALUE!</v>
      </c>
      <c r="Q22" s="99"/>
      <c r="R22" s="99"/>
      <c r="S22" s="100"/>
      <c r="T22" s="101"/>
    </row>
    <row r="23" spans="1:20" ht="13.2" customHeight="1" x14ac:dyDescent="0.3">
      <c r="B23" s="98" t="s">
        <v>33</v>
      </c>
      <c r="C23" s="99">
        <v>7497</v>
      </c>
      <c r="D23" s="99">
        <f t="shared" si="1"/>
        <v>0</v>
      </c>
      <c r="E23" s="99">
        <f t="shared" si="2"/>
        <v>112.455</v>
      </c>
      <c r="F23" s="99">
        <f t="shared" si="0"/>
        <v>112.455</v>
      </c>
      <c r="G23" s="99"/>
      <c r="H23" s="99"/>
      <c r="I23" s="100"/>
      <c r="J23" s="101"/>
      <c r="L23" s="98" t="s">
        <v>33</v>
      </c>
      <c r="M23" s="99">
        <v>7497</v>
      </c>
      <c r="N23" s="99" t="str">
        <f t="shared" si="5"/>
        <v>Present Capital Loan</v>
      </c>
      <c r="O23" s="99">
        <f t="shared" si="3"/>
        <v>112.455</v>
      </c>
      <c r="P23" s="8" t="e">
        <f t="shared" si="4"/>
        <v>#VALUE!</v>
      </c>
      <c r="Q23" s="99"/>
      <c r="R23" s="99"/>
      <c r="S23" s="100"/>
      <c r="T23" s="101"/>
    </row>
    <row r="24" spans="1:20" ht="13.2" customHeight="1" x14ac:dyDescent="0.3">
      <c r="B24" s="98" t="s">
        <v>34</v>
      </c>
      <c r="C24" s="99">
        <v>6664</v>
      </c>
      <c r="D24" s="99">
        <f t="shared" si="1"/>
        <v>0</v>
      </c>
      <c r="E24" s="99">
        <f t="shared" si="2"/>
        <v>99.96</v>
      </c>
      <c r="F24" s="99">
        <f t="shared" si="0"/>
        <v>99.96</v>
      </c>
      <c r="G24" s="99"/>
      <c r="H24" s="99"/>
      <c r="I24" s="100"/>
      <c r="J24" s="101"/>
      <c r="L24" s="98" t="s">
        <v>34</v>
      </c>
      <c r="M24" s="99">
        <v>6664</v>
      </c>
      <c r="N24" s="99" t="str">
        <f t="shared" si="5"/>
        <v>Present Capital Loan</v>
      </c>
      <c r="O24" s="99">
        <f t="shared" si="3"/>
        <v>99.96</v>
      </c>
      <c r="P24" s="8" t="e">
        <f t="shared" si="4"/>
        <v>#VALUE!</v>
      </c>
      <c r="Q24" s="99"/>
      <c r="R24" s="99"/>
      <c r="S24" s="100"/>
      <c r="T24" s="101"/>
    </row>
    <row r="25" spans="1:20" ht="13.2" customHeight="1" x14ac:dyDescent="0.3">
      <c r="B25" s="98" t="s">
        <v>35</v>
      </c>
      <c r="C25" s="99">
        <v>5831</v>
      </c>
      <c r="D25" s="99">
        <f t="shared" si="1"/>
        <v>0</v>
      </c>
      <c r="E25" s="99">
        <f t="shared" si="2"/>
        <v>87.465000000000003</v>
      </c>
      <c r="F25" s="99">
        <f t="shared" si="0"/>
        <v>87.465000000000003</v>
      </c>
      <c r="G25" s="99"/>
      <c r="H25" s="99"/>
      <c r="I25" s="100"/>
      <c r="J25" s="101"/>
      <c r="L25" s="98" t="s">
        <v>35</v>
      </c>
      <c r="M25" s="99">
        <v>5831</v>
      </c>
      <c r="N25" s="99" t="str">
        <f t="shared" si="5"/>
        <v>Present Capital Loan</v>
      </c>
      <c r="O25" s="99">
        <f t="shared" si="3"/>
        <v>87.465000000000003</v>
      </c>
      <c r="P25" s="8" t="e">
        <f t="shared" si="4"/>
        <v>#VALUE!</v>
      </c>
      <c r="Q25" s="99"/>
      <c r="R25" s="99"/>
      <c r="S25" s="100"/>
      <c r="T25" s="101"/>
    </row>
    <row r="26" spans="1:20" ht="13.2" customHeight="1" x14ac:dyDescent="0.3">
      <c r="B26" s="98" t="s">
        <v>36</v>
      </c>
      <c r="C26" s="99">
        <v>4998</v>
      </c>
      <c r="D26" s="99">
        <f t="shared" si="1"/>
        <v>0</v>
      </c>
      <c r="E26" s="99">
        <f t="shared" si="2"/>
        <v>74.97</v>
      </c>
      <c r="F26" s="99">
        <f t="shared" si="0"/>
        <v>74.97</v>
      </c>
      <c r="G26" s="99"/>
      <c r="H26" s="99"/>
      <c r="I26" s="100"/>
      <c r="J26" s="101"/>
      <c r="L26" s="98" t="s">
        <v>36</v>
      </c>
      <c r="M26" s="99">
        <v>4998</v>
      </c>
      <c r="N26" s="99" t="str">
        <f t="shared" si="5"/>
        <v>Present Capital Loan</v>
      </c>
      <c r="O26" s="99">
        <f t="shared" si="3"/>
        <v>74.97</v>
      </c>
      <c r="P26" s="8" t="e">
        <f t="shared" si="4"/>
        <v>#VALUE!</v>
      </c>
      <c r="Q26" s="99"/>
      <c r="R26" s="99"/>
      <c r="S26" s="100"/>
      <c r="T26" s="101"/>
    </row>
    <row r="27" spans="1:20" ht="13.2" customHeight="1" x14ac:dyDescent="0.3">
      <c r="B27" s="98" t="s">
        <v>37</v>
      </c>
      <c r="C27" s="99">
        <v>4165</v>
      </c>
      <c r="D27" s="99">
        <f t="shared" si="1"/>
        <v>0</v>
      </c>
      <c r="E27" s="99">
        <f t="shared" si="2"/>
        <v>62.474999999999994</v>
      </c>
      <c r="F27" s="99">
        <f t="shared" si="0"/>
        <v>62.474999999999994</v>
      </c>
      <c r="G27" s="99"/>
      <c r="H27" s="99"/>
      <c r="I27" s="100"/>
      <c r="J27" s="101"/>
      <c r="L27" s="98" t="s">
        <v>37</v>
      </c>
      <c r="M27" s="99">
        <v>4165</v>
      </c>
      <c r="N27" s="99" t="str">
        <f t="shared" si="5"/>
        <v>Present Capital Loan</v>
      </c>
      <c r="O27" s="99">
        <f t="shared" si="3"/>
        <v>62.474999999999994</v>
      </c>
      <c r="P27" s="8" t="e">
        <f t="shared" si="4"/>
        <v>#VALUE!</v>
      </c>
      <c r="Q27" s="99"/>
      <c r="R27" s="99"/>
      <c r="S27" s="100"/>
      <c r="T27" s="101"/>
    </row>
    <row r="28" spans="1:20" ht="13.2" customHeight="1" x14ac:dyDescent="0.3">
      <c r="B28" s="98" t="s">
        <v>38</v>
      </c>
      <c r="C28" s="99">
        <v>3332</v>
      </c>
      <c r="D28" s="99">
        <f t="shared" si="1"/>
        <v>0</v>
      </c>
      <c r="E28" s="99">
        <f t="shared" si="2"/>
        <v>49.98</v>
      </c>
      <c r="F28" s="99">
        <f t="shared" si="0"/>
        <v>49.98</v>
      </c>
      <c r="G28" s="99"/>
      <c r="H28" s="99"/>
      <c r="I28" s="100"/>
      <c r="J28" s="101"/>
      <c r="L28" s="98" t="s">
        <v>38</v>
      </c>
      <c r="M28" s="99">
        <v>3332</v>
      </c>
      <c r="N28" s="99" t="str">
        <f t="shared" si="5"/>
        <v>Present Capital Loan</v>
      </c>
      <c r="O28" s="99">
        <f t="shared" si="3"/>
        <v>49.98</v>
      </c>
      <c r="P28" s="8" t="e">
        <f t="shared" si="4"/>
        <v>#VALUE!</v>
      </c>
      <c r="Q28" s="99"/>
      <c r="R28" s="99"/>
      <c r="S28" s="100"/>
      <c r="T28" s="101"/>
    </row>
    <row r="29" spans="1:20" ht="13.2" customHeight="1" x14ac:dyDescent="0.3">
      <c r="B29" s="98" t="s">
        <v>39</v>
      </c>
      <c r="C29" s="99">
        <v>2499</v>
      </c>
      <c r="D29" s="99">
        <f t="shared" si="1"/>
        <v>0</v>
      </c>
      <c r="E29" s="99">
        <f t="shared" si="2"/>
        <v>37.484999999999999</v>
      </c>
      <c r="F29" s="99">
        <f t="shared" si="0"/>
        <v>37.484999999999999</v>
      </c>
      <c r="G29" s="99"/>
      <c r="H29" s="99"/>
      <c r="I29" s="100"/>
      <c r="J29" s="101"/>
      <c r="L29" s="98" t="s">
        <v>39</v>
      </c>
      <c r="M29" s="99">
        <v>2499</v>
      </c>
      <c r="N29" s="99" t="str">
        <f t="shared" si="5"/>
        <v>Present Capital Loan</v>
      </c>
      <c r="O29" s="99">
        <f t="shared" si="3"/>
        <v>37.484999999999999</v>
      </c>
      <c r="P29" s="8" t="e">
        <f t="shared" si="4"/>
        <v>#VALUE!</v>
      </c>
      <c r="Q29" s="99"/>
      <c r="R29" s="99"/>
      <c r="S29" s="100"/>
      <c r="T29" s="101"/>
    </row>
    <row r="30" spans="1:20" ht="13.2" customHeight="1" x14ac:dyDescent="0.3">
      <c r="B30" s="98" t="s">
        <v>40</v>
      </c>
      <c r="C30" s="99">
        <v>1666</v>
      </c>
      <c r="D30" s="99">
        <f t="shared" si="1"/>
        <v>0</v>
      </c>
      <c r="E30" s="99">
        <f t="shared" si="2"/>
        <v>24.99</v>
      </c>
      <c r="F30" s="99">
        <f t="shared" si="0"/>
        <v>24.99</v>
      </c>
      <c r="G30" s="99"/>
      <c r="H30" s="99"/>
      <c r="I30" s="100"/>
      <c r="J30" s="101"/>
      <c r="L30" s="98" t="s">
        <v>40</v>
      </c>
      <c r="M30" s="99">
        <v>1666</v>
      </c>
      <c r="N30" s="99" t="str">
        <f t="shared" si="5"/>
        <v>Present Capital Loan</v>
      </c>
      <c r="O30" s="99">
        <f t="shared" si="3"/>
        <v>24.99</v>
      </c>
      <c r="P30" s="8" t="e">
        <f t="shared" si="4"/>
        <v>#VALUE!</v>
      </c>
      <c r="Q30" s="99"/>
      <c r="R30" s="99"/>
      <c r="S30" s="100"/>
      <c r="T30" s="101"/>
    </row>
    <row r="31" spans="1:20" ht="13.2" customHeight="1" thickBot="1" x14ac:dyDescent="0.35">
      <c r="B31" s="103" t="s">
        <v>41</v>
      </c>
      <c r="C31" s="102">
        <v>833</v>
      </c>
      <c r="D31" s="102">
        <f t="shared" si="1"/>
        <v>0</v>
      </c>
      <c r="E31" s="102">
        <f t="shared" si="2"/>
        <v>12.494999999999999</v>
      </c>
      <c r="F31" s="102">
        <f t="shared" si="0"/>
        <v>12.494999999999999</v>
      </c>
      <c r="G31" s="102"/>
      <c r="H31" s="102"/>
      <c r="I31" s="104"/>
      <c r="J31" s="105" t="s">
        <v>42</v>
      </c>
      <c r="L31" s="103" t="s">
        <v>41</v>
      </c>
      <c r="M31" s="102">
        <v>833</v>
      </c>
      <c r="N31" s="102" t="str">
        <f t="shared" si="5"/>
        <v>Present Capital Loan</v>
      </c>
      <c r="O31" s="102">
        <f t="shared" si="3"/>
        <v>12.494999999999999</v>
      </c>
      <c r="P31" s="23" t="e">
        <f t="shared" si="4"/>
        <v>#VALUE!</v>
      </c>
      <c r="Q31" s="102"/>
      <c r="R31" s="102"/>
      <c r="S31" s="104"/>
      <c r="T31" s="105" t="s">
        <v>42</v>
      </c>
    </row>
    <row r="32" spans="1:20" ht="15" customHeight="1" x14ac:dyDescent="0.3"/>
    <row r="37" spans="2:20" ht="13.2" customHeight="1" x14ac:dyDescent="0.3">
      <c r="B37" s="81" t="s">
        <v>0</v>
      </c>
      <c r="C37" s="229" t="s">
        <v>128</v>
      </c>
      <c r="D37" s="230"/>
      <c r="E37" s="230"/>
      <c r="F37" s="79"/>
      <c r="G37" s="80"/>
      <c r="H37" s="231" t="s">
        <v>1</v>
      </c>
      <c r="I37" s="231"/>
      <c r="J37" s="82">
        <v>20000</v>
      </c>
      <c r="L37" s="81" t="s">
        <v>0</v>
      </c>
      <c r="M37" s="77" t="s">
        <v>118</v>
      </c>
      <c r="O37" s="78"/>
      <c r="P37" s="79"/>
      <c r="Q37" s="80"/>
      <c r="S37" s="81" t="s">
        <v>1</v>
      </c>
      <c r="T37" s="82">
        <v>35000</v>
      </c>
    </row>
    <row r="38" spans="2:20" ht="13.2" customHeight="1" x14ac:dyDescent="0.3">
      <c r="B38" s="81" t="s">
        <v>2</v>
      </c>
      <c r="C38" s="83"/>
      <c r="D38" s="79"/>
      <c r="E38" s="83"/>
      <c r="F38" s="81"/>
      <c r="G38" s="81"/>
      <c r="H38" s="84"/>
      <c r="I38" s="81" t="s">
        <v>3</v>
      </c>
      <c r="J38" s="85" t="s">
        <v>77</v>
      </c>
      <c r="L38" s="81" t="s">
        <v>2</v>
      </c>
      <c r="M38" s="83"/>
      <c r="N38" s="79"/>
      <c r="O38" s="83"/>
      <c r="P38" s="81"/>
      <c r="Q38" s="81"/>
      <c r="R38" s="84"/>
      <c r="S38" s="81" t="s">
        <v>3</v>
      </c>
      <c r="T38" s="85" t="s">
        <v>129</v>
      </c>
    </row>
    <row r="39" spans="2:20" ht="13.2" customHeight="1" x14ac:dyDescent="0.3">
      <c r="B39" s="81" t="s">
        <v>4</v>
      </c>
      <c r="C39" s="78"/>
      <c r="D39" s="79"/>
      <c r="E39" s="78"/>
      <c r="F39" s="231" t="s">
        <v>5</v>
      </c>
      <c r="G39" s="231"/>
      <c r="H39" s="231"/>
      <c r="I39" s="231"/>
      <c r="J39" s="86">
        <v>1.4999999999999999E-2</v>
      </c>
      <c r="L39" s="81" t="s">
        <v>4</v>
      </c>
      <c r="M39" s="78"/>
      <c r="N39" s="79"/>
      <c r="O39" s="78"/>
      <c r="Q39" s="81"/>
      <c r="R39" s="81"/>
      <c r="S39" s="81" t="s">
        <v>5</v>
      </c>
      <c r="T39" s="86">
        <v>1.4999999999999999E-2</v>
      </c>
    </row>
    <row r="40" spans="2:20" ht="13.2" customHeight="1" thickBot="1" x14ac:dyDescent="0.35">
      <c r="B40" s="81" t="s">
        <v>6</v>
      </c>
      <c r="C40" s="232"/>
      <c r="D40" s="232"/>
      <c r="E40" s="233" t="s">
        <v>7</v>
      </c>
      <c r="F40" s="233"/>
      <c r="G40" s="233"/>
      <c r="H40" s="233"/>
      <c r="I40" s="233"/>
      <c r="J40" s="78">
        <v>24</v>
      </c>
      <c r="L40" s="81" t="s">
        <v>6</v>
      </c>
      <c r="M40" s="87"/>
      <c r="N40" s="87"/>
      <c r="P40" s="88"/>
      <c r="Q40" s="88"/>
      <c r="R40" s="88"/>
      <c r="S40" s="88" t="s">
        <v>7</v>
      </c>
      <c r="T40" s="78">
        <v>24</v>
      </c>
    </row>
    <row r="41" spans="2:20" ht="51" customHeight="1" thickBot="1" x14ac:dyDescent="0.35">
      <c r="B41" s="89" t="s">
        <v>8</v>
      </c>
      <c r="C41" s="89" t="s">
        <v>9</v>
      </c>
      <c r="D41" s="89" t="s">
        <v>10</v>
      </c>
      <c r="E41" s="90" t="s">
        <v>11</v>
      </c>
      <c r="F41" s="91" t="s">
        <v>12</v>
      </c>
      <c r="G41" s="92" t="s">
        <v>13</v>
      </c>
      <c r="H41" s="92" t="s">
        <v>14</v>
      </c>
      <c r="I41" s="92" t="s">
        <v>15</v>
      </c>
      <c r="J41" s="93" t="s">
        <v>16</v>
      </c>
      <c r="L41" s="89" t="s">
        <v>8</v>
      </c>
      <c r="M41" s="89" t="s">
        <v>9</v>
      </c>
      <c r="N41" s="89" t="s">
        <v>10</v>
      </c>
      <c r="O41" s="90" t="s">
        <v>11</v>
      </c>
      <c r="P41" s="91" t="s">
        <v>12</v>
      </c>
      <c r="Q41" s="92" t="s">
        <v>13</v>
      </c>
      <c r="R41" s="92" t="s">
        <v>14</v>
      </c>
      <c r="S41" s="92" t="s">
        <v>15</v>
      </c>
      <c r="T41" s="93" t="s">
        <v>16</v>
      </c>
    </row>
    <row r="42" spans="2:20" ht="13.2" customHeight="1" x14ac:dyDescent="0.3">
      <c r="B42" s="94" t="s">
        <v>17</v>
      </c>
      <c r="C42" s="95">
        <f>J37</f>
        <v>20000</v>
      </c>
      <c r="D42" s="95">
        <f>J37/J40</f>
        <v>833.33333333333337</v>
      </c>
      <c r="E42" s="95">
        <f>(C42*0.015)</f>
        <v>300</v>
      </c>
      <c r="F42" s="95" t="e">
        <f t="shared" ref="F42:F65" si="6">$C$7+E42</f>
        <v>#VALUE!</v>
      </c>
      <c r="G42" s="95"/>
      <c r="H42" s="95"/>
      <c r="I42" s="96"/>
      <c r="J42" s="97"/>
      <c r="L42" s="94" t="s">
        <v>17</v>
      </c>
      <c r="M42" s="95">
        <f>T37</f>
        <v>35000</v>
      </c>
      <c r="N42" s="95">
        <f>T37/T40</f>
        <v>1458.3333333333333</v>
      </c>
      <c r="O42" s="95">
        <f>(M42*0.015)</f>
        <v>525</v>
      </c>
      <c r="P42" s="95" t="e">
        <f>$C$7+O42</f>
        <v>#VALUE!</v>
      </c>
      <c r="Q42" s="95"/>
      <c r="R42" s="95"/>
      <c r="S42" s="96"/>
      <c r="T42" s="97"/>
    </row>
    <row r="43" spans="2:20" ht="13.2" customHeight="1" x14ac:dyDescent="0.3">
      <c r="B43" s="98" t="s">
        <v>18</v>
      </c>
      <c r="C43" s="99">
        <v>19159</v>
      </c>
      <c r="D43" s="99" t="str">
        <f t="shared" ref="D43:D65" si="7">$C$7</f>
        <v>Present Capital Loan</v>
      </c>
      <c r="E43" s="99">
        <f t="shared" ref="E43:E65" si="8">(C43*0.015)</f>
        <v>287.38499999999999</v>
      </c>
      <c r="F43" s="99" t="e">
        <f t="shared" si="6"/>
        <v>#VALUE!</v>
      </c>
      <c r="G43" s="99"/>
      <c r="H43" s="99"/>
      <c r="I43" s="100"/>
      <c r="J43" s="101"/>
      <c r="L43" s="98" t="s">
        <v>18</v>
      </c>
      <c r="M43" s="99">
        <v>33534</v>
      </c>
      <c r="N43" s="99">
        <v>1458</v>
      </c>
      <c r="O43" s="99">
        <f t="shared" ref="O43:O65" si="9">(M43*0.015)</f>
        <v>503.01</v>
      </c>
      <c r="P43" s="99">
        <f t="shared" ref="P43:P65" si="10">SUM(N43:O43)</f>
        <v>1961.01</v>
      </c>
      <c r="Q43" s="99"/>
      <c r="R43" s="99"/>
      <c r="S43" s="100"/>
      <c r="T43" s="101"/>
    </row>
    <row r="44" spans="2:20" ht="13.2" customHeight="1" x14ac:dyDescent="0.3">
      <c r="B44" s="98" t="s">
        <v>19</v>
      </c>
      <c r="C44" s="99">
        <v>18326</v>
      </c>
      <c r="D44" s="99" t="str">
        <f t="shared" si="7"/>
        <v>Present Capital Loan</v>
      </c>
      <c r="E44" s="99">
        <f t="shared" si="8"/>
        <v>274.89</v>
      </c>
      <c r="F44" s="99" t="e">
        <f t="shared" si="6"/>
        <v>#VALUE!</v>
      </c>
      <c r="G44" s="99"/>
      <c r="H44" s="99"/>
      <c r="I44" s="100"/>
      <c r="J44" s="101"/>
      <c r="L44" s="98" t="s">
        <v>19</v>
      </c>
      <c r="M44" s="99">
        <v>32076</v>
      </c>
      <c r="N44" s="99">
        <v>1458</v>
      </c>
      <c r="O44" s="99">
        <f t="shared" si="9"/>
        <v>481.14</v>
      </c>
      <c r="P44" s="99">
        <f t="shared" si="10"/>
        <v>1939.1399999999999</v>
      </c>
      <c r="Q44" s="99"/>
      <c r="R44" s="99"/>
      <c r="S44" s="100"/>
      <c r="T44" s="101"/>
    </row>
    <row r="45" spans="2:20" ht="13.2" customHeight="1" x14ac:dyDescent="0.3">
      <c r="B45" s="98" t="s">
        <v>20</v>
      </c>
      <c r="C45" s="99">
        <v>17493</v>
      </c>
      <c r="D45" s="99" t="str">
        <f t="shared" si="7"/>
        <v>Present Capital Loan</v>
      </c>
      <c r="E45" s="99">
        <f t="shared" si="8"/>
        <v>262.39499999999998</v>
      </c>
      <c r="F45" s="99" t="e">
        <f t="shared" si="6"/>
        <v>#VALUE!</v>
      </c>
      <c r="G45" s="99"/>
      <c r="H45" s="99"/>
      <c r="I45" s="100"/>
      <c r="J45" s="101"/>
      <c r="L45" s="98" t="s">
        <v>20</v>
      </c>
      <c r="M45" s="99">
        <v>30618</v>
      </c>
      <c r="N45" s="99">
        <v>1458</v>
      </c>
      <c r="O45" s="99">
        <f t="shared" si="9"/>
        <v>459.27</v>
      </c>
      <c r="P45" s="99">
        <f t="shared" si="10"/>
        <v>1917.27</v>
      </c>
      <c r="Q45" s="99"/>
      <c r="R45" s="99"/>
      <c r="S45" s="100"/>
      <c r="T45" s="101"/>
    </row>
    <row r="46" spans="2:20" ht="13.2" customHeight="1" thickBot="1" x14ac:dyDescent="0.35">
      <c r="B46" s="98" t="s">
        <v>21</v>
      </c>
      <c r="C46" s="99">
        <v>16660</v>
      </c>
      <c r="D46" s="99" t="str">
        <f t="shared" si="7"/>
        <v>Present Capital Loan</v>
      </c>
      <c r="E46" s="99">
        <f t="shared" si="8"/>
        <v>249.89999999999998</v>
      </c>
      <c r="F46" s="99" t="e">
        <f t="shared" si="6"/>
        <v>#VALUE!</v>
      </c>
      <c r="G46" s="99"/>
      <c r="H46" s="99"/>
      <c r="I46" s="100"/>
      <c r="J46" s="101"/>
      <c r="L46" s="98" t="s">
        <v>21</v>
      </c>
      <c r="M46" s="99">
        <v>29160</v>
      </c>
      <c r="N46" s="99">
        <v>1458</v>
      </c>
      <c r="O46" s="99">
        <f t="shared" si="9"/>
        <v>437.4</v>
      </c>
      <c r="P46" s="99">
        <f t="shared" si="10"/>
        <v>1895.4</v>
      </c>
      <c r="Q46" s="99"/>
      <c r="R46" s="99"/>
      <c r="S46" s="100"/>
      <c r="T46" s="101"/>
    </row>
    <row r="47" spans="2:20" ht="13.2" customHeight="1" x14ac:dyDescent="0.3">
      <c r="B47" s="98" t="s">
        <v>23</v>
      </c>
      <c r="C47" s="99">
        <v>15827</v>
      </c>
      <c r="D47" s="99" t="str">
        <f t="shared" si="7"/>
        <v>Present Capital Loan</v>
      </c>
      <c r="E47" s="99">
        <f t="shared" si="8"/>
        <v>237.405</v>
      </c>
      <c r="F47" s="99" t="e">
        <f t="shared" si="6"/>
        <v>#VALUE!</v>
      </c>
      <c r="G47" s="99"/>
      <c r="H47" s="99"/>
      <c r="I47" s="100"/>
      <c r="J47" s="101"/>
      <c r="L47" s="98" t="s">
        <v>23</v>
      </c>
      <c r="M47" s="99">
        <v>27702</v>
      </c>
      <c r="N47" s="95">
        <v>1458</v>
      </c>
      <c r="O47" s="99">
        <f t="shared" si="9"/>
        <v>415.53</v>
      </c>
      <c r="P47" s="99">
        <f t="shared" si="10"/>
        <v>1873.53</v>
      </c>
      <c r="Q47" s="99"/>
      <c r="R47" s="99"/>
      <c r="S47" s="100"/>
      <c r="T47" s="101"/>
    </row>
    <row r="48" spans="2:20" ht="13.2" customHeight="1" x14ac:dyDescent="0.3">
      <c r="B48" s="98" t="s">
        <v>24</v>
      </c>
      <c r="C48" s="99">
        <v>14994</v>
      </c>
      <c r="D48" s="99" t="str">
        <f t="shared" si="7"/>
        <v>Present Capital Loan</v>
      </c>
      <c r="E48" s="99">
        <f t="shared" si="8"/>
        <v>224.91</v>
      </c>
      <c r="F48" s="99" t="e">
        <f t="shared" si="6"/>
        <v>#VALUE!</v>
      </c>
      <c r="G48" s="99"/>
      <c r="H48" s="99"/>
      <c r="I48" s="100"/>
      <c r="J48" s="101"/>
      <c r="L48" s="98" t="s">
        <v>24</v>
      </c>
      <c r="M48" s="99">
        <v>26244</v>
      </c>
      <c r="N48" s="99">
        <v>1458</v>
      </c>
      <c r="O48" s="99">
        <f t="shared" si="9"/>
        <v>393.65999999999997</v>
      </c>
      <c r="P48" s="99">
        <f t="shared" si="10"/>
        <v>1851.6599999999999</v>
      </c>
      <c r="Q48" s="99"/>
      <c r="R48" s="99"/>
      <c r="S48" s="100"/>
      <c r="T48" s="101"/>
    </row>
    <row r="49" spans="2:20" ht="13.2" customHeight="1" x14ac:dyDescent="0.3">
      <c r="B49" s="98" t="s">
        <v>25</v>
      </c>
      <c r="C49" s="99">
        <v>14161</v>
      </c>
      <c r="D49" s="99" t="str">
        <f t="shared" si="7"/>
        <v>Present Capital Loan</v>
      </c>
      <c r="E49" s="99">
        <f t="shared" si="8"/>
        <v>212.41499999999999</v>
      </c>
      <c r="F49" s="99" t="e">
        <f t="shared" si="6"/>
        <v>#VALUE!</v>
      </c>
      <c r="G49" s="99"/>
      <c r="H49" s="99"/>
      <c r="I49" s="100"/>
      <c r="J49" s="101"/>
      <c r="L49" s="98" t="s">
        <v>25</v>
      </c>
      <c r="M49" s="99">
        <v>24786</v>
      </c>
      <c r="N49" s="99">
        <v>1458</v>
      </c>
      <c r="O49" s="99">
        <f t="shared" si="9"/>
        <v>371.78999999999996</v>
      </c>
      <c r="P49" s="99">
        <f t="shared" si="10"/>
        <v>1829.79</v>
      </c>
      <c r="Q49" s="99"/>
      <c r="R49" s="99"/>
      <c r="S49" s="100"/>
      <c r="T49" s="101"/>
    </row>
    <row r="50" spans="2:20" ht="13.2" customHeight="1" x14ac:dyDescent="0.3">
      <c r="B50" s="98" t="s">
        <v>26</v>
      </c>
      <c r="C50" s="99">
        <v>13328</v>
      </c>
      <c r="D50" s="99" t="str">
        <f t="shared" si="7"/>
        <v>Present Capital Loan</v>
      </c>
      <c r="E50" s="99">
        <f t="shared" si="8"/>
        <v>199.92</v>
      </c>
      <c r="F50" s="99" t="e">
        <f t="shared" si="6"/>
        <v>#VALUE!</v>
      </c>
      <c r="G50" s="99"/>
      <c r="H50" s="99"/>
      <c r="I50" s="100"/>
      <c r="J50" s="101"/>
      <c r="L50" s="98" t="s">
        <v>26</v>
      </c>
      <c r="M50" s="99">
        <v>23328</v>
      </c>
      <c r="N50" s="99">
        <v>1458</v>
      </c>
      <c r="O50" s="99">
        <f t="shared" si="9"/>
        <v>349.91999999999996</v>
      </c>
      <c r="P50" s="99">
        <f t="shared" si="10"/>
        <v>1807.92</v>
      </c>
      <c r="Q50" s="99"/>
      <c r="R50" s="99"/>
      <c r="S50" s="100"/>
      <c r="T50" s="101"/>
    </row>
    <row r="51" spans="2:20" ht="13.2" customHeight="1" thickBot="1" x14ac:dyDescent="0.35">
      <c r="B51" s="98" t="s">
        <v>27</v>
      </c>
      <c r="C51" s="99">
        <v>12495</v>
      </c>
      <c r="D51" s="99" t="str">
        <f t="shared" si="7"/>
        <v>Present Capital Loan</v>
      </c>
      <c r="E51" s="99">
        <f t="shared" si="8"/>
        <v>187.42499999999998</v>
      </c>
      <c r="F51" s="99" t="e">
        <f t="shared" si="6"/>
        <v>#VALUE!</v>
      </c>
      <c r="G51" s="99"/>
      <c r="H51" s="99"/>
      <c r="I51" s="100"/>
      <c r="J51" s="101"/>
      <c r="L51" s="98" t="s">
        <v>27</v>
      </c>
      <c r="M51" s="99">
        <v>21870</v>
      </c>
      <c r="N51" s="99">
        <v>1458</v>
      </c>
      <c r="O51" s="99">
        <f t="shared" si="9"/>
        <v>328.05</v>
      </c>
      <c r="P51" s="99">
        <f t="shared" si="10"/>
        <v>1786.05</v>
      </c>
      <c r="Q51" s="99"/>
      <c r="R51" s="99"/>
      <c r="S51" s="100"/>
      <c r="T51" s="101"/>
    </row>
    <row r="52" spans="2:20" ht="13.2" customHeight="1" x14ac:dyDescent="0.3">
      <c r="B52" s="98" t="s">
        <v>28</v>
      </c>
      <c r="C52" s="99">
        <v>11662</v>
      </c>
      <c r="D52" s="99" t="str">
        <f t="shared" si="7"/>
        <v>Present Capital Loan</v>
      </c>
      <c r="E52" s="99">
        <f t="shared" si="8"/>
        <v>174.93</v>
      </c>
      <c r="F52" s="99" t="e">
        <f t="shared" si="6"/>
        <v>#VALUE!</v>
      </c>
      <c r="G52" s="99"/>
      <c r="H52" s="99"/>
      <c r="I52" s="100"/>
      <c r="J52" s="101"/>
      <c r="L52" s="98" t="s">
        <v>28</v>
      </c>
      <c r="M52" s="99">
        <v>20412</v>
      </c>
      <c r="N52" s="95">
        <v>1458</v>
      </c>
      <c r="O52" s="99">
        <f t="shared" si="9"/>
        <v>306.18</v>
      </c>
      <c r="P52" s="99">
        <f t="shared" si="10"/>
        <v>1764.18</v>
      </c>
      <c r="Q52" s="99"/>
      <c r="R52" s="99"/>
      <c r="S52" s="100"/>
      <c r="T52" s="101"/>
    </row>
    <row r="53" spans="2:20" ht="13.2" customHeight="1" x14ac:dyDescent="0.3">
      <c r="B53" s="98" t="s">
        <v>29</v>
      </c>
      <c r="C53" s="99">
        <v>10829</v>
      </c>
      <c r="D53" s="99" t="str">
        <f t="shared" si="7"/>
        <v>Present Capital Loan</v>
      </c>
      <c r="E53" s="99">
        <f t="shared" si="8"/>
        <v>162.435</v>
      </c>
      <c r="F53" s="99" t="e">
        <f t="shared" si="6"/>
        <v>#VALUE!</v>
      </c>
      <c r="G53" s="99"/>
      <c r="H53" s="99"/>
      <c r="I53" s="100"/>
      <c r="J53" s="101"/>
      <c r="L53" s="98" t="s">
        <v>29</v>
      </c>
      <c r="M53" s="99">
        <v>18954</v>
      </c>
      <c r="N53" s="99">
        <v>1458</v>
      </c>
      <c r="O53" s="99">
        <f t="shared" si="9"/>
        <v>284.31</v>
      </c>
      <c r="P53" s="99">
        <f t="shared" si="10"/>
        <v>1742.31</v>
      </c>
      <c r="Q53" s="99"/>
      <c r="R53" s="99"/>
      <c r="S53" s="100"/>
      <c r="T53" s="101"/>
    </row>
    <row r="54" spans="2:20" ht="13.2" customHeight="1" x14ac:dyDescent="0.3">
      <c r="B54" s="98" t="s">
        <v>30</v>
      </c>
      <c r="C54" s="99">
        <v>9996</v>
      </c>
      <c r="D54" s="99" t="str">
        <f t="shared" si="7"/>
        <v>Present Capital Loan</v>
      </c>
      <c r="E54" s="99">
        <f t="shared" si="8"/>
        <v>149.94</v>
      </c>
      <c r="F54" s="99" t="e">
        <f t="shared" si="6"/>
        <v>#VALUE!</v>
      </c>
      <c r="G54" s="99"/>
      <c r="H54" s="99"/>
      <c r="I54" s="100"/>
      <c r="J54" s="101"/>
      <c r="L54" s="98" t="s">
        <v>30</v>
      </c>
      <c r="M54" s="99">
        <v>17496</v>
      </c>
      <c r="N54" s="99">
        <v>1458</v>
      </c>
      <c r="O54" s="99">
        <f t="shared" si="9"/>
        <v>262.44</v>
      </c>
      <c r="P54" s="99">
        <f t="shared" si="10"/>
        <v>1720.44</v>
      </c>
      <c r="Q54" s="99"/>
      <c r="R54" s="99"/>
      <c r="S54" s="100"/>
      <c r="T54" s="101"/>
    </row>
    <row r="55" spans="2:20" ht="13.2" customHeight="1" x14ac:dyDescent="0.3">
      <c r="B55" s="98" t="s">
        <v>31</v>
      </c>
      <c r="C55" s="99">
        <v>9163</v>
      </c>
      <c r="D55" s="99" t="str">
        <f t="shared" si="7"/>
        <v>Present Capital Loan</v>
      </c>
      <c r="E55" s="99">
        <f t="shared" si="8"/>
        <v>137.44499999999999</v>
      </c>
      <c r="F55" s="99" t="e">
        <f t="shared" si="6"/>
        <v>#VALUE!</v>
      </c>
      <c r="G55" s="99"/>
      <c r="H55" s="99"/>
      <c r="I55" s="100"/>
      <c r="J55" s="101"/>
      <c r="L55" s="98" t="s">
        <v>31</v>
      </c>
      <c r="M55" s="99">
        <v>16038</v>
      </c>
      <c r="N55" s="99">
        <v>1458</v>
      </c>
      <c r="O55" s="99">
        <f t="shared" si="9"/>
        <v>240.57</v>
      </c>
      <c r="P55" s="99">
        <f t="shared" si="10"/>
        <v>1698.57</v>
      </c>
      <c r="Q55" s="99"/>
      <c r="R55" s="99"/>
      <c r="S55" s="100"/>
      <c r="T55" s="101"/>
    </row>
    <row r="56" spans="2:20" ht="13.2" customHeight="1" thickBot="1" x14ac:dyDescent="0.35">
      <c r="B56" s="98" t="s">
        <v>32</v>
      </c>
      <c r="C56" s="99">
        <v>8330</v>
      </c>
      <c r="D56" s="99" t="str">
        <f t="shared" si="7"/>
        <v>Present Capital Loan</v>
      </c>
      <c r="E56" s="99">
        <f t="shared" si="8"/>
        <v>124.94999999999999</v>
      </c>
      <c r="F56" s="99" t="e">
        <f t="shared" si="6"/>
        <v>#VALUE!</v>
      </c>
      <c r="G56" s="99"/>
      <c r="H56" s="99"/>
      <c r="I56" s="100"/>
      <c r="J56" s="101"/>
      <c r="L56" s="98" t="s">
        <v>32</v>
      </c>
      <c r="M56" s="99">
        <v>14580</v>
      </c>
      <c r="N56" s="99">
        <v>1458</v>
      </c>
      <c r="O56" s="99">
        <f t="shared" si="9"/>
        <v>218.7</v>
      </c>
      <c r="P56" s="99">
        <f t="shared" si="10"/>
        <v>1676.7</v>
      </c>
      <c r="Q56" s="99"/>
      <c r="R56" s="99"/>
      <c r="S56" s="100"/>
      <c r="T56" s="101"/>
    </row>
    <row r="57" spans="2:20" ht="13.2" customHeight="1" x14ac:dyDescent="0.3">
      <c r="B57" s="98" t="s">
        <v>33</v>
      </c>
      <c r="C57" s="99">
        <v>7497</v>
      </c>
      <c r="D57" s="99" t="str">
        <f t="shared" si="7"/>
        <v>Present Capital Loan</v>
      </c>
      <c r="E57" s="99">
        <f t="shared" si="8"/>
        <v>112.455</v>
      </c>
      <c r="F57" s="99" t="e">
        <f t="shared" si="6"/>
        <v>#VALUE!</v>
      </c>
      <c r="G57" s="99"/>
      <c r="H57" s="99"/>
      <c r="I57" s="100"/>
      <c r="J57" s="101"/>
      <c r="L57" s="98" t="s">
        <v>33</v>
      </c>
      <c r="M57" s="99">
        <v>13122</v>
      </c>
      <c r="N57" s="95">
        <v>1458</v>
      </c>
      <c r="O57" s="99">
        <f t="shared" si="9"/>
        <v>196.82999999999998</v>
      </c>
      <c r="P57" s="99">
        <f t="shared" si="10"/>
        <v>1654.83</v>
      </c>
      <c r="Q57" s="99"/>
      <c r="R57" s="99"/>
      <c r="S57" s="100"/>
      <c r="T57" s="101"/>
    </row>
    <row r="58" spans="2:20" ht="13.2" customHeight="1" x14ac:dyDescent="0.3">
      <c r="B58" s="98" t="s">
        <v>34</v>
      </c>
      <c r="C58" s="99">
        <v>6664</v>
      </c>
      <c r="D58" s="99" t="str">
        <f t="shared" si="7"/>
        <v>Present Capital Loan</v>
      </c>
      <c r="E58" s="99">
        <f t="shared" si="8"/>
        <v>99.96</v>
      </c>
      <c r="F58" s="99" t="e">
        <f t="shared" si="6"/>
        <v>#VALUE!</v>
      </c>
      <c r="G58" s="99"/>
      <c r="H58" s="99"/>
      <c r="I58" s="100"/>
      <c r="J58" s="101"/>
      <c r="L58" s="98" t="s">
        <v>34</v>
      </c>
      <c r="M58" s="99">
        <v>11664</v>
      </c>
      <c r="N58" s="99">
        <v>1458</v>
      </c>
      <c r="O58" s="99">
        <f t="shared" si="9"/>
        <v>174.95999999999998</v>
      </c>
      <c r="P58" s="99">
        <f t="shared" si="10"/>
        <v>1632.96</v>
      </c>
      <c r="Q58" s="99"/>
      <c r="R58" s="99"/>
      <c r="S58" s="100"/>
      <c r="T58" s="101"/>
    </row>
    <row r="59" spans="2:20" ht="13.2" customHeight="1" x14ac:dyDescent="0.3">
      <c r="B59" s="98" t="s">
        <v>35</v>
      </c>
      <c r="C59" s="99">
        <v>5831</v>
      </c>
      <c r="D59" s="99" t="str">
        <f t="shared" si="7"/>
        <v>Present Capital Loan</v>
      </c>
      <c r="E59" s="99">
        <f t="shared" si="8"/>
        <v>87.465000000000003</v>
      </c>
      <c r="F59" s="99" t="e">
        <f t="shared" si="6"/>
        <v>#VALUE!</v>
      </c>
      <c r="G59" s="99"/>
      <c r="H59" s="99"/>
      <c r="I59" s="100"/>
      <c r="J59" s="101"/>
      <c r="L59" s="98" t="s">
        <v>35</v>
      </c>
      <c r="M59" s="99">
        <v>10206</v>
      </c>
      <c r="N59" s="99">
        <v>1458</v>
      </c>
      <c r="O59" s="99">
        <f t="shared" si="9"/>
        <v>153.09</v>
      </c>
      <c r="P59" s="99">
        <f t="shared" si="10"/>
        <v>1611.09</v>
      </c>
      <c r="Q59" s="99"/>
      <c r="R59" s="99"/>
      <c r="S59" s="100"/>
      <c r="T59" s="101"/>
    </row>
    <row r="60" spans="2:20" ht="13.2" customHeight="1" x14ac:dyDescent="0.3">
      <c r="B60" s="98" t="s">
        <v>36</v>
      </c>
      <c r="C60" s="99">
        <v>4998</v>
      </c>
      <c r="D60" s="99" t="str">
        <f t="shared" si="7"/>
        <v>Present Capital Loan</v>
      </c>
      <c r="E60" s="99">
        <f t="shared" si="8"/>
        <v>74.97</v>
      </c>
      <c r="F60" s="99" t="e">
        <f t="shared" si="6"/>
        <v>#VALUE!</v>
      </c>
      <c r="G60" s="99"/>
      <c r="H60" s="99"/>
      <c r="I60" s="100"/>
      <c r="J60" s="101"/>
      <c r="L60" s="98" t="s">
        <v>36</v>
      </c>
      <c r="M60" s="99">
        <v>8748</v>
      </c>
      <c r="N60" s="99">
        <v>1458</v>
      </c>
      <c r="O60" s="99">
        <f t="shared" si="9"/>
        <v>131.22</v>
      </c>
      <c r="P60" s="99">
        <f t="shared" si="10"/>
        <v>1589.22</v>
      </c>
      <c r="Q60" s="99"/>
      <c r="R60" s="99"/>
      <c r="S60" s="100"/>
      <c r="T60" s="101"/>
    </row>
    <row r="61" spans="2:20" ht="13.2" customHeight="1" x14ac:dyDescent="0.3">
      <c r="B61" s="98" t="s">
        <v>37</v>
      </c>
      <c r="C61" s="99">
        <v>4165</v>
      </c>
      <c r="D61" s="99" t="str">
        <f t="shared" si="7"/>
        <v>Present Capital Loan</v>
      </c>
      <c r="E61" s="99">
        <f t="shared" si="8"/>
        <v>62.474999999999994</v>
      </c>
      <c r="F61" s="99" t="e">
        <f t="shared" si="6"/>
        <v>#VALUE!</v>
      </c>
      <c r="G61" s="99"/>
      <c r="H61" s="99"/>
      <c r="I61" s="100"/>
      <c r="J61" s="101"/>
      <c r="L61" s="98" t="s">
        <v>37</v>
      </c>
      <c r="M61" s="99">
        <v>7290</v>
      </c>
      <c r="N61" s="99">
        <v>1458</v>
      </c>
      <c r="O61" s="99">
        <f t="shared" si="9"/>
        <v>109.35</v>
      </c>
      <c r="P61" s="99">
        <f t="shared" si="10"/>
        <v>1567.35</v>
      </c>
      <c r="Q61" s="99"/>
      <c r="R61" s="99"/>
      <c r="S61" s="100"/>
      <c r="T61" s="101"/>
    </row>
    <row r="62" spans="2:20" ht="13.2" customHeight="1" x14ac:dyDescent="0.3">
      <c r="B62" s="98" t="s">
        <v>38</v>
      </c>
      <c r="C62" s="99">
        <v>3332</v>
      </c>
      <c r="D62" s="99" t="str">
        <f t="shared" si="7"/>
        <v>Present Capital Loan</v>
      </c>
      <c r="E62" s="99">
        <f t="shared" si="8"/>
        <v>49.98</v>
      </c>
      <c r="F62" s="99" t="e">
        <f t="shared" si="6"/>
        <v>#VALUE!</v>
      </c>
      <c r="G62" s="99"/>
      <c r="H62" s="99"/>
      <c r="I62" s="100"/>
      <c r="J62" s="101"/>
      <c r="L62" s="98" t="s">
        <v>38</v>
      </c>
      <c r="M62" s="99">
        <v>5832</v>
      </c>
      <c r="N62" s="99">
        <v>1458</v>
      </c>
      <c r="O62" s="99">
        <f t="shared" si="9"/>
        <v>87.47999999999999</v>
      </c>
      <c r="P62" s="99">
        <f t="shared" si="10"/>
        <v>1545.48</v>
      </c>
      <c r="Q62" s="99"/>
      <c r="R62" s="99"/>
      <c r="S62" s="100"/>
      <c r="T62" s="101"/>
    </row>
    <row r="63" spans="2:20" ht="13.2" customHeight="1" x14ac:dyDescent="0.3">
      <c r="B63" s="98" t="s">
        <v>39</v>
      </c>
      <c r="C63" s="99">
        <v>2499</v>
      </c>
      <c r="D63" s="99" t="str">
        <f t="shared" si="7"/>
        <v>Present Capital Loan</v>
      </c>
      <c r="E63" s="99">
        <f t="shared" si="8"/>
        <v>37.484999999999999</v>
      </c>
      <c r="F63" s="99" t="e">
        <f t="shared" si="6"/>
        <v>#VALUE!</v>
      </c>
      <c r="G63" s="99"/>
      <c r="H63" s="99"/>
      <c r="I63" s="100"/>
      <c r="J63" s="101"/>
      <c r="L63" s="98" t="s">
        <v>39</v>
      </c>
      <c r="M63" s="99">
        <v>4374</v>
      </c>
      <c r="N63" s="99">
        <v>1458</v>
      </c>
      <c r="O63" s="99">
        <f t="shared" si="9"/>
        <v>65.61</v>
      </c>
      <c r="P63" s="99">
        <f t="shared" si="10"/>
        <v>1523.61</v>
      </c>
      <c r="Q63" s="99"/>
      <c r="R63" s="99"/>
      <c r="S63" s="100"/>
      <c r="T63" s="101"/>
    </row>
    <row r="64" spans="2:20" ht="13.2" customHeight="1" x14ac:dyDescent="0.3">
      <c r="B64" s="98" t="s">
        <v>40</v>
      </c>
      <c r="C64" s="99">
        <v>1666</v>
      </c>
      <c r="D64" s="99" t="str">
        <f t="shared" si="7"/>
        <v>Present Capital Loan</v>
      </c>
      <c r="E64" s="99">
        <f t="shared" si="8"/>
        <v>24.99</v>
      </c>
      <c r="F64" s="99" t="e">
        <f t="shared" si="6"/>
        <v>#VALUE!</v>
      </c>
      <c r="G64" s="99"/>
      <c r="H64" s="99"/>
      <c r="I64" s="100"/>
      <c r="J64" s="101"/>
      <c r="L64" s="98" t="s">
        <v>40</v>
      </c>
      <c r="M64" s="99">
        <v>2916</v>
      </c>
      <c r="N64" s="99">
        <v>1458</v>
      </c>
      <c r="O64" s="99">
        <f t="shared" si="9"/>
        <v>43.739999999999995</v>
      </c>
      <c r="P64" s="99">
        <f t="shared" si="10"/>
        <v>1501.74</v>
      </c>
      <c r="Q64" s="99"/>
      <c r="R64" s="99"/>
      <c r="S64" s="100"/>
      <c r="T64" s="101"/>
    </row>
    <row r="65" spans="2:20" ht="13.2" customHeight="1" thickBot="1" x14ac:dyDescent="0.35">
      <c r="B65" s="103" t="s">
        <v>41</v>
      </c>
      <c r="C65" s="102">
        <v>833</v>
      </c>
      <c r="D65" s="102" t="str">
        <f t="shared" si="7"/>
        <v>Present Capital Loan</v>
      </c>
      <c r="E65" s="102">
        <f t="shared" si="8"/>
        <v>12.494999999999999</v>
      </c>
      <c r="F65" s="102" t="e">
        <f t="shared" si="6"/>
        <v>#VALUE!</v>
      </c>
      <c r="G65" s="102"/>
      <c r="H65" s="102"/>
      <c r="I65" s="104"/>
      <c r="J65" s="105" t="s">
        <v>42</v>
      </c>
      <c r="L65" s="103" t="s">
        <v>41</v>
      </c>
      <c r="M65" s="102">
        <v>1458</v>
      </c>
      <c r="N65" s="102">
        <v>1458</v>
      </c>
      <c r="O65" s="102">
        <f t="shared" si="9"/>
        <v>21.869999999999997</v>
      </c>
      <c r="P65" s="102">
        <f t="shared" si="10"/>
        <v>1479.87</v>
      </c>
      <c r="Q65" s="102"/>
      <c r="R65" s="102"/>
      <c r="S65" s="104"/>
      <c r="T65" s="105" t="s">
        <v>42</v>
      </c>
    </row>
  </sheetData>
  <mergeCells count="9">
    <mergeCell ref="C40:D40"/>
    <mergeCell ref="E40:I40"/>
    <mergeCell ref="M3:O3"/>
    <mergeCell ref="R3:S3"/>
    <mergeCell ref="B2:D2"/>
    <mergeCell ref="G2:H2"/>
    <mergeCell ref="C37:E37"/>
    <mergeCell ref="H37:I37"/>
    <mergeCell ref="F39:I39"/>
  </mergeCells>
  <pageMargins left="0.7" right="0.7" top="0.75" bottom="0.75" header="0.3" footer="0.3"/>
  <pageSetup paperSize="5" orientation="landscape" horizontalDpi="4294967293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B4A5-DB36-4B86-BE53-769DFD5FA7DD}">
  <dimension ref="A26:I110"/>
  <sheetViews>
    <sheetView topLeftCell="A91" workbookViewId="0">
      <selection activeCell="E98" sqref="E98"/>
    </sheetView>
  </sheetViews>
  <sheetFormatPr defaultRowHeight="14.4" x14ac:dyDescent="0.3"/>
  <cols>
    <col min="1" max="1" width="17.77734375" customWidth="1"/>
  </cols>
  <sheetData>
    <row r="26" spans="1:9" x14ac:dyDescent="0.3">
      <c r="A26" s="1" t="s">
        <v>0</v>
      </c>
      <c r="B26" s="238" t="s">
        <v>106</v>
      </c>
      <c r="C26" s="238"/>
      <c r="D26" s="238"/>
      <c r="F26" s="2"/>
      <c r="G26" s="235" t="s">
        <v>1</v>
      </c>
      <c r="H26" s="235"/>
      <c r="I26" s="3">
        <v>50000</v>
      </c>
    </row>
    <row r="27" spans="1:9" x14ac:dyDescent="0.3">
      <c r="A27" s="1" t="s">
        <v>2</v>
      </c>
      <c r="B27" s="4"/>
      <c r="D27" s="4"/>
      <c r="E27" s="1"/>
      <c r="F27" s="1"/>
      <c r="G27" s="5"/>
      <c r="H27" s="1" t="s">
        <v>3</v>
      </c>
      <c r="I27" s="9" t="s">
        <v>107</v>
      </c>
    </row>
    <row r="28" spans="1:9" x14ac:dyDescent="0.3">
      <c r="A28" s="1" t="s">
        <v>4</v>
      </c>
      <c r="B28" s="6"/>
      <c r="D28" s="6"/>
      <c r="E28" s="235" t="s">
        <v>5</v>
      </c>
      <c r="F28" s="235"/>
      <c r="G28" s="235"/>
      <c r="H28" s="235"/>
      <c r="I28" s="7">
        <v>1.4999999999999999E-2</v>
      </c>
    </row>
    <row r="29" spans="1:9" ht="15" thickBot="1" x14ac:dyDescent="0.35">
      <c r="A29" s="1" t="s">
        <v>6</v>
      </c>
      <c r="B29" s="236"/>
      <c r="C29" s="236"/>
      <c r="D29" s="237" t="s">
        <v>7</v>
      </c>
      <c r="E29" s="237"/>
      <c r="F29" s="237"/>
      <c r="G29" s="237"/>
      <c r="H29" s="237"/>
      <c r="I29" s="6">
        <v>12</v>
      </c>
    </row>
    <row r="30" spans="1:9" ht="87" thickBot="1" x14ac:dyDescent="0.35">
      <c r="A30" s="11" t="s">
        <v>8</v>
      </c>
      <c r="B30" s="11" t="s">
        <v>9</v>
      </c>
      <c r="C30" s="11" t="s">
        <v>10</v>
      </c>
      <c r="D30" s="12" t="s">
        <v>11</v>
      </c>
      <c r="E30" s="13" t="s">
        <v>12</v>
      </c>
      <c r="F30" s="14" t="s">
        <v>13</v>
      </c>
      <c r="G30" s="14" t="s">
        <v>14</v>
      </c>
      <c r="H30" s="14" t="s">
        <v>15</v>
      </c>
      <c r="I30" s="15" t="s">
        <v>16</v>
      </c>
    </row>
    <row r="31" spans="1:9" x14ac:dyDescent="0.3">
      <c r="A31" s="16" t="s">
        <v>17</v>
      </c>
      <c r="B31" s="17">
        <f>I26</f>
        <v>50000</v>
      </c>
      <c r="C31" s="17">
        <f>I26/I29</f>
        <v>4166.666666666667</v>
      </c>
      <c r="D31" s="17">
        <f>(B31*0.015)</f>
        <v>750</v>
      </c>
      <c r="E31" s="17" t="e">
        <f>#REF!+D31</f>
        <v>#REF!</v>
      </c>
      <c r="F31" s="17"/>
      <c r="G31" s="17"/>
      <c r="H31" s="18"/>
      <c r="I31" s="19"/>
    </row>
    <row r="32" spans="1:9" x14ac:dyDescent="0.3">
      <c r="A32" s="20" t="s">
        <v>18</v>
      </c>
      <c r="B32" s="8">
        <v>55000</v>
      </c>
      <c r="C32" s="8" t="e">
        <f>#REF!</f>
        <v>#REF!</v>
      </c>
      <c r="D32" s="8">
        <f t="shared" ref="D32:D42" si="0">(B32*0.015)</f>
        <v>825</v>
      </c>
      <c r="E32" s="8" t="e">
        <f>#REF!+D32</f>
        <v>#REF!</v>
      </c>
      <c r="F32" s="8"/>
      <c r="G32" s="8"/>
      <c r="H32" s="10"/>
      <c r="I32" s="21"/>
    </row>
    <row r="33" spans="1:9" x14ac:dyDescent="0.3">
      <c r="A33" s="20" t="s">
        <v>19</v>
      </c>
      <c r="B33" s="8">
        <v>50000</v>
      </c>
      <c r="C33" s="8" t="e">
        <f>#REF!</f>
        <v>#REF!</v>
      </c>
      <c r="D33" s="8">
        <f t="shared" si="0"/>
        <v>750</v>
      </c>
      <c r="E33" s="8" t="e">
        <f>#REF!+D33</f>
        <v>#REF!</v>
      </c>
      <c r="F33" s="8"/>
      <c r="G33" s="8"/>
      <c r="H33" s="10"/>
      <c r="I33" s="21"/>
    </row>
    <row r="34" spans="1:9" x14ac:dyDescent="0.3">
      <c r="A34" s="20" t="s">
        <v>20</v>
      </c>
      <c r="B34" s="8">
        <v>45000</v>
      </c>
      <c r="C34" s="8" t="e">
        <f>#REF!</f>
        <v>#REF!</v>
      </c>
      <c r="D34" s="8">
        <f t="shared" si="0"/>
        <v>675</v>
      </c>
      <c r="E34" s="8" t="e">
        <f>#REF!+D34</f>
        <v>#REF!</v>
      </c>
      <c r="F34" s="8"/>
      <c r="G34" s="8"/>
      <c r="H34" s="10"/>
      <c r="I34" s="21"/>
    </row>
    <row r="35" spans="1:9" x14ac:dyDescent="0.3">
      <c r="A35" s="20" t="s">
        <v>21</v>
      </c>
      <c r="B35" s="8">
        <v>40000</v>
      </c>
      <c r="C35" s="8" t="e">
        <f>#REF!</f>
        <v>#REF!</v>
      </c>
      <c r="D35" s="8">
        <f t="shared" si="0"/>
        <v>600</v>
      </c>
      <c r="E35" s="8" t="e">
        <f>#REF!+D35</f>
        <v>#REF!</v>
      </c>
      <c r="F35" s="8"/>
      <c r="G35" s="8"/>
      <c r="H35" s="10"/>
      <c r="I35" s="21"/>
    </row>
    <row r="36" spans="1:9" x14ac:dyDescent="0.3">
      <c r="A36" s="20" t="s">
        <v>23</v>
      </c>
      <c r="B36" s="8">
        <v>35000</v>
      </c>
      <c r="C36" s="8" t="e">
        <f>#REF!</f>
        <v>#REF!</v>
      </c>
      <c r="D36" s="8">
        <f t="shared" si="0"/>
        <v>525</v>
      </c>
      <c r="E36" s="8" t="e">
        <f>#REF!+D36</f>
        <v>#REF!</v>
      </c>
      <c r="F36" s="8"/>
      <c r="G36" s="8"/>
      <c r="H36" s="10"/>
      <c r="I36" s="21"/>
    </row>
    <row r="37" spans="1:9" x14ac:dyDescent="0.3">
      <c r="A37" s="20" t="s">
        <v>24</v>
      </c>
      <c r="B37" s="8">
        <v>30000</v>
      </c>
      <c r="C37" s="8" t="e">
        <f>#REF!</f>
        <v>#REF!</v>
      </c>
      <c r="D37" s="8">
        <f t="shared" si="0"/>
        <v>450</v>
      </c>
      <c r="E37" s="8" t="e">
        <f>#REF!+D37</f>
        <v>#REF!</v>
      </c>
      <c r="F37" s="8"/>
      <c r="G37" s="8"/>
      <c r="H37" s="10"/>
      <c r="I37" s="21"/>
    </row>
    <row r="38" spans="1:9" x14ac:dyDescent="0.3">
      <c r="A38" s="20" t="s">
        <v>25</v>
      </c>
      <c r="B38" s="8">
        <v>25000</v>
      </c>
      <c r="C38" s="8" t="e">
        <f>#REF!</f>
        <v>#REF!</v>
      </c>
      <c r="D38" s="8">
        <f t="shared" si="0"/>
        <v>375</v>
      </c>
      <c r="E38" s="8" t="e">
        <f>#REF!+D38</f>
        <v>#REF!</v>
      </c>
      <c r="F38" s="8"/>
      <c r="G38" s="8"/>
      <c r="H38" s="10"/>
      <c r="I38" s="21"/>
    </row>
    <row r="39" spans="1:9" x14ac:dyDescent="0.3">
      <c r="A39" s="20" t="s">
        <v>26</v>
      </c>
      <c r="B39" s="8">
        <v>20000</v>
      </c>
      <c r="C39" s="8" t="e">
        <f>#REF!</f>
        <v>#REF!</v>
      </c>
      <c r="D39" s="8">
        <f t="shared" si="0"/>
        <v>300</v>
      </c>
      <c r="E39" s="8" t="e">
        <f>#REF!+D39</f>
        <v>#REF!</v>
      </c>
      <c r="F39" s="8"/>
      <c r="G39" s="8"/>
      <c r="H39" s="10"/>
      <c r="I39" s="21"/>
    </row>
    <row r="40" spans="1:9" x14ac:dyDescent="0.3">
      <c r="A40" s="20" t="s">
        <v>27</v>
      </c>
      <c r="B40" s="8">
        <v>15000</v>
      </c>
      <c r="C40" s="8" t="e">
        <f>#REF!</f>
        <v>#REF!</v>
      </c>
      <c r="D40" s="8">
        <f t="shared" si="0"/>
        <v>225</v>
      </c>
      <c r="E40" s="8" t="e">
        <f>#REF!+D40</f>
        <v>#REF!</v>
      </c>
      <c r="F40" s="8"/>
      <c r="G40" s="8"/>
      <c r="H40" s="10"/>
      <c r="I40" s="21"/>
    </row>
    <row r="41" spans="1:9" x14ac:dyDescent="0.3">
      <c r="A41" s="20" t="s">
        <v>28</v>
      </c>
      <c r="B41" s="8">
        <v>10000</v>
      </c>
      <c r="C41" s="8" t="e">
        <f>#REF!</f>
        <v>#REF!</v>
      </c>
      <c r="D41" s="8">
        <f t="shared" si="0"/>
        <v>150</v>
      </c>
      <c r="E41" s="8" t="e">
        <f>#REF!+D41</f>
        <v>#REF!</v>
      </c>
      <c r="F41" s="8"/>
      <c r="G41" s="8"/>
      <c r="H41" s="10"/>
      <c r="I41" s="21"/>
    </row>
    <row r="42" spans="1:9" x14ac:dyDescent="0.3">
      <c r="A42" s="20" t="s">
        <v>29</v>
      </c>
      <c r="B42" s="8">
        <v>5000</v>
      </c>
      <c r="C42" s="8" t="e">
        <f>#REF!</f>
        <v>#REF!</v>
      </c>
      <c r="D42" s="8">
        <f t="shared" si="0"/>
        <v>75</v>
      </c>
      <c r="E42" s="8" t="e">
        <f>#REF!+D42</f>
        <v>#REF!</v>
      </c>
      <c r="F42" s="8"/>
      <c r="G42" s="8"/>
      <c r="H42" s="10"/>
      <c r="I42" s="21" t="s">
        <v>42</v>
      </c>
    </row>
    <row r="48" spans="1:9" x14ac:dyDescent="0.3">
      <c r="A48" s="40" t="s">
        <v>0</v>
      </c>
      <c r="B48" s="234" t="s">
        <v>108</v>
      </c>
      <c r="C48" s="234"/>
      <c r="D48" s="234"/>
      <c r="F48" s="2"/>
      <c r="G48" s="235" t="s">
        <v>1</v>
      </c>
      <c r="H48" s="235"/>
      <c r="I48" s="3">
        <v>50000</v>
      </c>
    </row>
    <row r="49" spans="1:9" x14ac:dyDescent="0.3">
      <c r="A49" s="40" t="s">
        <v>2</v>
      </c>
      <c r="B49" s="4"/>
      <c r="D49" s="4"/>
      <c r="E49" s="1"/>
      <c r="F49" s="1"/>
      <c r="G49" s="5"/>
      <c r="H49" s="1" t="s">
        <v>3</v>
      </c>
      <c r="I49" s="9" t="s">
        <v>89</v>
      </c>
    </row>
    <row r="50" spans="1:9" x14ac:dyDescent="0.3">
      <c r="A50" s="40" t="s">
        <v>4</v>
      </c>
      <c r="B50" s="6"/>
      <c r="D50" s="6"/>
      <c r="E50" s="235" t="s">
        <v>5</v>
      </c>
      <c r="F50" s="235"/>
      <c r="G50" s="235"/>
      <c r="H50" s="235"/>
      <c r="I50" s="7">
        <v>1.4999999999999999E-2</v>
      </c>
    </row>
    <row r="51" spans="1:9" ht="15" thickBot="1" x14ac:dyDescent="0.35">
      <c r="A51" s="40" t="s">
        <v>6</v>
      </c>
      <c r="B51" s="236"/>
      <c r="C51" s="236"/>
      <c r="D51" s="237" t="s">
        <v>7</v>
      </c>
      <c r="E51" s="237"/>
      <c r="F51" s="237"/>
      <c r="G51" s="237"/>
      <c r="H51" s="237"/>
      <c r="I51" s="6">
        <v>12</v>
      </c>
    </row>
    <row r="52" spans="1:9" ht="87" thickBot="1" x14ac:dyDescent="0.35">
      <c r="A52" s="11" t="s">
        <v>8</v>
      </c>
      <c r="B52" s="11" t="s">
        <v>9</v>
      </c>
      <c r="C52" s="11" t="s">
        <v>10</v>
      </c>
      <c r="D52" s="12" t="s">
        <v>11</v>
      </c>
      <c r="E52" s="13" t="s">
        <v>12</v>
      </c>
      <c r="F52" s="14" t="s">
        <v>13</v>
      </c>
      <c r="G52" s="14" t="s">
        <v>14</v>
      </c>
      <c r="H52" s="14" t="s">
        <v>15</v>
      </c>
      <c r="I52" s="15" t="s">
        <v>16</v>
      </c>
    </row>
    <row r="53" spans="1:9" x14ac:dyDescent="0.3">
      <c r="A53" s="16" t="s">
        <v>17</v>
      </c>
      <c r="B53" s="17">
        <f>I48</f>
        <v>50000</v>
      </c>
      <c r="C53" s="17">
        <f>I48/I51</f>
        <v>4166.666666666667</v>
      </c>
      <c r="D53" s="17">
        <f>(B53*0.015)</f>
        <v>750</v>
      </c>
      <c r="E53" s="17" t="e">
        <f>#REF!+D53</f>
        <v>#REF!</v>
      </c>
      <c r="F53" s="17"/>
      <c r="G53" s="17"/>
      <c r="H53" s="18"/>
      <c r="I53" s="19"/>
    </row>
    <row r="54" spans="1:9" x14ac:dyDescent="0.3">
      <c r="A54" s="20" t="s">
        <v>18</v>
      </c>
      <c r="B54" s="8">
        <v>55000</v>
      </c>
      <c r="C54" s="8" t="e">
        <f>#REF!</f>
        <v>#REF!</v>
      </c>
      <c r="D54" s="8">
        <f t="shared" ref="D54:D64" si="1">(B54*0.015)</f>
        <v>825</v>
      </c>
      <c r="E54" s="8" t="e">
        <f>#REF!+D54</f>
        <v>#REF!</v>
      </c>
      <c r="F54" s="8"/>
      <c r="G54" s="8"/>
      <c r="H54" s="10"/>
      <c r="I54" s="21"/>
    </row>
    <row r="55" spans="1:9" x14ac:dyDescent="0.3">
      <c r="A55" s="20" t="s">
        <v>19</v>
      </c>
      <c r="B55" s="8">
        <v>50000</v>
      </c>
      <c r="C55" s="8" t="e">
        <f>#REF!</f>
        <v>#REF!</v>
      </c>
      <c r="D55" s="8">
        <f t="shared" si="1"/>
        <v>750</v>
      </c>
      <c r="E55" s="8" t="e">
        <f>#REF!+D55</f>
        <v>#REF!</v>
      </c>
      <c r="F55" s="8"/>
      <c r="G55" s="8"/>
      <c r="H55" s="10"/>
      <c r="I55" s="21"/>
    </row>
    <row r="56" spans="1:9" x14ac:dyDescent="0.3">
      <c r="A56" s="20" t="s">
        <v>20</v>
      </c>
      <c r="B56" s="8">
        <v>45000</v>
      </c>
      <c r="C56" s="8" t="e">
        <f>#REF!</f>
        <v>#REF!</v>
      </c>
      <c r="D56" s="8">
        <f t="shared" si="1"/>
        <v>675</v>
      </c>
      <c r="E56" s="8" t="e">
        <f>#REF!+D56</f>
        <v>#REF!</v>
      </c>
      <c r="F56" s="8"/>
      <c r="G56" s="8"/>
      <c r="H56" s="10"/>
      <c r="I56" s="21"/>
    </row>
    <row r="57" spans="1:9" x14ac:dyDescent="0.3">
      <c r="A57" s="20" t="s">
        <v>21</v>
      </c>
      <c r="B57" s="8">
        <v>40000</v>
      </c>
      <c r="C57" s="8" t="e">
        <f>#REF!</f>
        <v>#REF!</v>
      </c>
      <c r="D57" s="8">
        <f t="shared" si="1"/>
        <v>600</v>
      </c>
      <c r="E57" s="8" t="e">
        <f>#REF!+D57</f>
        <v>#REF!</v>
      </c>
      <c r="F57" s="8"/>
      <c r="G57" s="8"/>
      <c r="H57" s="10"/>
      <c r="I57" s="21"/>
    </row>
    <row r="58" spans="1:9" x14ac:dyDescent="0.3">
      <c r="A58" s="20" t="s">
        <v>23</v>
      </c>
      <c r="B58" s="8">
        <v>35000</v>
      </c>
      <c r="C58" s="8" t="e">
        <f>#REF!</f>
        <v>#REF!</v>
      </c>
      <c r="D58" s="8">
        <f t="shared" si="1"/>
        <v>525</v>
      </c>
      <c r="E58" s="8" t="e">
        <f>#REF!+D58</f>
        <v>#REF!</v>
      </c>
      <c r="F58" s="8"/>
      <c r="G58" s="8"/>
      <c r="H58" s="10"/>
      <c r="I58" s="21"/>
    </row>
    <row r="59" spans="1:9" x14ac:dyDescent="0.3">
      <c r="A59" s="20" t="s">
        <v>24</v>
      </c>
      <c r="B59" s="8">
        <v>30000</v>
      </c>
      <c r="C59" s="8" t="e">
        <f>#REF!</f>
        <v>#REF!</v>
      </c>
      <c r="D59" s="8">
        <f t="shared" si="1"/>
        <v>450</v>
      </c>
      <c r="E59" s="8" t="e">
        <f>#REF!+D59</f>
        <v>#REF!</v>
      </c>
      <c r="F59" s="8"/>
      <c r="G59" s="8"/>
      <c r="H59" s="10"/>
      <c r="I59" s="21"/>
    </row>
    <row r="60" spans="1:9" x14ac:dyDescent="0.3">
      <c r="A60" s="20" t="s">
        <v>25</v>
      </c>
      <c r="B60" s="8">
        <v>25000</v>
      </c>
      <c r="C60" s="8" t="e">
        <f>#REF!</f>
        <v>#REF!</v>
      </c>
      <c r="D60" s="8">
        <f t="shared" si="1"/>
        <v>375</v>
      </c>
      <c r="E60" s="8" t="e">
        <f>#REF!+D60</f>
        <v>#REF!</v>
      </c>
      <c r="F60" s="8"/>
      <c r="G60" s="8"/>
      <c r="H60" s="10"/>
      <c r="I60" s="21"/>
    </row>
    <row r="61" spans="1:9" x14ac:dyDescent="0.3">
      <c r="A61" s="20" t="s">
        <v>26</v>
      </c>
      <c r="B61" s="8">
        <v>20000</v>
      </c>
      <c r="C61" s="8" t="e">
        <f>#REF!</f>
        <v>#REF!</v>
      </c>
      <c r="D61" s="8">
        <f t="shared" si="1"/>
        <v>300</v>
      </c>
      <c r="E61" s="8" t="e">
        <f>#REF!+D61</f>
        <v>#REF!</v>
      </c>
      <c r="F61" s="8"/>
      <c r="G61" s="8"/>
      <c r="H61" s="10"/>
      <c r="I61" s="21"/>
    </row>
    <row r="62" spans="1:9" x14ac:dyDescent="0.3">
      <c r="A62" s="20" t="s">
        <v>27</v>
      </c>
      <c r="B62" s="8">
        <v>15000</v>
      </c>
      <c r="C62" s="8" t="e">
        <f>#REF!</f>
        <v>#REF!</v>
      </c>
      <c r="D62" s="8">
        <f t="shared" si="1"/>
        <v>225</v>
      </c>
      <c r="E62" s="8" t="e">
        <f>#REF!+D62</f>
        <v>#REF!</v>
      </c>
      <c r="F62" s="8"/>
      <c r="G62" s="8"/>
      <c r="H62" s="10"/>
      <c r="I62" s="21"/>
    </row>
    <row r="63" spans="1:9" x14ac:dyDescent="0.3">
      <c r="A63" s="20" t="s">
        <v>28</v>
      </c>
      <c r="B63" s="8">
        <v>10000</v>
      </c>
      <c r="C63" s="8" t="e">
        <f>#REF!</f>
        <v>#REF!</v>
      </c>
      <c r="D63" s="8">
        <f t="shared" si="1"/>
        <v>150</v>
      </c>
      <c r="E63" s="8" t="e">
        <f>#REF!+D63</f>
        <v>#REF!</v>
      </c>
      <c r="F63" s="8"/>
      <c r="G63" s="8"/>
      <c r="H63" s="10"/>
      <c r="I63" s="21"/>
    </row>
    <row r="64" spans="1:9" x14ac:dyDescent="0.3">
      <c r="A64" s="20" t="s">
        <v>29</v>
      </c>
      <c r="B64" s="8">
        <v>5000</v>
      </c>
      <c r="C64" s="8" t="e">
        <f>#REF!</f>
        <v>#REF!</v>
      </c>
      <c r="D64" s="8">
        <f t="shared" si="1"/>
        <v>75</v>
      </c>
      <c r="E64" s="8" t="e">
        <f>#REF!+D64</f>
        <v>#REF!</v>
      </c>
      <c r="F64" s="8"/>
      <c r="G64" s="8"/>
      <c r="H64" s="10"/>
      <c r="I64" s="21" t="s">
        <v>42</v>
      </c>
    </row>
    <row r="72" spans="1:9" x14ac:dyDescent="0.3">
      <c r="A72" s="40" t="s">
        <v>0</v>
      </c>
      <c r="B72" s="238" t="s">
        <v>109</v>
      </c>
      <c r="C72" s="238"/>
      <c r="D72" s="238"/>
      <c r="F72" s="2"/>
      <c r="G72" s="235" t="s">
        <v>1</v>
      </c>
      <c r="H72" s="235"/>
      <c r="I72" s="3">
        <v>50000</v>
      </c>
    </row>
    <row r="73" spans="1:9" x14ac:dyDescent="0.3">
      <c r="A73" s="40" t="s">
        <v>2</v>
      </c>
      <c r="B73" s="4"/>
      <c r="D73" s="4"/>
      <c r="E73" s="1"/>
      <c r="F73" s="1"/>
      <c r="G73" s="5"/>
      <c r="H73" s="1" t="s">
        <v>3</v>
      </c>
      <c r="I73" s="9" t="s">
        <v>89</v>
      </c>
    </row>
    <row r="74" spans="1:9" x14ac:dyDescent="0.3">
      <c r="A74" s="40" t="s">
        <v>4</v>
      </c>
      <c r="B74" s="6"/>
      <c r="D74" s="6"/>
      <c r="E74" s="235" t="s">
        <v>5</v>
      </c>
      <c r="F74" s="235"/>
      <c r="G74" s="235"/>
      <c r="H74" s="235"/>
      <c r="I74" s="7">
        <v>1.4999999999999999E-2</v>
      </c>
    </row>
    <row r="75" spans="1:9" ht="15" thickBot="1" x14ac:dyDescent="0.35">
      <c r="A75" s="40" t="s">
        <v>6</v>
      </c>
      <c r="B75" s="236"/>
      <c r="C75" s="236"/>
      <c r="D75" s="237" t="s">
        <v>7</v>
      </c>
      <c r="E75" s="237"/>
      <c r="F75" s="237"/>
      <c r="G75" s="237"/>
      <c r="H75" s="237"/>
      <c r="I75" s="6">
        <v>12</v>
      </c>
    </row>
    <row r="76" spans="1:9" ht="87" thickBot="1" x14ac:dyDescent="0.35">
      <c r="A76" s="11" t="s">
        <v>8</v>
      </c>
      <c r="B76" s="11" t="s">
        <v>9</v>
      </c>
      <c r="C76" s="11" t="s">
        <v>10</v>
      </c>
      <c r="D76" s="12" t="s">
        <v>11</v>
      </c>
      <c r="E76" s="13" t="s">
        <v>12</v>
      </c>
      <c r="F76" s="14" t="s">
        <v>13</v>
      </c>
      <c r="G76" s="14" t="s">
        <v>14</v>
      </c>
      <c r="H76" s="14" t="s">
        <v>15</v>
      </c>
      <c r="I76" s="15" t="s">
        <v>16</v>
      </c>
    </row>
    <row r="77" spans="1:9" x14ac:dyDescent="0.3">
      <c r="A77" s="16" t="s">
        <v>17</v>
      </c>
      <c r="B77" s="17">
        <f>I72</f>
        <v>50000</v>
      </c>
      <c r="C77" s="17">
        <f>I72/I75</f>
        <v>4166.666666666667</v>
      </c>
      <c r="D77" s="17">
        <f>(B77*0.015)</f>
        <v>750</v>
      </c>
      <c r="E77" s="17" t="e">
        <f>#REF!+D77</f>
        <v>#REF!</v>
      </c>
      <c r="F77" s="17"/>
      <c r="G77" s="17"/>
      <c r="H77" s="18"/>
      <c r="I77" s="19"/>
    </row>
    <row r="78" spans="1:9" x14ac:dyDescent="0.3">
      <c r="A78" s="20" t="s">
        <v>18</v>
      </c>
      <c r="B78" s="8">
        <v>55000</v>
      </c>
      <c r="C78" s="8" t="e">
        <f>#REF!</f>
        <v>#REF!</v>
      </c>
      <c r="D78" s="8">
        <f t="shared" ref="D78:D88" si="2">(B78*0.015)</f>
        <v>825</v>
      </c>
      <c r="E78" s="8" t="e">
        <f>#REF!+D78</f>
        <v>#REF!</v>
      </c>
      <c r="F78" s="8"/>
      <c r="G78" s="8"/>
      <c r="H78" s="10"/>
      <c r="I78" s="21"/>
    </row>
    <row r="79" spans="1:9" x14ac:dyDescent="0.3">
      <c r="A79" s="20" t="s">
        <v>19</v>
      </c>
      <c r="B79" s="8">
        <v>50000</v>
      </c>
      <c r="C79" s="8" t="e">
        <f>#REF!</f>
        <v>#REF!</v>
      </c>
      <c r="D79" s="8">
        <f t="shared" si="2"/>
        <v>750</v>
      </c>
      <c r="E79" s="8" t="e">
        <f>#REF!+D79</f>
        <v>#REF!</v>
      </c>
      <c r="F79" s="8"/>
      <c r="G79" s="8"/>
      <c r="H79" s="10"/>
      <c r="I79" s="21"/>
    </row>
    <row r="80" spans="1:9" x14ac:dyDescent="0.3">
      <c r="A80" s="20" t="s">
        <v>20</v>
      </c>
      <c r="B80" s="8">
        <v>45000</v>
      </c>
      <c r="C80" s="8" t="e">
        <f>#REF!</f>
        <v>#REF!</v>
      </c>
      <c r="D80" s="8">
        <f t="shared" si="2"/>
        <v>675</v>
      </c>
      <c r="E80" s="8" t="e">
        <f>#REF!+D80</f>
        <v>#REF!</v>
      </c>
      <c r="F80" s="8"/>
      <c r="G80" s="8"/>
      <c r="H80" s="10"/>
      <c r="I80" s="21"/>
    </row>
    <row r="81" spans="1:9" x14ac:dyDescent="0.3">
      <c r="A81" s="20" t="s">
        <v>21</v>
      </c>
      <c r="B81" s="8">
        <v>40000</v>
      </c>
      <c r="C81" s="8" t="e">
        <f>#REF!</f>
        <v>#REF!</v>
      </c>
      <c r="D81" s="8">
        <f t="shared" si="2"/>
        <v>600</v>
      </c>
      <c r="E81" s="8" t="e">
        <f>#REF!+D81</f>
        <v>#REF!</v>
      </c>
      <c r="F81" s="8"/>
      <c r="G81" s="8"/>
      <c r="H81" s="10"/>
      <c r="I81" s="21"/>
    </row>
    <row r="82" spans="1:9" x14ac:dyDescent="0.3">
      <c r="A82" s="20" t="s">
        <v>23</v>
      </c>
      <c r="B82" s="8">
        <v>35000</v>
      </c>
      <c r="C82" s="8" t="e">
        <f>#REF!</f>
        <v>#REF!</v>
      </c>
      <c r="D82" s="8">
        <f t="shared" si="2"/>
        <v>525</v>
      </c>
      <c r="E82" s="8" t="e">
        <f>#REF!+D82</f>
        <v>#REF!</v>
      </c>
      <c r="F82" s="8"/>
      <c r="G82" s="8"/>
      <c r="H82" s="10"/>
      <c r="I82" s="21"/>
    </row>
    <row r="83" spans="1:9" x14ac:dyDescent="0.3">
      <c r="A83" s="20" t="s">
        <v>24</v>
      </c>
      <c r="B83" s="8">
        <v>30000</v>
      </c>
      <c r="C83" s="8" t="e">
        <f>#REF!</f>
        <v>#REF!</v>
      </c>
      <c r="D83" s="8">
        <f t="shared" si="2"/>
        <v>450</v>
      </c>
      <c r="E83" s="8" t="e">
        <f>#REF!+D83</f>
        <v>#REF!</v>
      </c>
      <c r="F83" s="8"/>
      <c r="G83" s="8"/>
      <c r="H83" s="10"/>
      <c r="I83" s="21"/>
    </row>
    <row r="84" spans="1:9" x14ac:dyDescent="0.3">
      <c r="A84" s="20" t="s">
        <v>25</v>
      </c>
      <c r="B84" s="8">
        <v>25000</v>
      </c>
      <c r="C84" s="8" t="e">
        <f>#REF!</f>
        <v>#REF!</v>
      </c>
      <c r="D84" s="8">
        <f t="shared" si="2"/>
        <v>375</v>
      </c>
      <c r="E84" s="8" t="e">
        <f>#REF!+D84</f>
        <v>#REF!</v>
      </c>
      <c r="F84" s="8"/>
      <c r="G84" s="8"/>
      <c r="H84" s="10"/>
      <c r="I84" s="21"/>
    </row>
    <row r="85" spans="1:9" x14ac:dyDescent="0.3">
      <c r="A85" s="20" t="s">
        <v>26</v>
      </c>
      <c r="B85" s="8">
        <v>20000</v>
      </c>
      <c r="C85" s="8" t="e">
        <f>#REF!</f>
        <v>#REF!</v>
      </c>
      <c r="D85" s="8">
        <f t="shared" si="2"/>
        <v>300</v>
      </c>
      <c r="E85" s="8" t="e">
        <f>#REF!+D85</f>
        <v>#REF!</v>
      </c>
      <c r="F85" s="8"/>
      <c r="G85" s="8"/>
      <c r="H85" s="10"/>
      <c r="I85" s="21"/>
    </row>
    <row r="86" spans="1:9" x14ac:dyDescent="0.3">
      <c r="A86" s="20" t="s">
        <v>27</v>
      </c>
      <c r="B86" s="8">
        <v>15000</v>
      </c>
      <c r="C86" s="8" t="e">
        <f>#REF!</f>
        <v>#REF!</v>
      </c>
      <c r="D86" s="8">
        <f t="shared" si="2"/>
        <v>225</v>
      </c>
      <c r="E86" s="8" t="e">
        <f>#REF!+D86</f>
        <v>#REF!</v>
      </c>
      <c r="F86" s="8"/>
      <c r="G86" s="8"/>
      <c r="H86" s="10"/>
      <c r="I86" s="21"/>
    </row>
    <row r="87" spans="1:9" x14ac:dyDescent="0.3">
      <c r="A87" s="20" t="s">
        <v>28</v>
      </c>
      <c r="B87" s="8">
        <v>10000</v>
      </c>
      <c r="C87" s="8" t="e">
        <f>#REF!</f>
        <v>#REF!</v>
      </c>
      <c r="D87" s="8">
        <f t="shared" si="2"/>
        <v>150</v>
      </c>
      <c r="E87" s="8" t="e">
        <f>#REF!+D87</f>
        <v>#REF!</v>
      </c>
      <c r="F87" s="8"/>
      <c r="G87" s="8"/>
      <c r="H87" s="10"/>
      <c r="I87" s="21"/>
    </row>
    <row r="88" spans="1:9" x14ac:dyDescent="0.3">
      <c r="A88" s="20" t="s">
        <v>29</v>
      </c>
      <c r="B88" s="8">
        <v>5000</v>
      </c>
      <c r="C88" s="8" t="e">
        <f>#REF!</f>
        <v>#REF!</v>
      </c>
      <c r="D88" s="8">
        <f t="shared" si="2"/>
        <v>75</v>
      </c>
      <c r="E88" s="8" t="e">
        <f>#REF!+D88</f>
        <v>#REF!</v>
      </c>
      <c r="F88" s="8"/>
      <c r="G88" s="8"/>
      <c r="H88" s="10"/>
      <c r="I88" s="21" t="s">
        <v>42</v>
      </c>
    </row>
    <row r="93" spans="1:9" x14ac:dyDescent="0.3">
      <c r="A93" s="40" t="s">
        <v>0</v>
      </c>
      <c r="B93" s="234" t="s">
        <v>110</v>
      </c>
      <c r="C93" s="234"/>
      <c r="D93" s="234"/>
      <c r="F93" s="2"/>
      <c r="G93" s="235" t="s">
        <v>1</v>
      </c>
      <c r="H93" s="235"/>
      <c r="I93" s="3">
        <v>50000</v>
      </c>
    </row>
    <row r="94" spans="1:9" x14ac:dyDescent="0.3">
      <c r="A94" s="40" t="s">
        <v>2</v>
      </c>
      <c r="B94" s="4"/>
      <c r="D94" s="4"/>
      <c r="E94" s="1"/>
      <c r="F94" s="1"/>
      <c r="G94" s="5"/>
      <c r="H94" s="1" t="s">
        <v>3</v>
      </c>
      <c r="I94" s="9" t="s">
        <v>111</v>
      </c>
    </row>
    <row r="95" spans="1:9" x14ac:dyDescent="0.3">
      <c r="A95" s="40" t="s">
        <v>4</v>
      </c>
      <c r="B95" s="6"/>
      <c r="D95" s="6"/>
      <c r="E95" s="235" t="s">
        <v>5</v>
      </c>
      <c r="F95" s="235"/>
      <c r="G95" s="235"/>
      <c r="H95" s="235"/>
      <c r="I95" s="7">
        <v>1.4999999999999999E-2</v>
      </c>
    </row>
    <row r="96" spans="1:9" ht="15" thickBot="1" x14ac:dyDescent="0.35">
      <c r="A96" s="40" t="s">
        <v>6</v>
      </c>
      <c r="B96" s="236"/>
      <c r="C96" s="236"/>
      <c r="D96" s="237" t="s">
        <v>7</v>
      </c>
      <c r="E96" s="237"/>
      <c r="F96" s="237"/>
      <c r="G96" s="237"/>
      <c r="H96" s="237"/>
      <c r="I96" s="6">
        <v>12</v>
      </c>
    </row>
    <row r="97" spans="1:9" ht="87" thickBot="1" x14ac:dyDescent="0.35">
      <c r="A97" s="11" t="s">
        <v>8</v>
      </c>
      <c r="B97" s="11" t="s">
        <v>9</v>
      </c>
      <c r="C97" s="11" t="s">
        <v>10</v>
      </c>
      <c r="D97" s="12" t="s">
        <v>11</v>
      </c>
      <c r="E97" s="13" t="s">
        <v>12</v>
      </c>
      <c r="F97" s="14" t="s">
        <v>13</v>
      </c>
      <c r="G97" s="14" t="s">
        <v>14</v>
      </c>
      <c r="H97" s="14" t="s">
        <v>15</v>
      </c>
      <c r="I97" s="15" t="s">
        <v>16</v>
      </c>
    </row>
    <row r="98" spans="1:9" x14ac:dyDescent="0.3">
      <c r="A98" s="16" t="s">
        <v>17</v>
      </c>
      <c r="B98" s="17">
        <f>I93</f>
        <v>50000</v>
      </c>
      <c r="C98" s="17">
        <f>I93/I96</f>
        <v>4166.666666666667</v>
      </c>
      <c r="D98" s="17">
        <f>(B98*0.015)</f>
        <v>750</v>
      </c>
      <c r="E98" s="17" t="e" cm="1">
        <f t="array" ref="E98">#REF!+'50-12'!P8D98</f>
        <v>#REF!</v>
      </c>
      <c r="F98" s="17"/>
      <c r="G98" s="17"/>
      <c r="H98" s="18"/>
      <c r="I98" s="19"/>
    </row>
    <row r="99" spans="1:9" x14ac:dyDescent="0.3">
      <c r="A99" s="20" t="s">
        <v>18</v>
      </c>
      <c r="B99" s="8">
        <v>55000</v>
      </c>
      <c r="C99" s="8" t="e">
        <f>#REF!</f>
        <v>#REF!</v>
      </c>
      <c r="D99" s="8">
        <f t="shared" ref="D99:D109" si="3">(B99*0.015)</f>
        <v>825</v>
      </c>
      <c r="E99" s="8" t="e">
        <f>#REF!+D99</f>
        <v>#REF!</v>
      </c>
      <c r="F99" s="8"/>
      <c r="G99" s="8"/>
      <c r="H99" s="10"/>
      <c r="I99" s="21"/>
    </row>
    <row r="100" spans="1:9" x14ac:dyDescent="0.3">
      <c r="A100" s="20" t="s">
        <v>19</v>
      </c>
      <c r="B100" s="8">
        <v>50000</v>
      </c>
      <c r="C100" s="8" t="e">
        <f>#REF!</f>
        <v>#REF!</v>
      </c>
      <c r="D100" s="8">
        <f t="shared" si="3"/>
        <v>750</v>
      </c>
      <c r="E100" s="8" t="e">
        <f>#REF!+D100</f>
        <v>#REF!</v>
      </c>
      <c r="F100" s="8"/>
      <c r="G100" s="8"/>
      <c r="H100" s="10"/>
      <c r="I100" s="21"/>
    </row>
    <row r="101" spans="1:9" x14ac:dyDescent="0.3">
      <c r="A101" s="20" t="s">
        <v>20</v>
      </c>
      <c r="B101" s="8">
        <v>45000</v>
      </c>
      <c r="C101" s="8" t="e">
        <f>#REF!</f>
        <v>#REF!</v>
      </c>
      <c r="D101" s="8">
        <f t="shared" si="3"/>
        <v>675</v>
      </c>
      <c r="E101" s="8" t="e">
        <f>#REF!+D101</f>
        <v>#REF!</v>
      </c>
      <c r="F101" s="8"/>
      <c r="G101" s="8"/>
      <c r="H101" s="10"/>
      <c r="I101" s="21"/>
    </row>
    <row r="102" spans="1:9" x14ac:dyDescent="0.3">
      <c r="A102" s="20" t="s">
        <v>21</v>
      </c>
      <c r="B102" s="8">
        <v>40000</v>
      </c>
      <c r="C102" s="8" t="e">
        <f>#REF!</f>
        <v>#REF!</v>
      </c>
      <c r="D102" s="8">
        <f t="shared" si="3"/>
        <v>600</v>
      </c>
      <c r="E102" s="8" t="e">
        <f>#REF!+D102</f>
        <v>#REF!</v>
      </c>
      <c r="F102" s="8"/>
      <c r="G102" s="8"/>
      <c r="H102" s="10"/>
      <c r="I102" s="21"/>
    </row>
    <row r="103" spans="1:9" x14ac:dyDescent="0.3">
      <c r="A103" s="20" t="s">
        <v>23</v>
      </c>
      <c r="B103" s="8">
        <v>35000</v>
      </c>
      <c r="C103" s="8" t="e">
        <f>#REF!</f>
        <v>#REF!</v>
      </c>
      <c r="D103" s="8">
        <f t="shared" si="3"/>
        <v>525</v>
      </c>
      <c r="E103" s="8" t="e">
        <f>#REF!+D103</f>
        <v>#REF!</v>
      </c>
      <c r="F103" s="8"/>
      <c r="G103" s="8"/>
      <c r="H103" s="10"/>
      <c r="I103" s="21"/>
    </row>
    <row r="104" spans="1:9" x14ac:dyDescent="0.3">
      <c r="A104" s="20" t="s">
        <v>24</v>
      </c>
      <c r="B104" s="8">
        <v>30000</v>
      </c>
      <c r="C104" s="8" t="e">
        <f>#REF!</f>
        <v>#REF!</v>
      </c>
      <c r="D104" s="8">
        <f t="shared" si="3"/>
        <v>450</v>
      </c>
      <c r="E104" s="8" t="e">
        <f>#REF!+D104</f>
        <v>#REF!</v>
      </c>
      <c r="F104" s="8"/>
      <c r="G104" s="8"/>
      <c r="H104" s="10"/>
      <c r="I104" s="21"/>
    </row>
    <row r="105" spans="1:9" x14ac:dyDescent="0.3">
      <c r="A105" s="20" t="s">
        <v>25</v>
      </c>
      <c r="B105" s="8">
        <v>25000</v>
      </c>
      <c r="C105" s="8" t="e">
        <f>#REF!</f>
        <v>#REF!</v>
      </c>
      <c r="D105" s="8">
        <f t="shared" si="3"/>
        <v>375</v>
      </c>
      <c r="E105" s="8" t="e">
        <f>#REF!+D105</f>
        <v>#REF!</v>
      </c>
      <c r="F105" s="8"/>
      <c r="G105" s="8"/>
      <c r="H105" s="10"/>
      <c r="I105" s="21"/>
    </row>
    <row r="106" spans="1:9" x14ac:dyDescent="0.3">
      <c r="A106" s="20" t="s">
        <v>26</v>
      </c>
      <c r="B106" s="8">
        <v>20000</v>
      </c>
      <c r="C106" s="8" t="e">
        <f>#REF!</f>
        <v>#REF!</v>
      </c>
      <c r="D106" s="8">
        <f t="shared" si="3"/>
        <v>300</v>
      </c>
      <c r="E106" s="8" t="e">
        <f>#REF!+D106</f>
        <v>#REF!</v>
      </c>
      <c r="F106" s="8"/>
      <c r="G106" s="8"/>
      <c r="H106" s="10"/>
      <c r="I106" s="21"/>
    </row>
    <row r="107" spans="1:9" x14ac:dyDescent="0.3">
      <c r="A107" s="20" t="s">
        <v>27</v>
      </c>
      <c r="B107" s="8">
        <v>15000</v>
      </c>
      <c r="C107" s="8" t="e">
        <f>#REF!</f>
        <v>#REF!</v>
      </c>
      <c r="D107" s="8">
        <f t="shared" si="3"/>
        <v>225</v>
      </c>
      <c r="E107" s="8" t="e">
        <f>#REF!+D107</f>
        <v>#REF!</v>
      </c>
      <c r="F107" s="8"/>
      <c r="G107" s="8"/>
      <c r="H107" s="10"/>
      <c r="I107" s="21"/>
    </row>
    <row r="108" spans="1:9" x14ac:dyDescent="0.3">
      <c r="A108" s="20" t="s">
        <v>28</v>
      </c>
      <c r="B108" s="8">
        <v>10000</v>
      </c>
      <c r="C108" s="8" t="e">
        <f>#REF!</f>
        <v>#REF!</v>
      </c>
      <c r="D108" s="8">
        <f t="shared" si="3"/>
        <v>150</v>
      </c>
      <c r="E108" s="8" t="e">
        <f>#REF!+D108</f>
        <v>#REF!</v>
      </c>
      <c r="F108" s="8"/>
      <c r="G108" s="8"/>
      <c r="H108" s="10"/>
      <c r="I108" s="21"/>
    </row>
    <row r="109" spans="1:9" x14ac:dyDescent="0.3">
      <c r="A109" s="20" t="s">
        <v>29</v>
      </c>
      <c r="B109" s="8">
        <v>5000</v>
      </c>
      <c r="C109" s="8" t="e">
        <f>#REF!</f>
        <v>#REF!</v>
      </c>
      <c r="D109" s="8">
        <f t="shared" si="3"/>
        <v>75</v>
      </c>
      <c r="E109" s="8" t="e">
        <f>#REF!+D109</f>
        <v>#REF!</v>
      </c>
      <c r="F109" s="8"/>
      <c r="G109" s="8"/>
      <c r="H109" s="10"/>
      <c r="I109" s="21" t="s">
        <v>42</v>
      </c>
    </row>
    <row r="110" spans="1:9" x14ac:dyDescent="0.3">
      <c r="E110" s="38"/>
    </row>
  </sheetData>
  <mergeCells count="20">
    <mergeCell ref="E28:H28"/>
    <mergeCell ref="B29:C29"/>
    <mergeCell ref="D29:H29"/>
    <mergeCell ref="B26:D26"/>
    <mergeCell ref="G26:H26"/>
    <mergeCell ref="D75:H75"/>
    <mergeCell ref="B75:C75"/>
    <mergeCell ref="E74:H74"/>
    <mergeCell ref="G72:H72"/>
    <mergeCell ref="B72:D72"/>
    <mergeCell ref="D51:H51"/>
    <mergeCell ref="B51:C51"/>
    <mergeCell ref="E50:H50"/>
    <mergeCell ref="G48:H48"/>
    <mergeCell ref="B48:D48"/>
    <mergeCell ref="B93:D93"/>
    <mergeCell ref="G93:H93"/>
    <mergeCell ref="E95:H95"/>
    <mergeCell ref="B96:C96"/>
    <mergeCell ref="D96:H96"/>
  </mergeCells>
  <pageMargins left="0.7" right="0.7" top="0.75" bottom="0.75" header="0.3" footer="0.3"/>
  <pageSetup paperSize="256" orientation="portrait" horizontalDpi="4294967293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51F4-B53F-4391-BFF4-FDF0C994542A}">
  <dimension ref="A1:I41"/>
  <sheetViews>
    <sheetView topLeftCell="A48" workbookViewId="0">
      <selection activeCell="A52" sqref="A52:I70"/>
    </sheetView>
  </sheetViews>
  <sheetFormatPr defaultRowHeight="14.4" x14ac:dyDescent="0.3"/>
  <cols>
    <col min="1" max="1" width="20.21875" customWidth="1"/>
    <col min="8" max="8" width="9.6640625" customWidth="1"/>
    <col min="9" max="9" width="12.77734375" customWidth="1"/>
  </cols>
  <sheetData>
    <row r="1" spans="1:9" x14ac:dyDescent="0.3">
      <c r="A1" s="40" t="s">
        <v>0</v>
      </c>
      <c r="B1" s="41" t="s">
        <v>93</v>
      </c>
      <c r="C1" s="41"/>
      <c r="D1" s="41"/>
      <c r="F1" s="40"/>
      <c r="G1" s="2" t="s">
        <v>1</v>
      </c>
      <c r="I1" s="3">
        <v>30000</v>
      </c>
    </row>
    <row r="2" spans="1:9" x14ac:dyDescent="0.3">
      <c r="A2" s="40" t="s">
        <v>2</v>
      </c>
      <c r="B2" s="4"/>
      <c r="D2" s="4"/>
      <c r="E2" s="1"/>
      <c r="F2" s="40"/>
      <c r="G2" s="2" t="s">
        <v>3</v>
      </c>
      <c r="I2" s="9" t="s">
        <v>94</v>
      </c>
    </row>
    <row r="3" spans="1:9" x14ac:dyDescent="0.3">
      <c r="A3" s="40" t="s">
        <v>4</v>
      </c>
      <c r="B3" s="6"/>
      <c r="D3" s="6"/>
      <c r="F3" s="40"/>
      <c r="G3" s="2" t="s">
        <v>5</v>
      </c>
      <c r="H3" s="2"/>
      <c r="I3" s="7">
        <v>1.4999999999999999E-2</v>
      </c>
    </row>
    <row r="4" spans="1:9" ht="15" thickBot="1" x14ac:dyDescent="0.35">
      <c r="A4" s="40" t="s">
        <v>6</v>
      </c>
      <c r="B4" s="26"/>
      <c r="E4" s="27"/>
      <c r="F4" s="47"/>
      <c r="G4" s="52" t="s">
        <v>7</v>
      </c>
      <c r="I4" s="6">
        <v>12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30000</v>
      </c>
      <c r="C6" s="17">
        <f>I1/I4</f>
        <v>2500</v>
      </c>
      <c r="D6" s="17">
        <f>(B6*0.015)</f>
        <v>450</v>
      </c>
      <c r="E6" s="17">
        <f t="shared" ref="E6:E17" si="0">$C$6+D6</f>
        <v>2950</v>
      </c>
      <c r="F6" s="17"/>
      <c r="G6" s="17"/>
      <c r="H6" s="18"/>
      <c r="I6" s="19"/>
    </row>
    <row r="7" spans="1:9" x14ac:dyDescent="0.3">
      <c r="A7" s="20" t="s">
        <v>18</v>
      </c>
      <c r="B7" s="8">
        <v>27500</v>
      </c>
      <c r="C7" s="8">
        <f t="shared" ref="C7:C17" si="1">$C$6</f>
        <v>2500</v>
      </c>
      <c r="D7" s="8">
        <f t="shared" ref="D7:D17" si="2">(B7*0.015)</f>
        <v>412.5</v>
      </c>
      <c r="E7" s="8">
        <f t="shared" si="0"/>
        <v>2912.5</v>
      </c>
      <c r="F7" s="8"/>
      <c r="G7" s="8"/>
      <c r="H7" s="10"/>
      <c r="I7" s="21"/>
    </row>
    <row r="8" spans="1:9" x14ac:dyDescent="0.3">
      <c r="A8" s="20" t="s">
        <v>19</v>
      </c>
      <c r="B8" s="8">
        <v>2500</v>
      </c>
      <c r="C8" s="8">
        <f t="shared" si="1"/>
        <v>2500</v>
      </c>
      <c r="D8" s="8">
        <f t="shared" si="2"/>
        <v>37.5</v>
      </c>
      <c r="E8" s="8">
        <f t="shared" si="0"/>
        <v>2537.5</v>
      </c>
      <c r="F8" s="8"/>
      <c r="G8" s="8"/>
      <c r="H8" s="10"/>
      <c r="I8" s="21"/>
    </row>
    <row r="9" spans="1:9" x14ac:dyDescent="0.3">
      <c r="A9" s="20" t="s">
        <v>20</v>
      </c>
      <c r="B9" s="8">
        <v>22500</v>
      </c>
      <c r="C9" s="8">
        <f t="shared" si="1"/>
        <v>2500</v>
      </c>
      <c r="D9" s="8">
        <f t="shared" si="2"/>
        <v>337.5</v>
      </c>
      <c r="E9" s="8">
        <f t="shared" si="0"/>
        <v>2837.5</v>
      </c>
      <c r="F9" s="8"/>
      <c r="G9" s="8"/>
      <c r="H9" s="10"/>
      <c r="I9" s="21"/>
    </row>
    <row r="10" spans="1:9" x14ac:dyDescent="0.3">
      <c r="A10" s="20" t="s">
        <v>21</v>
      </c>
      <c r="B10" s="8">
        <v>20000</v>
      </c>
      <c r="C10" s="8">
        <f t="shared" si="1"/>
        <v>2500</v>
      </c>
      <c r="D10" s="8">
        <f t="shared" si="2"/>
        <v>300</v>
      </c>
      <c r="E10" s="8">
        <f t="shared" si="0"/>
        <v>2800</v>
      </c>
      <c r="F10" s="8"/>
      <c r="G10" s="8"/>
      <c r="H10" s="10"/>
      <c r="I10" s="21"/>
    </row>
    <row r="11" spans="1:9" x14ac:dyDescent="0.3">
      <c r="A11" s="20" t="s">
        <v>23</v>
      </c>
      <c r="B11" s="8">
        <v>17500</v>
      </c>
      <c r="C11" s="8">
        <f t="shared" si="1"/>
        <v>2500</v>
      </c>
      <c r="D11" s="8">
        <f t="shared" si="2"/>
        <v>262.5</v>
      </c>
      <c r="E11" s="8">
        <f t="shared" si="0"/>
        <v>2762.5</v>
      </c>
      <c r="F11" s="8"/>
      <c r="G11" s="8"/>
      <c r="H11" s="10"/>
      <c r="I11" s="21"/>
    </row>
    <row r="12" spans="1:9" x14ac:dyDescent="0.3">
      <c r="A12" s="20" t="s">
        <v>24</v>
      </c>
      <c r="B12" s="8">
        <v>15000</v>
      </c>
      <c r="C12" s="8">
        <f t="shared" si="1"/>
        <v>2500</v>
      </c>
      <c r="D12" s="8">
        <f t="shared" si="2"/>
        <v>225</v>
      </c>
      <c r="E12" s="8">
        <f t="shared" si="0"/>
        <v>2725</v>
      </c>
      <c r="F12" s="8"/>
      <c r="G12" s="8"/>
      <c r="H12" s="10"/>
      <c r="I12" s="21"/>
    </row>
    <row r="13" spans="1:9" x14ac:dyDescent="0.3">
      <c r="A13" s="20" t="s">
        <v>25</v>
      </c>
      <c r="B13" s="8">
        <v>12500</v>
      </c>
      <c r="C13" s="8">
        <f t="shared" si="1"/>
        <v>2500</v>
      </c>
      <c r="D13" s="8">
        <f t="shared" si="2"/>
        <v>187.5</v>
      </c>
      <c r="E13" s="8">
        <f t="shared" si="0"/>
        <v>2687.5</v>
      </c>
      <c r="F13" s="8"/>
      <c r="G13" s="8"/>
      <c r="H13" s="10"/>
      <c r="I13" s="21"/>
    </row>
    <row r="14" spans="1:9" x14ac:dyDescent="0.3">
      <c r="A14" s="20" t="s">
        <v>26</v>
      </c>
      <c r="B14" s="8">
        <v>10000</v>
      </c>
      <c r="C14" s="8">
        <f t="shared" si="1"/>
        <v>2500</v>
      </c>
      <c r="D14" s="8">
        <f t="shared" si="2"/>
        <v>150</v>
      </c>
      <c r="E14" s="8">
        <f t="shared" si="0"/>
        <v>2650</v>
      </c>
      <c r="F14" s="8"/>
      <c r="G14" s="8"/>
      <c r="H14" s="10"/>
      <c r="I14" s="21"/>
    </row>
    <row r="15" spans="1:9" x14ac:dyDescent="0.3">
      <c r="A15" s="20" t="s">
        <v>27</v>
      </c>
      <c r="B15" s="8">
        <v>7500</v>
      </c>
      <c r="C15" s="8">
        <f t="shared" si="1"/>
        <v>2500</v>
      </c>
      <c r="D15" s="8">
        <f t="shared" si="2"/>
        <v>112.5</v>
      </c>
      <c r="E15" s="8">
        <f t="shared" si="0"/>
        <v>2612.5</v>
      </c>
      <c r="F15" s="8"/>
      <c r="G15" s="8"/>
      <c r="H15" s="10"/>
      <c r="I15" s="21"/>
    </row>
    <row r="16" spans="1:9" x14ac:dyDescent="0.3">
      <c r="A16" s="20" t="s">
        <v>28</v>
      </c>
      <c r="B16" s="8">
        <v>5000</v>
      </c>
      <c r="C16" s="8">
        <f t="shared" si="1"/>
        <v>2500</v>
      </c>
      <c r="D16" s="8">
        <f t="shared" si="2"/>
        <v>75</v>
      </c>
      <c r="E16" s="8">
        <f t="shared" si="0"/>
        <v>2575</v>
      </c>
      <c r="F16" s="8"/>
      <c r="G16" s="8"/>
      <c r="H16" s="10"/>
      <c r="I16" s="21"/>
    </row>
    <row r="17" spans="1:9" x14ac:dyDescent="0.3">
      <c r="A17" s="20" t="s">
        <v>29</v>
      </c>
      <c r="B17" s="8">
        <v>2500</v>
      </c>
      <c r="C17" s="8">
        <f t="shared" si="1"/>
        <v>2500</v>
      </c>
      <c r="D17" s="8">
        <f t="shared" si="2"/>
        <v>37.5</v>
      </c>
      <c r="E17" s="8">
        <f t="shared" si="0"/>
        <v>2537.5</v>
      </c>
      <c r="F17" s="8"/>
      <c r="G17" s="8"/>
      <c r="H17" s="10"/>
      <c r="I17" s="21" t="s">
        <v>42</v>
      </c>
    </row>
    <row r="22" spans="1:9" x14ac:dyDescent="0.3">
      <c r="A22" s="40" t="s">
        <v>0</v>
      </c>
      <c r="B22" s="41" t="s">
        <v>95</v>
      </c>
      <c r="C22" s="41"/>
      <c r="D22" s="41"/>
      <c r="F22" s="2"/>
      <c r="G22" s="2" t="s">
        <v>1</v>
      </c>
      <c r="I22" s="3">
        <v>30000</v>
      </c>
    </row>
    <row r="23" spans="1:9" x14ac:dyDescent="0.3">
      <c r="A23" s="40" t="s">
        <v>2</v>
      </c>
      <c r="B23" s="4"/>
      <c r="D23" s="4"/>
      <c r="E23" s="1"/>
      <c r="F23" s="1"/>
      <c r="G23" s="2" t="s">
        <v>3</v>
      </c>
      <c r="I23" s="9" t="s">
        <v>96</v>
      </c>
    </row>
    <row r="24" spans="1:9" x14ac:dyDescent="0.3">
      <c r="A24" s="40" t="s">
        <v>4</v>
      </c>
      <c r="B24" s="6"/>
      <c r="D24" s="6"/>
      <c r="E24" s="1"/>
      <c r="F24" s="1"/>
      <c r="G24" s="2" t="s">
        <v>5</v>
      </c>
      <c r="H24" s="2"/>
      <c r="I24" s="7">
        <v>1.4999999999999999E-2</v>
      </c>
    </row>
    <row r="25" spans="1:9" ht="15" thickBot="1" x14ac:dyDescent="0.35">
      <c r="A25" s="40" t="s">
        <v>6</v>
      </c>
      <c r="B25" s="26"/>
      <c r="C25" s="26"/>
      <c r="D25" s="27"/>
      <c r="E25" s="27"/>
      <c r="F25" s="27"/>
      <c r="G25" s="52" t="s">
        <v>7</v>
      </c>
      <c r="I25" s="6">
        <v>12</v>
      </c>
    </row>
    <row r="26" spans="1:9" ht="87" thickBot="1" x14ac:dyDescent="0.35">
      <c r="A26" s="11" t="s">
        <v>8</v>
      </c>
      <c r="B26" s="11" t="s">
        <v>9</v>
      </c>
      <c r="C26" s="11" t="s">
        <v>10</v>
      </c>
      <c r="D26" s="12" t="s">
        <v>11</v>
      </c>
      <c r="E26" s="13" t="s">
        <v>12</v>
      </c>
      <c r="F26" s="14" t="s">
        <v>13</v>
      </c>
      <c r="G26" s="14" t="s">
        <v>14</v>
      </c>
      <c r="H26" s="14" t="s">
        <v>15</v>
      </c>
      <c r="I26" s="15" t="s">
        <v>16</v>
      </c>
    </row>
    <row r="27" spans="1:9" x14ac:dyDescent="0.3">
      <c r="A27" s="16" t="s">
        <v>17</v>
      </c>
      <c r="B27" s="17">
        <f>I22</f>
        <v>30000</v>
      </c>
      <c r="C27" s="17">
        <f>I22/I25</f>
        <v>2500</v>
      </c>
      <c r="D27" s="17">
        <f>(B27*0.015)</f>
        <v>450</v>
      </c>
      <c r="E27" s="17">
        <f t="shared" ref="E27:E40" si="3">$C$6+D27</f>
        <v>2950</v>
      </c>
      <c r="F27" s="17"/>
      <c r="G27" s="17"/>
      <c r="H27" s="18"/>
      <c r="I27" s="19"/>
    </row>
    <row r="28" spans="1:9" x14ac:dyDescent="0.3">
      <c r="A28" s="20" t="s">
        <v>18</v>
      </c>
      <c r="B28" s="8">
        <v>27500</v>
      </c>
      <c r="C28" s="8">
        <f t="shared" ref="C28:C40" si="4">$C$6</f>
        <v>2500</v>
      </c>
      <c r="D28" s="8">
        <f t="shared" ref="D28:D38" si="5">(B28*0.015)</f>
        <v>412.5</v>
      </c>
      <c r="E28" s="8">
        <f t="shared" si="3"/>
        <v>2912.5</v>
      </c>
      <c r="F28" s="8"/>
      <c r="G28" s="8"/>
      <c r="H28" s="10"/>
      <c r="I28" s="21"/>
    </row>
    <row r="29" spans="1:9" x14ac:dyDescent="0.3">
      <c r="A29" s="20" t="s">
        <v>19</v>
      </c>
      <c r="B29" s="8">
        <v>2500</v>
      </c>
      <c r="C29" s="8">
        <f t="shared" si="4"/>
        <v>2500</v>
      </c>
      <c r="D29" s="8">
        <f t="shared" si="5"/>
        <v>37.5</v>
      </c>
      <c r="E29" s="8">
        <f t="shared" si="3"/>
        <v>2537.5</v>
      </c>
      <c r="F29" s="8"/>
      <c r="G29" s="8"/>
      <c r="H29" s="10"/>
      <c r="I29" s="21"/>
    </row>
    <row r="30" spans="1:9" x14ac:dyDescent="0.3">
      <c r="A30" s="20" t="s">
        <v>20</v>
      </c>
      <c r="B30" s="8">
        <v>22500</v>
      </c>
      <c r="C30" s="8">
        <f t="shared" si="4"/>
        <v>2500</v>
      </c>
      <c r="D30" s="8">
        <f t="shared" si="5"/>
        <v>337.5</v>
      </c>
      <c r="E30" s="8">
        <f t="shared" si="3"/>
        <v>2837.5</v>
      </c>
      <c r="F30" s="8"/>
      <c r="G30" s="8"/>
      <c r="H30" s="10"/>
      <c r="I30" s="21"/>
    </row>
    <row r="31" spans="1:9" x14ac:dyDescent="0.3">
      <c r="A31" s="20" t="s">
        <v>21</v>
      </c>
      <c r="B31" s="8">
        <v>20000</v>
      </c>
      <c r="C31" s="8">
        <f t="shared" si="4"/>
        <v>2500</v>
      </c>
      <c r="D31" s="8">
        <f t="shared" si="5"/>
        <v>300</v>
      </c>
      <c r="E31" s="8">
        <f t="shared" si="3"/>
        <v>2800</v>
      </c>
      <c r="F31" s="8"/>
      <c r="G31" s="8"/>
      <c r="H31" s="10"/>
      <c r="I31" s="21"/>
    </row>
    <row r="32" spans="1:9" x14ac:dyDescent="0.3">
      <c r="A32" s="20" t="s">
        <v>23</v>
      </c>
      <c r="B32" s="8">
        <v>17500</v>
      </c>
      <c r="C32" s="8">
        <f t="shared" si="4"/>
        <v>2500</v>
      </c>
      <c r="D32" s="8">
        <f t="shared" si="5"/>
        <v>262.5</v>
      </c>
      <c r="E32" s="8">
        <f t="shared" si="3"/>
        <v>2762.5</v>
      </c>
      <c r="F32" s="8"/>
      <c r="G32" s="8"/>
      <c r="H32" s="10"/>
      <c r="I32" s="21"/>
    </row>
    <row r="33" spans="1:9" x14ac:dyDescent="0.3">
      <c r="A33" s="20" t="s">
        <v>24</v>
      </c>
      <c r="B33" s="8">
        <v>15000</v>
      </c>
      <c r="C33" s="8">
        <f t="shared" si="4"/>
        <v>2500</v>
      </c>
      <c r="D33" s="8">
        <f t="shared" si="5"/>
        <v>225</v>
      </c>
      <c r="E33" s="8">
        <f t="shared" si="3"/>
        <v>2725</v>
      </c>
      <c r="F33" s="8"/>
      <c r="G33" s="8"/>
      <c r="H33" s="10"/>
      <c r="I33" s="21"/>
    </row>
    <row r="34" spans="1:9" x14ac:dyDescent="0.3">
      <c r="A34" s="20" t="s">
        <v>25</v>
      </c>
      <c r="B34" s="8">
        <v>12500</v>
      </c>
      <c r="C34" s="8">
        <f t="shared" si="4"/>
        <v>2500</v>
      </c>
      <c r="D34" s="8">
        <f t="shared" si="5"/>
        <v>187.5</v>
      </c>
      <c r="E34" s="8">
        <f t="shared" si="3"/>
        <v>2687.5</v>
      </c>
      <c r="F34" s="8"/>
      <c r="G34" s="8"/>
      <c r="H34" s="10"/>
      <c r="I34" s="21"/>
    </row>
    <row r="35" spans="1:9" x14ac:dyDescent="0.3">
      <c r="A35" s="20" t="s">
        <v>26</v>
      </c>
      <c r="B35" s="8">
        <v>10000</v>
      </c>
      <c r="C35" s="8">
        <f t="shared" si="4"/>
        <v>2500</v>
      </c>
      <c r="D35" s="8">
        <f t="shared" si="5"/>
        <v>150</v>
      </c>
      <c r="E35" s="8">
        <f t="shared" si="3"/>
        <v>2650</v>
      </c>
      <c r="F35" s="8"/>
      <c r="G35" s="8"/>
      <c r="H35" s="10"/>
      <c r="I35" s="21"/>
    </row>
    <row r="36" spans="1:9" x14ac:dyDescent="0.3">
      <c r="A36" s="20" t="s">
        <v>27</v>
      </c>
      <c r="B36" s="8">
        <v>7500</v>
      </c>
      <c r="C36" s="8">
        <f t="shared" si="4"/>
        <v>2500</v>
      </c>
      <c r="D36" s="8">
        <f t="shared" si="5"/>
        <v>112.5</v>
      </c>
      <c r="E36" s="8">
        <f t="shared" si="3"/>
        <v>2612.5</v>
      </c>
      <c r="F36" s="8"/>
      <c r="G36" s="8"/>
      <c r="H36" s="10"/>
      <c r="I36" s="21"/>
    </row>
    <row r="37" spans="1:9" x14ac:dyDescent="0.3">
      <c r="A37" s="20" t="s">
        <v>28</v>
      </c>
      <c r="B37" s="8">
        <v>5000</v>
      </c>
      <c r="C37" s="8">
        <f t="shared" si="4"/>
        <v>2500</v>
      </c>
      <c r="D37" s="8">
        <f t="shared" si="5"/>
        <v>75</v>
      </c>
      <c r="E37" s="8">
        <f t="shared" si="3"/>
        <v>2575</v>
      </c>
      <c r="F37" s="8"/>
      <c r="G37" s="8"/>
      <c r="H37" s="10"/>
      <c r="I37" s="21"/>
    </row>
    <row r="38" spans="1:9" x14ac:dyDescent="0.3">
      <c r="A38" s="20" t="s">
        <v>29</v>
      </c>
      <c r="B38" s="8">
        <v>2500</v>
      </c>
      <c r="C38" s="8">
        <f t="shared" si="4"/>
        <v>2500</v>
      </c>
      <c r="D38" s="8">
        <f t="shared" si="5"/>
        <v>37.5</v>
      </c>
      <c r="E38" s="8">
        <f t="shared" si="3"/>
        <v>2537.5</v>
      </c>
      <c r="F38" s="8"/>
      <c r="G38" s="8"/>
      <c r="H38" s="10"/>
      <c r="I38" s="21"/>
    </row>
    <row r="39" spans="1:9" x14ac:dyDescent="0.3">
      <c r="A39" s="20" t="s">
        <v>28</v>
      </c>
      <c r="B39" s="8">
        <v>5000</v>
      </c>
      <c r="C39" s="8">
        <f t="shared" si="4"/>
        <v>2500</v>
      </c>
      <c r="D39" s="8">
        <f t="shared" ref="D39:D40" si="6">(B39*0.015)</f>
        <v>75</v>
      </c>
      <c r="E39" s="8">
        <f t="shared" si="3"/>
        <v>2575</v>
      </c>
      <c r="F39" s="8"/>
      <c r="G39" s="8"/>
      <c r="H39" s="10"/>
      <c r="I39" s="21"/>
    </row>
    <row r="40" spans="1:9" x14ac:dyDescent="0.3">
      <c r="A40" s="20" t="s">
        <v>29</v>
      </c>
      <c r="B40" s="8">
        <v>2500</v>
      </c>
      <c r="C40" s="8">
        <f t="shared" si="4"/>
        <v>2500</v>
      </c>
      <c r="D40" s="8">
        <f t="shared" si="6"/>
        <v>37.5</v>
      </c>
      <c r="E40" s="8">
        <f t="shared" si="3"/>
        <v>2537.5</v>
      </c>
      <c r="F40" s="8"/>
      <c r="G40" s="8"/>
      <c r="H40" s="10"/>
      <c r="I40" s="21" t="s">
        <v>42</v>
      </c>
    </row>
    <row r="41" spans="1:9" x14ac:dyDescent="0.3">
      <c r="E41" s="38"/>
    </row>
  </sheetData>
  <pageMargins left="0.25" right="0.25" top="0.75" bottom="0.75" header="0.3" footer="0.3"/>
  <pageSetup paperSize="5" orientation="portrait" horizontalDpi="4294967293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5B7B-03CF-4690-8E98-2767B53DF356}">
  <dimension ref="A2:I131"/>
  <sheetViews>
    <sheetView topLeftCell="A101" workbookViewId="0">
      <selection activeCell="A104" sqref="A104:I111"/>
    </sheetView>
  </sheetViews>
  <sheetFormatPr defaultRowHeight="14.4" x14ac:dyDescent="0.3"/>
  <cols>
    <col min="1" max="1" width="19.77734375" customWidth="1"/>
    <col min="2" max="2" width="10.21875" customWidth="1"/>
    <col min="3" max="3" width="10.33203125" customWidth="1"/>
  </cols>
  <sheetData>
    <row r="2" spans="1:9" x14ac:dyDescent="0.3">
      <c r="A2" s="40" t="s">
        <v>0</v>
      </c>
      <c r="B2" s="238" t="s">
        <v>112</v>
      </c>
      <c r="C2" s="238"/>
      <c r="D2" s="238"/>
      <c r="F2" s="2"/>
      <c r="G2" s="235" t="s">
        <v>1</v>
      </c>
      <c r="H2" s="235"/>
      <c r="I2" s="3">
        <v>10000</v>
      </c>
    </row>
    <row r="3" spans="1:9" x14ac:dyDescent="0.3">
      <c r="A3" s="40" t="s">
        <v>2</v>
      </c>
      <c r="B3" s="4"/>
      <c r="D3" s="4"/>
      <c r="E3" s="1"/>
      <c r="F3" s="1"/>
      <c r="G3" s="5"/>
      <c r="H3" s="1" t="s">
        <v>3</v>
      </c>
      <c r="I3" s="9" t="s">
        <v>68</v>
      </c>
    </row>
    <row r="4" spans="1:9" x14ac:dyDescent="0.3">
      <c r="A4" s="40" t="s">
        <v>4</v>
      </c>
      <c r="B4" s="6"/>
      <c r="D4" s="6"/>
      <c r="E4" s="235" t="s">
        <v>5</v>
      </c>
      <c r="F4" s="235"/>
      <c r="G4" s="235"/>
      <c r="H4" s="235"/>
      <c r="I4" s="7">
        <v>1.4999999999999999E-2</v>
      </c>
    </row>
    <row r="5" spans="1:9" ht="15" thickBot="1" x14ac:dyDescent="0.35">
      <c r="A5" s="40" t="s">
        <v>6</v>
      </c>
      <c r="B5" s="236"/>
      <c r="C5" s="236"/>
      <c r="D5" s="237" t="s">
        <v>7</v>
      </c>
      <c r="E5" s="237"/>
      <c r="F5" s="237"/>
      <c r="G5" s="237"/>
      <c r="H5" s="237"/>
      <c r="I5" s="6">
        <v>3</v>
      </c>
    </row>
    <row r="6" spans="1:9" ht="72.599999999999994" thickBot="1" x14ac:dyDescent="0.35">
      <c r="A6" s="11" t="s">
        <v>8</v>
      </c>
      <c r="B6" s="11" t="s">
        <v>9</v>
      </c>
      <c r="C6" s="11" t="s">
        <v>10</v>
      </c>
      <c r="D6" s="12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5" t="s">
        <v>16</v>
      </c>
    </row>
    <row r="7" spans="1:9" x14ac:dyDescent="0.3">
      <c r="A7" s="16" t="s">
        <v>17</v>
      </c>
      <c r="B7" s="17">
        <f>I2</f>
        <v>10000</v>
      </c>
      <c r="C7" s="17">
        <f>I2/I5</f>
        <v>3333.3333333333335</v>
      </c>
      <c r="D7" s="17">
        <f>(B7*0.015)</f>
        <v>150</v>
      </c>
      <c r="E7" s="17">
        <f>$C$7+D7</f>
        <v>3483.3333333333335</v>
      </c>
      <c r="F7" s="17"/>
      <c r="G7" s="17"/>
      <c r="H7" s="18"/>
      <c r="I7" s="19"/>
    </row>
    <row r="8" spans="1:9" x14ac:dyDescent="0.3">
      <c r="A8" s="20" t="s">
        <v>18</v>
      </c>
      <c r="B8" s="8">
        <v>6667</v>
      </c>
      <c r="C8" s="8">
        <f>$C$7</f>
        <v>3333.3333333333335</v>
      </c>
      <c r="D8" s="8">
        <f t="shared" ref="D8:D9" si="0">(B8*0.015)</f>
        <v>100.005</v>
      </c>
      <c r="E8" s="8">
        <f t="shared" ref="E8:E9" si="1">$C$7+D8</f>
        <v>3433.3383333333336</v>
      </c>
      <c r="F8" s="8"/>
      <c r="G8" s="8"/>
      <c r="H8" s="10"/>
      <c r="I8" s="21"/>
    </row>
    <row r="9" spans="1:9" x14ac:dyDescent="0.3">
      <c r="A9" s="20" t="s">
        <v>19</v>
      </c>
      <c r="B9" s="8">
        <v>3333</v>
      </c>
      <c r="C9" s="8">
        <f t="shared" ref="C9" si="2">$C$7</f>
        <v>3333.3333333333335</v>
      </c>
      <c r="D9" s="8">
        <f t="shared" si="0"/>
        <v>49.994999999999997</v>
      </c>
      <c r="E9" s="8">
        <f t="shared" si="1"/>
        <v>3383.3283333333334</v>
      </c>
      <c r="F9" s="8"/>
      <c r="G9" s="8"/>
      <c r="H9" s="10"/>
      <c r="I9" s="21" t="s">
        <v>42</v>
      </c>
    </row>
    <row r="15" spans="1:9" x14ac:dyDescent="0.3">
      <c r="A15" s="40" t="s">
        <v>0</v>
      </c>
      <c r="B15" s="238" t="s">
        <v>113</v>
      </c>
      <c r="C15" s="238"/>
      <c r="D15" s="238"/>
      <c r="F15" s="51" t="s">
        <v>105</v>
      </c>
      <c r="G15" s="235" t="s">
        <v>1</v>
      </c>
      <c r="H15" s="235"/>
      <c r="I15" s="3">
        <v>10000</v>
      </c>
    </row>
    <row r="16" spans="1:9" x14ac:dyDescent="0.3">
      <c r="A16" s="40" t="s">
        <v>2</v>
      </c>
      <c r="B16" s="4"/>
      <c r="D16" s="4"/>
      <c r="E16" s="1"/>
      <c r="F16" s="1"/>
      <c r="G16" s="5"/>
      <c r="H16" s="1" t="s">
        <v>3</v>
      </c>
      <c r="I16" s="9" t="s">
        <v>114</v>
      </c>
    </row>
    <row r="17" spans="1:9" x14ac:dyDescent="0.3">
      <c r="A17" s="40" t="s">
        <v>4</v>
      </c>
      <c r="B17" s="6"/>
      <c r="D17" s="6"/>
      <c r="E17" s="235" t="s">
        <v>5</v>
      </c>
      <c r="F17" s="235"/>
      <c r="G17" s="235"/>
      <c r="H17" s="235"/>
      <c r="I17" s="7">
        <v>1.4999999999999999E-2</v>
      </c>
    </row>
    <row r="18" spans="1:9" ht="15" thickBot="1" x14ac:dyDescent="0.35">
      <c r="A18" s="40" t="s">
        <v>6</v>
      </c>
      <c r="B18" s="236"/>
      <c r="C18" s="236"/>
      <c r="D18" s="237" t="s">
        <v>7</v>
      </c>
      <c r="E18" s="237"/>
      <c r="F18" s="237"/>
      <c r="G18" s="237"/>
      <c r="H18" s="237"/>
      <c r="I18" s="6">
        <v>3</v>
      </c>
    </row>
    <row r="19" spans="1:9" ht="72.599999999999994" thickBot="1" x14ac:dyDescent="0.35">
      <c r="A19" s="11" t="s">
        <v>8</v>
      </c>
      <c r="B19" s="11" t="s">
        <v>9</v>
      </c>
      <c r="C19" s="11" t="s">
        <v>10</v>
      </c>
      <c r="D19" s="12" t="s">
        <v>11</v>
      </c>
      <c r="E19" s="13" t="s">
        <v>12</v>
      </c>
      <c r="F19" s="14" t="s">
        <v>13</v>
      </c>
      <c r="G19" s="14" t="s">
        <v>14</v>
      </c>
      <c r="H19" s="14" t="s">
        <v>15</v>
      </c>
      <c r="I19" s="15" t="s">
        <v>16</v>
      </c>
    </row>
    <row r="20" spans="1:9" x14ac:dyDescent="0.3">
      <c r="A20" s="16" t="s">
        <v>17</v>
      </c>
      <c r="B20" s="17">
        <f>I15</f>
        <v>10000</v>
      </c>
      <c r="C20" s="17">
        <f>I15/I18</f>
        <v>3333.3333333333335</v>
      </c>
      <c r="D20" s="17">
        <f>(B20*0.015)</f>
        <v>150</v>
      </c>
      <c r="E20" s="17">
        <f>$C$7+D20</f>
        <v>3483.3333333333335</v>
      </c>
      <c r="F20" s="17"/>
      <c r="G20" s="17"/>
      <c r="H20" s="18"/>
      <c r="I20" s="19"/>
    </row>
    <row r="21" spans="1:9" x14ac:dyDescent="0.3">
      <c r="A21" s="20" t="s">
        <v>18</v>
      </c>
      <c r="B21" s="8">
        <v>6667</v>
      </c>
      <c r="C21" s="8">
        <f>$C$7</f>
        <v>3333.3333333333335</v>
      </c>
      <c r="D21" s="8">
        <f t="shared" ref="D21:D22" si="3">(B21*0.015)</f>
        <v>100.005</v>
      </c>
      <c r="E21" s="8">
        <f t="shared" ref="E21:E22" si="4">$C$7+D21</f>
        <v>3433.3383333333336</v>
      </c>
      <c r="F21" s="8"/>
      <c r="G21" s="8"/>
      <c r="H21" s="10"/>
      <c r="I21" s="21"/>
    </row>
    <row r="22" spans="1:9" x14ac:dyDescent="0.3">
      <c r="A22" s="20" t="s">
        <v>19</v>
      </c>
      <c r="B22" s="8">
        <v>3333</v>
      </c>
      <c r="C22" s="8">
        <f t="shared" ref="C22" si="5">$C$7</f>
        <v>3333.3333333333335</v>
      </c>
      <c r="D22" s="8">
        <f t="shared" si="3"/>
        <v>49.994999999999997</v>
      </c>
      <c r="E22" s="8">
        <f t="shared" si="4"/>
        <v>3383.3283333333334</v>
      </c>
      <c r="F22" s="8"/>
      <c r="G22" s="8"/>
      <c r="H22" s="10"/>
      <c r="I22" s="21" t="s">
        <v>42</v>
      </c>
    </row>
    <row r="28" spans="1:9" x14ac:dyDescent="0.3">
      <c r="A28" s="40" t="s">
        <v>0</v>
      </c>
      <c r="B28" s="238" t="s">
        <v>87</v>
      </c>
      <c r="C28" s="238"/>
      <c r="D28" s="238"/>
      <c r="F28" s="51" t="s">
        <v>105</v>
      </c>
      <c r="G28" s="235" t="s">
        <v>1</v>
      </c>
      <c r="H28" s="235"/>
      <c r="I28" s="3">
        <v>10000</v>
      </c>
    </row>
    <row r="29" spans="1:9" x14ac:dyDescent="0.3">
      <c r="A29" s="40" t="s">
        <v>2</v>
      </c>
      <c r="B29" s="4"/>
      <c r="D29" s="4"/>
      <c r="E29" s="1"/>
      <c r="F29" s="1"/>
      <c r="G29" s="5"/>
      <c r="H29" s="1" t="s">
        <v>3</v>
      </c>
      <c r="I29" s="9" t="s">
        <v>115</v>
      </c>
    </row>
    <row r="30" spans="1:9" x14ac:dyDescent="0.3">
      <c r="A30" s="40" t="s">
        <v>4</v>
      </c>
      <c r="B30" s="6"/>
      <c r="D30" s="6"/>
      <c r="E30" s="235" t="s">
        <v>5</v>
      </c>
      <c r="F30" s="235"/>
      <c r="G30" s="235"/>
      <c r="H30" s="235"/>
      <c r="I30" s="7">
        <v>1.4999999999999999E-2</v>
      </c>
    </row>
    <row r="31" spans="1:9" ht="15" thickBot="1" x14ac:dyDescent="0.35">
      <c r="A31" s="40" t="s">
        <v>6</v>
      </c>
      <c r="B31" s="236"/>
      <c r="C31" s="236"/>
      <c r="D31" s="237" t="s">
        <v>7</v>
      </c>
      <c r="E31" s="237"/>
      <c r="F31" s="237"/>
      <c r="G31" s="237"/>
      <c r="H31" s="237"/>
      <c r="I31" s="6">
        <v>3</v>
      </c>
    </row>
    <row r="32" spans="1:9" ht="72.599999999999994" thickBot="1" x14ac:dyDescent="0.35">
      <c r="A32" s="11" t="s">
        <v>8</v>
      </c>
      <c r="B32" s="11" t="s">
        <v>9</v>
      </c>
      <c r="C32" s="11" t="s">
        <v>10</v>
      </c>
      <c r="D32" s="12" t="s">
        <v>11</v>
      </c>
      <c r="E32" s="13" t="s">
        <v>12</v>
      </c>
      <c r="F32" s="14" t="s">
        <v>13</v>
      </c>
      <c r="G32" s="14" t="s">
        <v>14</v>
      </c>
      <c r="H32" s="14" t="s">
        <v>15</v>
      </c>
      <c r="I32" s="15" t="s">
        <v>16</v>
      </c>
    </row>
    <row r="33" spans="1:9" x14ac:dyDescent="0.3">
      <c r="A33" s="16" t="s">
        <v>17</v>
      </c>
      <c r="B33" s="17">
        <f>I28</f>
        <v>10000</v>
      </c>
      <c r="C33" s="17">
        <f>I28/I31</f>
        <v>3333.3333333333335</v>
      </c>
      <c r="D33" s="17">
        <f>(B33*0.015)</f>
        <v>150</v>
      </c>
      <c r="E33" s="17">
        <f>$C$7+D33</f>
        <v>3483.3333333333335</v>
      </c>
      <c r="F33" s="17"/>
      <c r="G33" s="17"/>
      <c r="H33" s="18"/>
      <c r="I33" s="19"/>
    </row>
    <row r="34" spans="1:9" x14ac:dyDescent="0.3">
      <c r="A34" s="20" t="s">
        <v>18</v>
      </c>
      <c r="B34" s="8">
        <v>6667</v>
      </c>
      <c r="C34" s="8">
        <f>$C$7</f>
        <v>3333.3333333333335</v>
      </c>
      <c r="D34" s="8">
        <f t="shared" ref="D34:D35" si="6">(B34*0.015)</f>
        <v>100.005</v>
      </c>
      <c r="E34" s="8">
        <f t="shared" ref="E34:E35" si="7">$C$7+D34</f>
        <v>3433.3383333333336</v>
      </c>
      <c r="F34" s="8"/>
      <c r="G34" s="8"/>
      <c r="H34" s="10"/>
      <c r="I34" s="21"/>
    </row>
    <row r="35" spans="1:9" x14ac:dyDescent="0.3">
      <c r="A35" s="20" t="s">
        <v>19</v>
      </c>
      <c r="B35" s="8">
        <v>3333</v>
      </c>
      <c r="C35" s="8">
        <f t="shared" ref="C35" si="8">$C$7</f>
        <v>3333.3333333333335</v>
      </c>
      <c r="D35" s="8">
        <f t="shared" si="6"/>
        <v>49.994999999999997</v>
      </c>
      <c r="E35" s="8">
        <f t="shared" si="7"/>
        <v>3383.3283333333334</v>
      </c>
      <c r="F35" s="8"/>
      <c r="G35" s="8"/>
      <c r="H35" s="10"/>
      <c r="I35" s="21" t="s">
        <v>42</v>
      </c>
    </row>
    <row r="45" spans="1:9" x14ac:dyDescent="0.3">
      <c r="A45" s="40" t="s">
        <v>0</v>
      </c>
      <c r="B45" s="238" t="s">
        <v>116</v>
      </c>
      <c r="C45" s="238"/>
      <c r="D45" s="238"/>
      <c r="F45" s="51" t="s">
        <v>105</v>
      </c>
      <c r="G45" s="235" t="s">
        <v>1</v>
      </c>
      <c r="H45" s="235"/>
      <c r="I45" s="3">
        <v>10000</v>
      </c>
    </row>
    <row r="46" spans="1:9" x14ac:dyDescent="0.3">
      <c r="A46" s="40" t="s">
        <v>2</v>
      </c>
      <c r="B46" s="4"/>
      <c r="D46" s="4"/>
      <c r="E46" s="1"/>
      <c r="F46" s="1"/>
      <c r="G46" s="5"/>
      <c r="H46" s="1" t="s">
        <v>3</v>
      </c>
      <c r="I46" s="9" t="s">
        <v>107</v>
      </c>
    </row>
    <row r="47" spans="1:9" x14ac:dyDescent="0.3">
      <c r="A47" s="40" t="s">
        <v>4</v>
      </c>
      <c r="B47" s="6"/>
      <c r="D47" s="6"/>
      <c r="E47" s="1" t="s">
        <v>5</v>
      </c>
      <c r="F47" s="1"/>
      <c r="G47" s="1"/>
      <c r="H47" s="1"/>
      <c r="I47" s="7">
        <v>1.4999999999999999E-2</v>
      </c>
    </row>
    <row r="48" spans="1:9" ht="15" thickBot="1" x14ac:dyDescent="0.35">
      <c r="A48" s="40" t="s">
        <v>6</v>
      </c>
      <c r="B48" s="26"/>
      <c r="C48" s="26"/>
      <c r="D48" s="27" t="s">
        <v>7</v>
      </c>
      <c r="E48" s="27"/>
      <c r="F48" s="27"/>
      <c r="G48" s="27"/>
      <c r="H48" s="27"/>
      <c r="I48" s="6">
        <v>3</v>
      </c>
    </row>
    <row r="49" spans="1:9" ht="72.599999999999994" thickBot="1" x14ac:dyDescent="0.35">
      <c r="A49" s="11" t="s">
        <v>8</v>
      </c>
      <c r="B49" s="11" t="s">
        <v>9</v>
      </c>
      <c r="C49" s="11" t="s">
        <v>10</v>
      </c>
      <c r="D49" s="12" t="s">
        <v>11</v>
      </c>
      <c r="E49" s="13" t="s">
        <v>12</v>
      </c>
      <c r="F49" s="14" t="s">
        <v>13</v>
      </c>
      <c r="G49" s="14" t="s">
        <v>14</v>
      </c>
      <c r="H49" s="14" t="s">
        <v>15</v>
      </c>
      <c r="I49" s="15" t="s">
        <v>16</v>
      </c>
    </row>
    <row r="50" spans="1:9" x14ac:dyDescent="0.3">
      <c r="A50" s="16" t="s">
        <v>17</v>
      </c>
      <c r="B50" s="17">
        <f>I45</f>
        <v>10000</v>
      </c>
      <c r="C50" s="17">
        <f>I45/I48</f>
        <v>3333.3333333333335</v>
      </c>
      <c r="D50" s="17">
        <f>(B50*0.015)</f>
        <v>150</v>
      </c>
      <c r="E50" s="17">
        <f>$C$7+D50</f>
        <v>3483.3333333333335</v>
      </c>
      <c r="F50" s="17"/>
      <c r="G50" s="17"/>
      <c r="H50" s="18"/>
      <c r="I50" s="19"/>
    </row>
    <row r="51" spans="1:9" x14ac:dyDescent="0.3">
      <c r="A51" s="20" t="s">
        <v>18</v>
      </c>
      <c r="B51" s="8">
        <v>6667</v>
      </c>
      <c r="C51" s="8">
        <f>$C$7</f>
        <v>3333.3333333333335</v>
      </c>
      <c r="D51" s="8">
        <f t="shared" ref="D51:D52" si="9">(B51*0.015)</f>
        <v>100.005</v>
      </c>
      <c r="E51" s="8">
        <f t="shared" ref="E51:E52" si="10">$C$7+D51</f>
        <v>3433.3383333333336</v>
      </c>
      <c r="F51" s="8"/>
      <c r="G51" s="8"/>
      <c r="H51" s="10"/>
      <c r="I51" s="21"/>
    </row>
    <row r="52" spans="1:9" x14ac:dyDescent="0.3">
      <c r="A52" s="20" t="s">
        <v>19</v>
      </c>
      <c r="B52" s="8">
        <v>3333</v>
      </c>
      <c r="C52" s="8">
        <f t="shared" ref="C52" si="11">$C$7</f>
        <v>3333.3333333333335</v>
      </c>
      <c r="D52" s="8">
        <f t="shared" si="9"/>
        <v>49.994999999999997</v>
      </c>
      <c r="E52" s="8">
        <f t="shared" si="10"/>
        <v>3383.3283333333334</v>
      </c>
      <c r="F52" s="8"/>
      <c r="G52" s="8"/>
      <c r="H52" s="10"/>
      <c r="I52" s="21" t="s">
        <v>42</v>
      </c>
    </row>
    <row r="53" spans="1:9" x14ac:dyDescent="0.3">
      <c r="E53" s="38"/>
    </row>
    <row r="57" spans="1:9" x14ac:dyDescent="0.3">
      <c r="A57" s="40" t="s">
        <v>0</v>
      </c>
      <c r="B57" s="41" t="s">
        <v>117</v>
      </c>
      <c r="C57" s="41"/>
      <c r="D57" s="41"/>
      <c r="F57" s="51"/>
      <c r="G57" s="1" t="s">
        <v>1</v>
      </c>
      <c r="H57" s="1"/>
      <c r="I57" s="3">
        <v>10000</v>
      </c>
    </row>
    <row r="58" spans="1:9" x14ac:dyDescent="0.3">
      <c r="A58" s="40" t="s">
        <v>2</v>
      </c>
      <c r="B58" s="4"/>
      <c r="D58" s="4"/>
      <c r="E58" s="1"/>
      <c r="F58" s="1"/>
      <c r="G58" s="5"/>
      <c r="H58" s="1" t="s">
        <v>3</v>
      </c>
      <c r="I58" s="9" t="s">
        <v>133</v>
      </c>
    </row>
    <row r="59" spans="1:9" x14ac:dyDescent="0.3">
      <c r="A59" s="40" t="s">
        <v>4</v>
      </c>
      <c r="B59" s="6"/>
      <c r="D59" s="6"/>
      <c r="E59" s="1" t="s">
        <v>5</v>
      </c>
      <c r="F59" s="1"/>
      <c r="G59" s="1"/>
      <c r="H59" s="1"/>
      <c r="I59" s="7">
        <v>1.4999999999999999E-2</v>
      </c>
    </row>
    <row r="60" spans="1:9" ht="15" thickBot="1" x14ac:dyDescent="0.35">
      <c r="A60" s="40" t="s">
        <v>6</v>
      </c>
      <c r="B60" s="26"/>
      <c r="C60" s="26"/>
      <c r="D60" s="27" t="s">
        <v>7</v>
      </c>
      <c r="E60" s="27"/>
      <c r="F60" s="27"/>
      <c r="G60" s="27"/>
      <c r="H60" s="27"/>
      <c r="I60" s="6">
        <v>3</v>
      </c>
    </row>
    <row r="61" spans="1:9" ht="72.599999999999994" thickBot="1" x14ac:dyDescent="0.35">
      <c r="A61" s="11" t="s">
        <v>8</v>
      </c>
      <c r="B61" s="11" t="s">
        <v>9</v>
      </c>
      <c r="C61" s="11" t="s">
        <v>10</v>
      </c>
      <c r="D61" s="12" t="s">
        <v>11</v>
      </c>
      <c r="E61" s="13" t="s">
        <v>12</v>
      </c>
      <c r="F61" s="14" t="s">
        <v>13</v>
      </c>
      <c r="G61" s="14" t="s">
        <v>14</v>
      </c>
      <c r="H61" s="14" t="s">
        <v>15</v>
      </c>
      <c r="I61" s="15" t="s">
        <v>16</v>
      </c>
    </row>
    <row r="62" spans="1:9" x14ac:dyDescent="0.3">
      <c r="A62" s="16" t="s">
        <v>17</v>
      </c>
      <c r="B62" s="17">
        <f>I57</f>
        <v>10000</v>
      </c>
      <c r="C62" s="17">
        <f>I57/I60</f>
        <v>3333.3333333333335</v>
      </c>
      <c r="D62" s="17">
        <f>(B62*0.015)</f>
        <v>150</v>
      </c>
      <c r="E62" s="17">
        <f>$C$7+D62</f>
        <v>3483.3333333333335</v>
      </c>
      <c r="F62" s="17"/>
      <c r="G62" s="17"/>
      <c r="H62" s="18"/>
      <c r="I62" s="19"/>
    </row>
    <row r="63" spans="1:9" x14ac:dyDescent="0.3">
      <c r="A63" s="20" t="s">
        <v>18</v>
      </c>
      <c r="B63" s="8">
        <v>6667</v>
      </c>
      <c r="C63" s="8">
        <f>$C$7</f>
        <v>3333.3333333333335</v>
      </c>
      <c r="D63" s="8">
        <f t="shared" ref="D63:D64" si="12">(B63*0.015)</f>
        <v>100.005</v>
      </c>
      <c r="E63" s="8">
        <f t="shared" ref="E63:E64" si="13">$C$7+D63</f>
        <v>3433.3383333333336</v>
      </c>
      <c r="F63" s="8"/>
      <c r="G63" s="8"/>
      <c r="H63" s="10"/>
      <c r="I63" s="21"/>
    </row>
    <row r="64" spans="1:9" x14ac:dyDescent="0.3">
      <c r="A64" s="20" t="s">
        <v>19</v>
      </c>
      <c r="B64" s="8">
        <v>3333</v>
      </c>
      <c r="C64" s="8">
        <f t="shared" ref="C64" si="14">$C$7</f>
        <v>3333.3333333333335</v>
      </c>
      <c r="D64" s="8">
        <f t="shared" si="12"/>
        <v>49.994999999999997</v>
      </c>
      <c r="E64" s="8">
        <f t="shared" si="13"/>
        <v>3383.3283333333334</v>
      </c>
      <c r="F64" s="8"/>
      <c r="G64" s="8"/>
      <c r="H64" s="10"/>
      <c r="I64" s="21" t="s">
        <v>42</v>
      </c>
    </row>
    <row r="69" spans="1:9" x14ac:dyDescent="0.3">
      <c r="A69" s="40" t="s">
        <v>0</v>
      </c>
      <c r="B69" s="41" t="s">
        <v>118</v>
      </c>
      <c r="C69" s="41"/>
      <c r="D69" s="41"/>
      <c r="F69" s="51"/>
      <c r="G69" s="1" t="s">
        <v>1</v>
      </c>
      <c r="H69" s="1"/>
      <c r="I69" s="3">
        <v>5000</v>
      </c>
    </row>
    <row r="70" spans="1:9" x14ac:dyDescent="0.3">
      <c r="A70" s="40" t="s">
        <v>2</v>
      </c>
      <c r="B70" s="4"/>
      <c r="D70" s="4"/>
      <c r="E70" s="1"/>
      <c r="F70" s="1"/>
      <c r="G70" s="5"/>
      <c r="H70" s="1" t="s">
        <v>3</v>
      </c>
      <c r="I70" s="9" t="s">
        <v>119</v>
      </c>
    </row>
    <row r="71" spans="1:9" x14ac:dyDescent="0.3">
      <c r="A71" s="40" t="s">
        <v>4</v>
      </c>
      <c r="B71" s="6"/>
      <c r="D71" s="6"/>
      <c r="E71" s="1" t="s">
        <v>5</v>
      </c>
      <c r="F71" s="1"/>
      <c r="G71" s="1"/>
      <c r="H71" s="1"/>
      <c r="I71" s="7">
        <v>1.4999999999999999E-2</v>
      </c>
    </row>
    <row r="72" spans="1:9" ht="15" thickBot="1" x14ac:dyDescent="0.35">
      <c r="A72" s="40" t="s">
        <v>6</v>
      </c>
      <c r="B72" s="26"/>
      <c r="C72" s="26"/>
      <c r="D72" s="27" t="s">
        <v>7</v>
      </c>
      <c r="E72" s="27"/>
      <c r="F72" s="27"/>
      <c r="G72" s="27"/>
      <c r="H72" s="27"/>
      <c r="I72" s="6">
        <v>3</v>
      </c>
    </row>
    <row r="73" spans="1:9" ht="72.599999999999994" thickBot="1" x14ac:dyDescent="0.35">
      <c r="A73" s="11" t="s">
        <v>8</v>
      </c>
      <c r="B73" s="11" t="s">
        <v>9</v>
      </c>
      <c r="C73" s="11" t="s">
        <v>10</v>
      </c>
      <c r="D73" s="12" t="s">
        <v>11</v>
      </c>
      <c r="E73" s="13" t="s">
        <v>12</v>
      </c>
      <c r="F73" s="14" t="s">
        <v>13</v>
      </c>
      <c r="G73" s="14" t="s">
        <v>14</v>
      </c>
      <c r="H73" s="14" t="s">
        <v>15</v>
      </c>
      <c r="I73" s="15" t="s">
        <v>16</v>
      </c>
    </row>
    <row r="74" spans="1:9" x14ac:dyDescent="0.3">
      <c r="A74" s="16" t="s">
        <v>17</v>
      </c>
      <c r="B74" s="17">
        <f>I69</f>
        <v>5000</v>
      </c>
      <c r="C74" s="17">
        <f>I69/I72</f>
        <v>1666.6666666666667</v>
      </c>
      <c r="D74" s="17">
        <f>(B74*0.015)</f>
        <v>75</v>
      </c>
      <c r="E74" s="17">
        <f>SUM(C74:D74)</f>
        <v>1741.6666666666667</v>
      </c>
      <c r="F74" s="17"/>
      <c r="G74" s="17"/>
      <c r="H74" s="18"/>
      <c r="I74" s="19"/>
    </row>
    <row r="75" spans="1:9" x14ac:dyDescent="0.3">
      <c r="A75" s="20" t="s">
        <v>18</v>
      </c>
      <c r="B75" s="8">
        <v>3333</v>
      </c>
      <c r="C75" s="8">
        <v>1667</v>
      </c>
      <c r="D75" s="8">
        <f t="shared" ref="D75:D76" si="15">(B75*0.015)</f>
        <v>49.994999999999997</v>
      </c>
      <c r="E75" s="8">
        <f>SUM(C75:D75)</f>
        <v>1716.9949999999999</v>
      </c>
      <c r="F75" s="8"/>
      <c r="G75" s="8"/>
      <c r="H75" s="10"/>
      <c r="I75" s="21"/>
    </row>
    <row r="76" spans="1:9" x14ac:dyDescent="0.3">
      <c r="A76" s="20" t="s">
        <v>19</v>
      </c>
      <c r="B76" s="8">
        <v>1667</v>
      </c>
      <c r="C76" s="8">
        <v>1667</v>
      </c>
      <c r="D76" s="8">
        <f t="shared" si="15"/>
        <v>25.004999999999999</v>
      </c>
      <c r="E76" s="8">
        <f>SUM(C76:D76)</f>
        <v>1692.0050000000001</v>
      </c>
      <c r="F76" s="8"/>
      <c r="G76" s="8"/>
      <c r="H76" s="10"/>
      <c r="I76" s="21" t="s">
        <v>42</v>
      </c>
    </row>
    <row r="77" spans="1:9" x14ac:dyDescent="0.3">
      <c r="E77" s="38"/>
    </row>
    <row r="91" spans="1:9" x14ac:dyDescent="0.3">
      <c r="A91" s="40" t="s">
        <v>0</v>
      </c>
      <c r="B91" s="41" t="s">
        <v>117</v>
      </c>
      <c r="C91" s="41"/>
      <c r="D91" s="41"/>
      <c r="F91" s="51"/>
      <c r="G91" s="1" t="s">
        <v>1</v>
      </c>
      <c r="H91" s="1"/>
      <c r="I91" s="3">
        <v>5000</v>
      </c>
    </row>
    <row r="92" spans="1:9" x14ac:dyDescent="0.3">
      <c r="A92" s="40" t="s">
        <v>2</v>
      </c>
      <c r="B92" s="4"/>
      <c r="D92" s="4"/>
      <c r="E92" s="1"/>
      <c r="F92" s="1"/>
      <c r="G92" s="5"/>
      <c r="H92" s="1" t="s">
        <v>3</v>
      </c>
      <c r="I92" s="9" t="s">
        <v>134</v>
      </c>
    </row>
    <row r="93" spans="1:9" x14ac:dyDescent="0.3">
      <c r="A93" s="40" t="s">
        <v>4</v>
      </c>
      <c r="B93" s="6"/>
      <c r="D93" s="6"/>
      <c r="E93" s="1" t="s">
        <v>5</v>
      </c>
      <c r="F93" s="1"/>
      <c r="G93" s="1"/>
      <c r="H93" s="1"/>
      <c r="I93" s="7">
        <v>1.4999999999999999E-2</v>
      </c>
    </row>
    <row r="94" spans="1:9" ht="15" thickBot="1" x14ac:dyDescent="0.35">
      <c r="A94" s="40" t="s">
        <v>6</v>
      </c>
      <c r="B94" s="26"/>
      <c r="C94" s="26"/>
      <c r="D94" s="27" t="s">
        <v>7</v>
      </c>
      <c r="E94" s="27"/>
      <c r="F94" s="27"/>
      <c r="G94" s="27"/>
      <c r="H94" s="27"/>
      <c r="I94" s="6">
        <v>3</v>
      </c>
    </row>
    <row r="95" spans="1:9" ht="72.599999999999994" thickBot="1" x14ac:dyDescent="0.35">
      <c r="A95" s="11" t="s">
        <v>8</v>
      </c>
      <c r="B95" s="11" t="s">
        <v>9</v>
      </c>
      <c r="C95" s="11" t="s">
        <v>10</v>
      </c>
      <c r="D95" s="12" t="s">
        <v>11</v>
      </c>
      <c r="E95" s="13" t="s">
        <v>12</v>
      </c>
      <c r="F95" s="14" t="s">
        <v>13</v>
      </c>
      <c r="G95" s="14" t="s">
        <v>14</v>
      </c>
      <c r="H95" s="14" t="s">
        <v>15</v>
      </c>
      <c r="I95" s="15" t="s">
        <v>16</v>
      </c>
    </row>
    <row r="96" spans="1:9" x14ac:dyDescent="0.3">
      <c r="A96" s="16" t="s">
        <v>17</v>
      </c>
      <c r="B96" s="17">
        <f>I91</f>
        <v>5000</v>
      </c>
      <c r="C96" s="17">
        <f>I91/I94</f>
        <v>1666.6666666666667</v>
      </c>
      <c r="D96" s="17">
        <f>(B96*0.015)</f>
        <v>75</v>
      </c>
      <c r="E96" s="17">
        <f>SUM(C96:D96)</f>
        <v>1741.6666666666667</v>
      </c>
      <c r="F96" s="17"/>
      <c r="G96" s="17"/>
      <c r="H96" s="18"/>
      <c r="I96" s="19"/>
    </row>
    <row r="97" spans="1:9" x14ac:dyDescent="0.3">
      <c r="A97" s="20" t="s">
        <v>18</v>
      </c>
      <c r="B97" s="8">
        <v>3333</v>
      </c>
      <c r="C97" s="8">
        <v>1667</v>
      </c>
      <c r="D97" s="8">
        <f t="shared" ref="D97:D98" si="16">(B97*0.015)</f>
        <v>49.994999999999997</v>
      </c>
      <c r="E97" s="8">
        <f>SUM(C97:D97)</f>
        <v>1716.9949999999999</v>
      </c>
      <c r="F97" s="8"/>
      <c r="G97" s="8"/>
      <c r="H97" s="10"/>
      <c r="I97" s="21"/>
    </row>
    <row r="98" spans="1:9" x14ac:dyDescent="0.3">
      <c r="A98" s="20" t="s">
        <v>19</v>
      </c>
      <c r="B98" s="8">
        <v>1667</v>
      </c>
      <c r="C98" s="8">
        <v>1667</v>
      </c>
      <c r="D98" s="8">
        <f t="shared" si="16"/>
        <v>25.004999999999999</v>
      </c>
      <c r="E98" s="8">
        <f>SUM(C98:D98)</f>
        <v>1692.0050000000001</v>
      </c>
      <c r="F98" s="8"/>
      <c r="G98" s="8"/>
      <c r="H98" s="10"/>
      <c r="I98" s="21" t="s">
        <v>42</v>
      </c>
    </row>
    <row r="104" spans="1:9" x14ac:dyDescent="0.3">
      <c r="A104" s="40" t="s">
        <v>0</v>
      </c>
      <c r="B104" s="41" t="s">
        <v>120</v>
      </c>
      <c r="C104" s="41"/>
      <c r="D104" s="41"/>
      <c r="F104" s="51"/>
      <c r="G104" s="1" t="s">
        <v>1</v>
      </c>
      <c r="H104" s="1"/>
      <c r="I104" s="3">
        <v>5000</v>
      </c>
    </row>
    <row r="105" spans="1:9" x14ac:dyDescent="0.3">
      <c r="A105" s="40" t="s">
        <v>2</v>
      </c>
      <c r="B105" s="4"/>
      <c r="D105" s="4"/>
      <c r="E105" s="1"/>
      <c r="F105" s="1"/>
      <c r="G105" s="5"/>
      <c r="H105" s="1" t="s">
        <v>3</v>
      </c>
      <c r="I105" s="9" t="s">
        <v>96</v>
      </c>
    </row>
    <row r="106" spans="1:9" x14ac:dyDescent="0.3">
      <c r="A106" s="40" t="s">
        <v>4</v>
      </c>
      <c r="B106" s="6"/>
      <c r="D106" s="6"/>
      <c r="E106" s="1" t="s">
        <v>5</v>
      </c>
      <c r="F106" s="1"/>
      <c r="G106" s="1"/>
      <c r="H106" s="1"/>
      <c r="I106" s="7">
        <v>1.4999999999999999E-2</v>
      </c>
    </row>
    <row r="107" spans="1:9" ht="15" thickBot="1" x14ac:dyDescent="0.35">
      <c r="A107" s="40" t="s">
        <v>6</v>
      </c>
      <c r="B107" s="26"/>
      <c r="C107" s="26"/>
      <c r="D107" s="26"/>
      <c r="E107" s="26"/>
      <c r="F107" s="26"/>
      <c r="G107" s="27" t="s">
        <v>132</v>
      </c>
      <c r="H107" s="27"/>
      <c r="I107" s="6">
        <v>3</v>
      </c>
    </row>
    <row r="108" spans="1:9" ht="72.599999999999994" thickBot="1" x14ac:dyDescent="0.35">
      <c r="A108" s="11" t="s">
        <v>8</v>
      </c>
      <c r="B108" s="11" t="s">
        <v>9</v>
      </c>
      <c r="C108" s="11" t="s">
        <v>10</v>
      </c>
      <c r="D108" s="12" t="s">
        <v>11</v>
      </c>
      <c r="E108" s="13" t="s">
        <v>12</v>
      </c>
      <c r="F108" s="14" t="s">
        <v>13</v>
      </c>
      <c r="G108" s="14" t="s">
        <v>14</v>
      </c>
      <c r="H108" s="14" t="s">
        <v>15</v>
      </c>
      <c r="I108" s="15" t="s">
        <v>16</v>
      </c>
    </row>
    <row r="109" spans="1:9" x14ac:dyDescent="0.3">
      <c r="A109" s="16" t="s">
        <v>17</v>
      </c>
      <c r="B109" s="17">
        <f>I104</f>
        <v>5000</v>
      </c>
      <c r="C109" s="17">
        <f>I104/I107</f>
        <v>1666.6666666666667</v>
      </c>
      <c r="D109" s="17">
        <f>(B109*0.015)</f>
        <v>75</v>
      </c>
      <c r="E109" s="17">
        <f>SUM(C109:D109)</f>
        <v>1741.6666666666667</v>
      </c>
      <c r="F109" s="17"/>
      <c r="G109" s="17"/>
      <c r="H109" s="18"/>
      <c r="I109" s="19"/>
    </row>
    <row r="110" spans="1:9" x14ac:dyDescent="0.3">
      <c r="A110" s="20" t="s">
        <v>18</v>
      </c>
      <c r="B110" s="8">
        <v>3334</v>
      </c>
      <c r="C110" s="8">
        <v>1667</v>
      </c>
      <c r="D110" s="8">
        <f t="shared" ref="D110:D111" si="17">(B110*0.015)</f>
        <v>50.01</v>
      </c>
      <c r="E110" s="8">
        <f>SUM(C110:D110)</f>
        <v>1717.01</v>
      </c>
      <c r="F110" s="8"/>
      <c r="G110" s="8"/>
      <c r="H110" s="10"/>
      <c r="I110" s="21"/>
    </row>
    <row r="111" spans="1:9" x14ac:dyDescent="0.3">
      <c r="A111" s="20" t="s">
        <v>19</v>
      </c>
      <c r="B111" s="8">
        <v>1667</v>
      </c>
      <c r="C111" s="8">
        <v>1667</v>
      </c>
      <c r="D111" s="8">
        <f t="shared" si="17"/>
        <v>25.004999999999999</v>
      </c>
      <c r="E111" s="8">
        <f>SUM(C111:D111)</f>
        <v>1692.0050000000001</v>
      </c>
      <c r="F111" s="8"/>
      <c r="G111" s="8"/>
      <c r="H111" s="10"/>
      <c r="I111" s="21" t="s">
        <v>42</v>
      </c>
    </row>
    <row r="112" spans="1:9" x14ac:dyDescent="0.3">
      <c r="E112" s="38"/>
    </row>
    <row r="116" spans="1:9" x14ac:dyDescent="0.3">
      <c r="A116" s="1"/>
      <c r="B116" s="28"/>
      <c r="C116" s="28"/>
      <c r="D116" s="28"/>
      <c r="E116" s="28"/>
      <c r="F116" s="28"/>
      <c r="G116" s="28"/>
      <c r="H116" s="29"/>
      <c r="I116" s="30"/>
    </row>
    <row r="117" spans="1:9" x14ac:dyDescent="0.3">
      <c r="A117" s="44"/>
      <c r="B117" s="44"/>
      <c r="C117" s="44"/>
      <c r="D117" s="45"/>
      <c r="E117" s="45"/>
      <c r="F117" s="45"/>
      <c r="G117" s="45"/>
      <c r="H117" s="45"/>
      <c r="I117" s="46"/>
    </row>
    <row r="118" spans="1:9" x14ac:dyDescent="0.3">
      <c r="A118" s="1"/>
      <c r="B118" s="28"/>
      <c r="C118" s="28"/>
      <c r="D118" s="28"/>
      <c r="E118" s="28"/>
      <c r="F118" s="28"/>
      <c r="G118" s="28"/>
      <c r="H118" s="29"/>
      <c r="I118" s="30"/>
    </row>
    <row r="119" spans="1:9" x14ac:dyDescent="0.3">
      <c r="A119" s="1"/>
      <c r="B119" s="28"/>
      <c r="C119" s="28"/>
      <c r="D119" s="28"/>
      <c r="E119" s="28"/>
      <c r="F119" s="28"/>
      <c r="G119" s="28"/>
      <c r="H119" s="29"/>
      <c r="I119" s="30"/>
    </row>
    <row r="120" spans="1:9" x14ac:dyDescent="0.3">
      <c r="A120" s="1"/>
      <c r="B120" s="28"/>
      <c r="C120" s="28"/>
      <c r="D120" s="28"/>
      <c r="E120" s="28"/>
      <c r="F120" s="28"/>
      <c r="G120" s="28"/>
      <c r="H120" s="29"/>
      <c r="I120" s="30"/>
    </row>
    <row r="125" spans="1:9" x14ac:dyDescent="0.3">
      <c r="A125" s="40"/>
      <c r="B125" s="41"/>
      <c r="C125" s="41"/>
      <c r="D125" s="41"/>
      <c r="F125" s="51"/>
      <c r="G125" s="1"/>
      <c r="H125" s="1"/>
      <c r="I125" s="3"/>
    </row>
    <row r="126" spans="1:9" x14ac:dyDescent="0.3">
      <c r="A126" s="40"/>
      <c r="B126" s="4"/>
      <c r="D126" s="4"/>
      <c r="E126" s="1"/>
      <c r="F126" s="1"/>
      <c r="G126" s="5"/>
      <c r="H126" s="1"/>
      <c r="I126" s="9"/>
    </row>
    <row r="127" spans="1:9" x14ac:dyDescent="0.3">
      <c r="A127" s="40"/>
      <c r="B127" s="6"/>
      <c r="D127" s="6"/>
      <c r="E127" s="1"/>
      <c r="F127" s="1"/>
      <c r="G127" s="1"/>
      <c r="H127" s="1"/>
      <c r="I127" s="7"/>
    </row>
    <row r="128" spans="1:9" x14ac:dyDescent="0.3">
      <c r="A128" s="40"/>
      <c r="B128" s="6"/>
      <c r="C128" s="6"/>
      <c r="D128" s="1"/>
      <c r="E128" s="1"/>
      <c r="F128" s="1"/>
      <c r="G128" s="1"/>
      <c r="H128" s="1"/>
      <c r="I128" s="6"/>
    </row>
    <row r="129" spans="1:9" x14ac:dyDescent="0.3">
      <c r="A129" s="44"/>
      <c r="B129" s="44"/>
      <c r="C129" s="44"/>
      <c r="D129" s="45"/>
      <c r="E129" s="45"/>
      <c r="F129" s="45"/>
      <c r="G129" s="45"/>
      <c r="H129" s="45"/>
      <c r="I129" s="46"/>
    </row>
    <row r="130" spans="1:9" x14ac:dyDescent="0.3">
      <c r="A130" s="1"/>
      <c r="B130" s="28"/>
      <c r="C130" s="28"/>
      <c r="D130" s="28"/>
      <c r="E130" s="28"/>
      <c r="F130" s="28"/>
      <c r="G130" s="28"/>
      <c r="H130" s="29"/>
      <c r="I130" s="30"/>
    </row>
    <row r="131" spans="1:9" x14ac:dyDescent="0.3">
      <c r="E131" s="38"/>
    </row>
  </sheetData>
  <mergeCells count="17">
    <mergeCell ref="E30:H30"/>
    <mergeCell ref="B15:D15"/>
    <mergeCell ref="G15:H15"/>
    <mergeCell ref="B45:D45"/>
    <mergeCell ref="G45:H45"/>
    <mergeCell ref="B31:C31"/>
    <mergeCell ref="D31:H31"/>
    <mergeCell ref="E17:H17"/>
    <mergeCell ref="B18:C18"/>
    <mergeCell ref="D18:H18"/>
    <mergeCell ref="B28:D28"/>
    <mergeCell ref="G28:H28"/>
    <mergeCell ref="B2:D2"/>
    <mergeCell ref="G2:H2"/>
    <mergeCell ref="E4:H4"/>
    <mergeCell ref="B5:C5"/>
    <mergeCell ref="D5:H5"/>
  </mergeCells>
  <pageMargins left="0.25" right="0.25" top="0.75" bottom="0.75" header="0.3" footer="0.3"/>
  <pageSetup paperSize="256" orientation="portrait" horizontalDpi="4294967293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5C00-F71B-4BAE-AECE-DA156C528084}">
  <dimension ref="A2:I185"/>
  <sheetViews>
    <sheetView topLeftCell="A161" workbookViewId="0">
      <selection activeCell="A154" sqref="A154:I182"/>
    </sheetView>
  </sheetViews>
  <sheetFormatPr defaultRowHeight="14.4" x14ac:dyDescent="0.3"/>
  <cols>
    <col min="1" max="1" width="19.6640625" customWidth="1"/>
    <col min="9" max="9" width="11.77734375" customWidth="1"/>
  </cols>
  <sheetData>
    <row r="2" spans="1:9" x14ac:dyDescent="0.3">
      <c r="A2" s="1" t="s">
        <v>0</v>
      </c>
      <c r="B2" s="234" t="s">
        <v>127</v>
      </c>
      <c r="C2" s="234"/>
      <c r="D2" s="234"/>
      <c r="F2" s="2"/>
      <c r="G2" s="235" t="s">
        <v>1</v>
      </c>
      <c r="H2" s="235"/>
      <c r="I2" s="3">
        <v>20000</v>
      </c>
    </row>
    <row r="3" spans="1:9" x14ac:dyDescent="0.3">
      <c r="A3" s="1" t="s">
        <v>2</v>
      </c>
      <c r="B3" s="4"/>
      <c r="D3" s="4"/>
      <c r="E3" s="1"/>
      <c r="F3" s="1"/>
      <c r="G3" s="5"/>
      <c r="H3" s="1" t="s">
        <v>3</v>
      </c>
      <c r="I3" s="9" t="s">
        <v>60</v>
      </c>
    </row>
    <row r="4" spans="1:9" x14ac:dyDescent="0.3">
      <c r="A4" s="1" t="s">
        <v>4</v>
      </c>
      <c r="B4" s="6"/>
      <c r="D4" s="6"/>
      <c r="E4" s="235" t="s">
        <v>5</v>
      </c>
      <c r="F4" s="235"/>
      <c r="G4" s="235"/>
      <c r="H4" s="235"/>
      <c r="I4" s="7">
        <v>1.4999999999999999E-2</v>
      </c>
    </row>
    <row r="5" spans="1:9" ht="15" thickBot="1" x14ac:dyDescent="0.35">
      <c r="A5" s="1" t="s">
        <v>6</v>
      </c>
      <c r="B5" s="236"/>
      <c r="C5" s="236"/>
      <c r="D5" s="237" t="s">
        <v>7</v>
      </c>
      <c r="E5" s="237"/>
      <c r="F5" s="237"/>
      <c r="G5" s="237"/>
      <c r="H5" s="237"/>
      <c r="I5" s="6">
        <v>24</v>
      </c>
    </row>
    <row r="6" spans="1:9" ht="87" thickBot="1" x14ac:dyDescent="0.35">
      <c r="A6" s="11" t="s">
        <v>8</v>
      </c>
      <c r="B6" s="11" t="s">
        <v>9</v>
      </c>
      <c r="C6" s="11" t="s">
        <v>10</v>
      </c>
      <c r="D6" s="12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5" t="s">
        <v>16</v>
      </c>
    </row>
    <row r="7" spans="1:9" x14ac:dyDescent="0.3">
      <c r="A7" s="16" t="s">
        <v>17</v>
      </c>
      <c r="B7" s="17">
        <f>I2</f>
        <v>20000</v>
      </c>
      <c r="C7" s="17">
        <f>I2/I5</f>
        <v>833.33333333333337</v>
      </c>
      <c r="D7" s="17">
        <f>(B7*0.015)</f>
        <v>300</v>
      </c>
      <c r="E7" s="17">
        <f t="shared" ref="E7:E30" si="0">$C$7+D7</f>
        <v>1133.3333333333335</v>
      </c>
      <c r="F7" s="17"/>
      <c r="G7" s="17"/>
      <c r="H7" s="18"/>
      <c r="I7" s="19"/>
    </row>
    <row r="8" spans="1:9" x14ac:dyDescent="0.3">
      <c r="A8" s="20" t="s">
        <v>18</v>
      </c>
      <c r="B8" s="8">
        <v>19159</v>
      </c>
      <c r="C8" s="8">
        <f t="shared" ref="C8:C30" si="1">$C$7</f>
        <v>833.33333333333337</v>
      </c>
      <c r="D8" s="8">
        <f t="shared" ref="D8:D30" si="2">(B8*0.015)</f>
        <v>287.38499999999999</v>
      </c>
      <c r="E8" s="8">
        <f t="shared" si="0"/>
        <v>1120.7183333333332</v>
      </c>
      <c r="F8" s="8"/>
      <c r="G8" s="8"/>
      <c r="H8" s="10"/>
      <c r="I8" s="21"/>
    </row>
    <row r="9" spans="1:9" x14ac:dyDescent="0.3">
      <c r="A9" s="20" t="s">
        <v>19</v>
      </c>
      <c r="B9" s="8">
        <v>18326</v>
      </c>
      <c r="C9" s="8">
        <f t="shared" si="1"/>
        <v>833.33333333333337</v>
      </c>
      <c r="D9" s="8">
        <f t="shared" si="2"/>
        <v>274.89</v>
      </c>
      <c r="E9" s="8">
        <f t="shared" si="0"/>
        <v>1108.2233333333334</v>
      </c>
      <c r="F9" s="8"/>
      <c r="G9" s="8"/>
      <c r="H9" s="10"/>
      <c r="I9" s="21"/>
    </row>
    <row r="10" spans="1:9" x14ac:dyDescent="0.3">
      <c r="A10" s="20" t="s">
        <v>20</v>
      </c>
      <c r="B10" s="8">
        <v>17493</v>
      </c>
      <c r="C10" s="8">
        <f t="shared" si="1"/>
        <v>833.33333333333337</v>
      </c>
      <c r="D10" s="8">
        <f t="shared" si="2"/>
        <v>262.39499999999998</v>
      </c>
      <c r="E10" s="8">
        <f t="shared" si="0"/>
        <v>1095.7283333333335</v>
      </c>
      <c r="F10" s="8"/>
      <c r="G10" s="8"/>
      <c r="H10" s="10"/>
      <c r="I10" s="21"/>
    </row>
    <row r="11" spans="1:9" x14ac:dyDescent="0.3">
      <c r="A11" s="20" t="s">
        <v>21</v>
      </c>
      <c r="B11" s="8">
        <v>16660</v>
      </c>
      <c r="C11" s="8">
        <f t="shared" si="1"/>
        <v>833.33333333333337</v>
      </c>
      <c r="D11" s="8">
        <f t="shared" si="2"/>
        <v>249.89999999999998</v>
      </c>
      <c r="E11" s="8">
        <f t="shared" si="0"/>
        <v>1083.2333333333333</v>
      </c>
      <c r="F11" s="8"/>
      <c r="G11" s="8"/>
      <c r="H11" s="10"/>
      <c r="I11" s="21"/>
    </row>
    <row r="12" spans="1:9" x14ac:dyDescent="0.3">
      <c r="A12" s="20" t="s">
        <v>23</v>
      </c>
      <c r="B12" s="8">
        <v>15827</v>
      </c>
      <c r="C12" s="8">
        <f t="shared" si="1"/>
        <v>833.33333333333337</v>
      </c>
      <c r="D12" s="8">
        <f t="shared" si="2"/>
        <v>237.405</v>
      </c>
      <c r="E12" s="8">
        <f t="shared" si="0"/>
        <v>1070.7383333333335</v>
      </c>
      <c r="F12" s="8"/>
      <c r="G12" s="8"/>
      <c r="H12" s="10"/>
      <c r="I12" s="21"/>
    </row>
    <row r="13" spans="1:9" x14ac:dyDescent="0.3">
      <c r="A13" s="20" t="s">
        <v>24</v>
      </c>
      <c r="B13" s="8">
        <v>14994</v>
      </c>
      <c r="C13" s="8">
        <f t="shared" si="1"/>
        <v>833.33333333333337</v>
      </c>
      <c r="D13" s="8">
        <f t="shared" si="2"/>
        <v>224.91</v>
      </c>
      <c r="E13" s="8">
        <f t="shared" si="0"/>
        <v>1058.2433333333333</v>
      </c>
      <c r="F13" s="8"/>
      <c r="G13" s="8"/>
      <c r="H13" s="10"/>
      <c r="I13" s="21"/>
    </row>
    <row r="14" spans="1:9" x14ac:dyDescent="0.3">
      <c r="A14" s="20" t="s">
        <v>25</v>
      </c>
      <c r="B14" s="8">
        <v>14161</v>
      </c>
      <c r="C14" s="8">
        <f t="shared" si="1"/>
        <v>833.33333333333337</v>
      </c>
      <c r="D14" s="8">
        <f t="shared" si="2"/>
        <v>212.41499999999999</v>
      </c>
      <c r="E14" s="8">
        <f t="shared" si="0"/>
        <v>1045.7483333333334</v>
      </c>
      <c r="F14" s="8"/>
      <c r="G14" s="8"/>
      <c r="H14" s="10"/>
      <c r="I14" s="21"/>
    </row>
    <row r="15" spans="1:9" x14ac:dyDescent="0.3">
      <c r="A15" s="20" t="s">
        <v>26</v>
      </c>
      <c r="B15" s="8">
        <v>13328</v>
      </c>
      <c r="C15" s="8">
        <f t="shared" si="1"/>
        <v>833.33333333333337</v>
      </c>
      <c r="D15" s="8">
        <f t="shared" si="2"/>
        <v>199.92</v>
      </c>
      <c r="E15" s="8">
        <f t="shared" si="0"/>
        <v>1033.2533333333333</v>
      </c>
      <c r="F15" s="8"/>
      <c r="G15" s="8"/>
      <c r="H15" s="10"/>
      <c r="I15" s="21"/>
    </row>
    <row r="16" spans="1:9" x14ac:dyDescent="0.3">
      <c r="A16" s="20" t="s">
        <v>27</v>
      </c>
      <c r="B16" s="8">
        <v>12495</v>
      </c>
      <c r="C16" s="8">
        <f t="shared" si="1"/>
        <v>833.33333333333337</v>
      </c>
      <c r="D16" s="8">
        <f t="shared" si="2"/>
        <v>187.42499999999998</v>
      </c>
      <c r="E16" s="8">
        <f t="shared" si="0"/>
        <v>1020.7583333333333</v>
      </c>
      <c r="F16" s="8"/>
      <c r="G16" s="8"/>
      <c r="H16" s="10"/>
      <c r="I16" s="21"/>
    </row>
    <row r="17" spans="1:9" x14ac:dyDescent="0.3">
      <c r="A17" s="20" t="s">
        <v>28</v>
      </c>
      <c r="B17" s="8">
        <v>11662</v>
      </c>
      <c r="C17" s="8">
        <f t="shared" si="1"/>
        <v>833.33333333333337</v>
      </c>
      <c r="D17" s="8">
        <f t="shared" si="2"/>
        <v>174.93</v>
      </c>
      <c r="E17" s="8">
        <f t="shared" si="0"/>
        <v>1008.2633333333333</v>
      </c>
      <c r="F17" s="8"/>
      <c r="G17" s="8"/>
      <c r="H17" s="10"/>
      <c r="I17" s="21"/>
    </row>
    <row r="18" spans="1:9" x14ac:dyDescent="0.3">
      <c r="A18" s="20" t="s">
        <v>29</v>
      </c>
      <c r="B18" s="8">
        <v>10829</v>
      </c>
      <c r="C18" s="8">
        <f t="shared" si="1"/>
        <v>833.33333333333337</v>
      </c>
      <c r="D18" s="8">
        <f t="shared" si="2"/>
        <v>162.435</v>
      </c>
      <c r="E18" s="8">
        <f t="shared" si="0"/>
        <v>995.76833333333343</v>
      </c>
      <c r="F18" s="8"/>
      <c r="G18" s="8"/>
      <c r="H18" s="10"/>
      <c r="I18" s="21"/>
    </row>
    <row r="19" spans="1:9" x14ac:dyDescent="0.3">
      <c r="A19" s="20" t="s">
        <v>30</v>
      </c>
      <c r="B19" s="8">
        <v>9996</v>
      </c>
      <c r="C19" s="8">
        <f t="shared" si="1"/>
        <v>833.33333333333337</v>
      </c>
      <c r="D19" s="8">
        <f t="shared" si="2"/>
        <v>149.94</v>
      </c>
      <c r="E19" s="8">
        <f t="shared" si="0"/>
        <v>983.27333333333331</v>
      </c>
      <c r="F19" s="8"/>
      <c r="G19" s="8"/>
      <c r="H19" s="10"/>
      <c r="I19" s="21"/>
    </row>
    <row r="20" spans="1:9" x14ac:dyDescent="0.3">
      <c r="A20" s="20" t="s">
        <v>31</v>
      </c>
      <c r="B20" s="8">
        <v>9163</v>
      </c>
      <c r="C20" s="8">
        <f t="shared" si="1"/>
        <v>833.33333333333337</v>
      </c>
      <c r="D20" s="8">
        <f t="shared" si="2"/>
        <v>137.44499999999999</v>
      </c>
      <c r="E20" s="8">
        <f t="shared" si="0"/>
        <v>970.77833333333342</v>
      </c>
      <c r="F20" s="8"/>
      <c r="G20" s="8"/>
      <c r="H20" s="10"/>
      <c r="I20" s="21"/>
    </row>
    <row r="21" spans="1:9" x14ac:dyDescent="0.3">
      <c r="A21" s="20" t="s">
        <v>32</v>
      </c>
      <c r="B21" s="8">
        <v>8330</v>
      </c>
      <c r="C21" s="8">
        <f t="shared" si="1"/>
        <v>833.33333333333337</v>
      </c>
      <c r="D21" s="8">
        <f t="shared" si="2"/>
        <v>124.94999999999999</v>
      </c>
      <c r="E21" s="8">
        <f t="shared" si="0"/>
        <v>958.2833333333333</v>
      </c>
      <c r="F21" s="8"/>
      <c r="G21" s="8"/>
      <c r="H21" s="10"/>
      <c r="I21" s="21"/>
    </row>
    <row r="22" spans="1:9" x14ac:dyDescent="0.3">
      <c r="A22" s="20" t="s">
        <v>33</v>
      </c>
      <c r="B22" s="8">
        <v>7497</v>
      </c>
      <c r="C22" s="8">
        <f t="shared" si="1"/>
        <v>833.33333333333337</v>
      </c>
      <c r="D22" s="8">
        <f t="shared" si="2"/>
        <v>112.455</v>
      </c>
      <c r="E22" s="8">
        <f t="shared" si="0"/>
        <v>945.78833333333341</v>
      </c>
      <c r="F22" s="8"/>
      <c r="G22" s="8"/>
      <c r="H22" s="10"/>
      <c r="I22" s="21"/>
    </row>
    <row r="23" spans="1:9" x14ac:dyDescent="0.3">
      <c r="A23" s="20" t="s">
        <v>34</v>
      </c>
      <c r="B23" s="8">
        <v>6664</v>
      </c>
      <c r="C23" s="8">
        <f t="shared" si="1"/>
        <v>833.33333333333337</v>
      </c>
      <c r="D23" s="8">
        <f t="shared" si="2"/>
        <v>99.96</v>
      </c>
      <c r="E23" s="8">
        <f t="shared" si="0"/>
        <v>933.29333333333341</v>
      </c>
      <c r="F23" s="8"/>
      <c r="G23" s="8"/>
      <c r="H23" s="10"/>
      <c r="I23" s="21"/>
    </row>
    <row r="24" spans="1:9" x14ac:dyDescent="0.3">
      <c r="A24" s="20" t="s">
        <v>35</v>
      </c>
      <c r="B24" s="8">
        <v>5831</v>
      </c>
      <c r="C24" s="8">
        <f t="shared" si="1"/>
        <v>833.33333333333337</v>
      </c>
      <c r="D24" s="8">
        <f t="shared" si="2"/>
        <v>87.465000000000003</v>
      </c>
      <c r="E24" s="8">
        <f t="shared" si="0"/>
        <v>920.7983333333334</v>
      </c>
      <c r="F24" s="8"/>
      <c r="G24" s="8"/>
      <c r="H24" s="10"/>
      <c r="I24" s="21"/>
    </row>
    <row r="25" spans="1:9" x14ac:dyDescent="0.3">
      <c r="A25" s="20" t="s">
        <v>36</v>
      </c>
      <c r="B25" s="8">
        <v>4998</v>
      </c>
      <c r="C25" s="8">
        <f t="shared" si="1"/>
        <v>833.33333333333337</v>
      </c>
      <c r="D25" s="8">
        <f t="shared" si="2"/>
        <v>74.97</v>
      </c>
      <c r="E25" s="8">
        <f t="shared" si="0"/>
        <v>908.3033333333334</v>
      </c>
      <c r="F25" s="8"/>
      <c r="G25" s="8"/>
      <c r="H25" s="10"/>
      <c r="I25" s="21"/>
    </row>
    <row r="26" spans="1:9" x14ac:dyDescent="0.3">
      <c r="A26" s="20" t="s">
        <v>37</v>
      </c>
      <c r="B26" s="8">
        <v>4165</v>
      </c>
      <c r="C26" s="8">
        <f t="shared" si="1"/>
        <v>833.33333333333337</v>
      </c>
      <c r="D26" s="8">
        <f t="shared" si="2"/>
        <v>62.474999999999994</v>
      </c>
      <c r="E26" s="8">
        <f t="shared" si="0"/>
        <v>895.80833333333339</v>
      </c>
      <c r="F26" s="8"/>
      <c r="G26" s="8"/>
      <c r="H26" s="10"/>
      <c r="I26" s="21"/>
    </row>
    <row r="27" spans="1:9" x14ac:dyDescent="0.3">
      <c r="A27" s="20" t="s">
        <v>38</v>
      </c>
      <c r="B27" s="8">
        <v>3332</v>
      </c>
      <c r="C27" s="8">
        <f t="shared" si="1"/>
        <v>833.33333333333337</v>
      </c>
      <c r="D27" s="8">
        <f t="shared" si="2"/>
        <v>49.98</v>
      </c>
      <c r="E27" s="8">
        <f t="shared" si="0"/>
        <v>883.31333333333339</v>
      </c>
      <c r="F27" s="8"/>
      <c r="G27" s="8"/>
      <c r="H27" s="10"/>
      <c r="I27" s="21"/>
    </row>
    <row r="28" spans="1:9" x14ac:dyDescent="0.3">
      <c r="A28" s="20" t="s">
        <v>39</v>
      </c>
      <c r="B28" s="8">
        <v>2499</v>
      </c>
      <c r="C28" s="8">
        <f t="shared" si="1"/>
        <v>833.33333333333337</v>
      </c>
      <c r="D28" s="8">
        <f t="shared" si="2"/>
        <v>37.484999999999999</v>
      </c>
      <c r="E28" s="8">
        <f t="shared" si="0"/>
        <v>870.81833333333338</v>
      </c>
      <c r="F28" s="8"/>
      <c r="G28" s="8"/>
      <c r="H28" s="10"/>
      <c r="I28" s="21"/>
    </row>
    <row r="29" spans="1:9" x14ac:dyDescent="0.3">
      <c r="A29" s="20" t="s">
        <v>40</v>
      </c>
      <c r="B29" s="8">
        <v>1666</v>
      </c>
      <c r="C29" s="8">
        <f t="shared" si="1"/>
        <v>833.33333333333337</v>
      </c>
      <c r="D29" s="8">
        <f t="shared" si="2"/>
        <v>24.99</v>
      </c>
      <c r="E29" s="8">
        <f t="shared" si="0"/>
        <v>858.32333333333338</v>
      </c>
      <c r="F29" s="8"/>
      <c r="G29" s="8"/>
      <c r="H29" s="10"/>
      <c r="I29" s="21"/>
    </row>
    <row r="30" spans="1:9" ht="15" thickBot="1" x14ac:dyDescent="0.35">
      <c r="A30" s="22" t="s">
        <v>41</v>
      </c>
      <c r="B30" s="23">
        <v>833</v>
      </c>
      <c r="C30" s="23">
        <f t="shared" si="1"/>
        <v>833.33333333333337</v>
      </c>
      <c r="D30" s="23">
        <f t="shared" si="2"/>
        <v>12.494999999999999</v>
      </c>
      <c r="E30" s="23">
        <f t="shared" si="0"/>
        <v>845.82833333333338</v>
      </c>
      <c r="F30" s="23"/>
      <c r="G30" s="23"/>
      <c r="H30" s="24"/>
      <c r="I30" s="25" t="s">
        <v>42</v>
      </c>
    </row>
    <row r="31" spans="1:9" x14ac:dyDescent="0.3">
      <c r="E31" s="38"/>
    </row>
    <row r="52" spans="1:9" x14ac:dyDescent="0.3">
      <c r="A52" s="1" t="s">
        <v>0</v>
      </c>
      <c r="B52" s="234" t="s">
        <v>126</v>
      </c>
      <c r="C52" s="234"/>
      <c r="D52" s="234"/>
      <c r="F52" s="2"/>
      <c r="G52" s="235" t="s">
        <v>1</v>
      </c>
      <c r="H52" s="235"/>
      <c r="I52" s="3">
        <v>20000</v>
      </c>
    </row>
    <row r="53" spans="1:9" x14ac:dyDescent="0.3">
      <c r="A53" s="1" t="s">
        <v>2</v>
      </c>
      <c r="B53" s="4"/>
      <c r="D53" s="4"/>
      <c r="E53" s="1"/>
      <c r="F53" s="1"/>
      <c r="G53" s="5"/>
      <c r="H53" s="1" t="s">
        <v>3</v>
      </c>
      <c r="I53" s="9" t="s">
        <v>54</v>
      </c>
    </row>
    <row r="54" spans="1:9" x14ac:dyDescent="0.3">
      <c r="A54" s="1" t="s">
        <v>4</v>
      </c>
      <c r="B54" s="6"/>
      <c r="D54" s="6"/>
      <c r="E54" s="1" t="s">
        <v>5</v>
      </c>
      <c r="F54" s="1"/>
      <c r="G54" s="1"/>
      <c r="H54" s="1"/>
      <c r="I54" s="7">
        <v>1.4999999999999999E-2</v>
      </c>
    </row>
    <row r="55" spans="1:9" ht="15" thickBot="1" x14ac:dyDescent="0.35">
      <c r="A55" s="1" t="s">
        <v>6</v>
      </c>
      <c r="B55" s="26"/>
      <c r="C55" s="26"/>
      <c r="D55" s="27" t="s">
        <v>7</v>
      </c>
      <c r="E55" s="27"/>
      <c r="F55" s="27"/>
      <c r="G55" s="27"/>
      <c r="H55" s="27"/>
      <c r="I55" s="6">
        <v>24</v>
      </c>
    </row>
    <row r="56" spans="1:9" ht="87" thickBot="1" x14ac:dyDescent="0.35">
      <c r="A56" s="11" t="s">
        <v>8</v>
      </c>
      <c r="B56" s="11" t="s">
        <v>9</v>
      </c>
      <c r="C56" s="11" t="s">
        <v>10</v>
      </c>
      <c r="D56" s="12" t="s">
        <v>11</v>
      </c>
      <c r="E56" s="13" t="s">
        <v>12</v>
      </c>
      <c r="F56" s="14" t="s">
        <v>13</v>
      </c>
      <c r="G56" s="14" t="s">
        <v>14</v>
      </c>
      <c r="H56" s="14" t="s">
        <v>15</v>
      </c>
      <c r="I56" s="15" t="s">
        <v>16</v>
      </c>
    </row>
    <row r="57" spans="1:9" x14ac:dyDescent="0.3">
      <c r="A57" s="16" t="s">
        <v>17</v>
      </c>
      <c r="B57" s="17">
        <f>I52</f>
        <v>20000</v>
      </c>
      <c r="C57" s="17">
        <f>I52/I55</f>
        <v>833.33333333333337</v>
      </c>
      <c r="D57" s="17">
        <f>(B57*0.015)</f>
        <v>300</v>
      </c>
      <c r="E57" s="17">
        <f>$C$7+'60-12'!O8</f>
        <v>1133.3333333333335</v>
      </c>
      <c r="F57" s="17"/>
      <c r="G57" s="17"/>
      <c r="H57" s="18"/>
      <c r="I57" s="19"/>
    </row>
    <row r="58" spans="1:9" x14ac:dyDescent="0.3">
      <c r="A58" s="20" t="s">
        <v>18</v>
      </c>
      <c r="B58" s="8">
        <v>19159</v>
      </c>
      <c r="C58" s="8">
        <f t="shared" ref="C58:C80" si="3">$C$7</f>
        <v>833.33333333333337</v>
      </c>
      <c r="D58" s="8">
        <f t="shared" ref="D58:D80" si="4">(B58*0.015)</f>
        <v>287.38499999999999</v>
      </c>
      <c r="E58" s="8">
        <f t="shared" ref="E58:E80" si="5">$C$7+D58</f>
        <v>1120.7183333333332</v>
      </c>
      <c r="F58" s="8"/>
      <c r="G58" s="8"/>
      <c r="H58" s="10"/>
      <c r="I58" s="21"/>
    </row>
    <row r="59" spans="1:9" x14ac:dyDescent="0.3">
      <c r="A59" s="20" t="s">
        <v>19</v>
      </c>
      <c r="B59" s="8">
        <v>18326</v>
      </c>
      <c r="C59" s="8">
        <f t="shared" si="3"/>
        <v>833.33333333333337</v>
      </c>
      <c r="D59" s="8">
        <f t="shared" si="4"/>
        <v>274.89</v>
      </c>
      <c r="E59" s="8">
        <f t="shared" si="5"/>
        <v>1108.2233333333334</v>
      </c>
      <c r="F59" s="8"/>
      <c r="G59" s="8"/>
      <c r="H59" s="10"/>
      <c r="I59" s="21"/>
    </row>
    <row r="60" spans="1:9" x14ac:dyDescent="0.3">
      <c r="A60" s="20" t="s">
        <v>20</v>
      </c>
      <c r="B60" s="8">
        <v>17493</v>
      </c>
      <c r="C60" s="8">
        <f t="shared" si="3"/>
        <v>833.33333333333337</v>
      </c>
      <c r="D60" s="8">
        <f t="shared" si="4"/>
        <v>262.39499999999998</v>
      </c>
      <c r="E60" s="8">
        <f t="shared" si="5"/>
        <v>1095.7283333333335</v>
      </c>
      <c r="F60" s="8"/>
      <c r="G60" s="8"/>
      <c r="H60" s="10"/>
      <c r="I60" s="21"/>
    </row>
    <row r="61" spans="1:9" x14ac:dyDescent="0.3">
      <c r="A61" s="20" t="s">
        <v>21</v>
      </c>
      <c r="B61" s="8">
        <v>16660</v>
      </c>
      <c r="C61" s="8">
        <f t="shared" si="3"/>
        <v>833.33333333333337</v>
      </c>
      <c r="D61" s="8">
        <f t="shared" si="4"/>
        <v>249.89999999999998</v>
      </c>
      <c r="E61" s="8">
        <f t="shared" si="5"/>
        <v>1083.2333333333333</v>
      </c>
      <c r="F61" s="8"/>
      <c r="G61" s="8"/>
      <c r="H61" s="10"/>
      <c r="I61" s="21"/>
    </row>
    <row r="62" spans="1:9" x14ac:dyDescent="0.3">
      <c r="A62" s="20" t="s">
        <v>23</v>
      </c>
      <c r="B62" s="8">
        <v>15827</v>
      </c>
      <c r="C62" s="8">
        <f t="shared" si="3"/>
        <v>833.33333333333337</v>
      </c>
      <c r="D62" s="8">
        <f t="shared" si="4"/>
        <v>237.405</v>
      </c>
      <c r="E62" s="8">
        <f t="shared" si="5"/>
        <v>1070.7383333333335</v>
      </c>
      <c r="F62" s="8"/>
      <c r="G62" s="8"/>
      <c r="H62" s="10"/>
      <c r="I62" s="21"/>
    </row>
    <row r="63" spans="1:9" x14ac:dyDescent="0.3">
      <c r="A63" s="20" t="s">
        <v>24</v>
      </c>
      <c r="B63" s="8">
        <v>14994</v>
      </c>
      <c r="C63" s="8">
        <f t="shared" si="3"/>
        <v>833.33333333333337</v>
      </c>
      <c r="D63" s="8">
        <f t="shared" si="4"/>
        <v>224.91</v>
      </c>
      <c r="E63" s="8">
        <f t="shared" si="5"/>
        <v>1058.2433333333333</v>
      </c>
      <c r="F63" s="8"/>
      <c r="G63" s="8"/>
      <c r="H63" s="10"/>
      <c r="I63" s="21"/>
    </row>
    <row r="64" spans="1:9" x14ac:dyDescent="0.3">
      <c r="A64" s="20" t="s">
        <v>25</v>
      </c>
      <c r="B64" s="8">
        <v>14161</v>
      </c>
      <c r="C64" s="8">
        <f t="shared" si="3"/>
        <v>833.33333333333337</v>
      </c>
      <c r="D64" s="8">
        <f t="shared" si="4"/>
        <v>212.41499999999999</v>
      </c>
      <c r="E64" s="8">
        <f t="shared" si="5"/>
        <v>1045.7483333333334</v>
      </c>
      <c r="F64" s="8"/>
      <c r="G64" s="8"/>
      <c r="H64" s="10"/>
      <c r="I64" s="21"/>
    </row>
    <row r="65" spans="1:9" x14ac:dyDescent="0.3">
      <c r="A65" s="20" t="s">
        <v>26</v>
      </c>
      <c r="B65" s="8">
        <v>13328</v>
      </c>
      <c r="C65" s="8">
        <f t="shared" si="3"/>
        <v>833.33333333333337</v>
      </c>
      <c r="D65" s="8">
        <f t="shared" si="4"/>
        <v>199.92</v>
      </c>
      <c r="E65" s="8">
        <f t="shared" si="5"/>
        <v>1033.2533333333333</v>
      </c>
      <c r="F65" s="8"/>
      <c r="G65" s="8"/>
      <c r="H65" s="10"/>
      <c r="I65" s="21"/>
    </row>
    <row r="66" spans="1:9" x14ac:dyDescent="0.3">
      <c r="A66" s="20" t="s">
        <v>27</v>
      </c>
      <c r="B66" s="8">
        <v>12495</v>
      </c>
      <c r="C66" s="8">
        <f t="shared" si="3"/>
        <v>833.33333333333337</v>
      </c>
      <c r="D66" s="8">
        <f t="shared" si="4"/>
        <v>187.42499999999998</v>
      </c>
      <c r="E66" s="8">
        <f t="shared" si="5"/>
        <v>1020.7583333333333</v>
      </c>
      <c r="F66" s="8"/>
      <c r="G66" s="8"/>
      <c r="H66" s="10"/>
      <c r="I66" s="21"/>
    </row>
    <row r="67" spans="1:9" x14ac:dyDescent="0.3">
      <c r="A67" s="20" t="s">
        <v>28</v>
      </c>
      <c r="B67" s="8">
        <v>11662</v>
      </c>
      <c r="C67" s="8">
        <f t="shared" si="3"/>
        <v>833.33333333333337</v>
      </c>
      <c r="D67" s="8">
        <f t="shared" si="4"/>
        <v>174.93</v>
      </c>
      <c r="E67" s="8">
        <f t="shared" si="5"/>
        <v>1008.2633333333333</v>
      </c>
      <c r="F67" s="8"/>
      <c r="G67" s="8"/>
      <c r="H67" s="10"/>
      <c r="I67" s="21"/>
    </row>
    <row r="68" spans="1:9" x14ac:dyDescent="0.3">
      <c r="A68" s="20" t="s">
        <v>29</v>
      </c>
      <c r="B68" s="8">
        <v>10829</v>
      </c>
      <c r="C68" s="8">
        <f t="shared" si="3"/>
        <v>833.33333333333337</v>
      </c>
      <c r="D68" s="8">
        <f t="shared" si="4"/>
        <v>162.435</v>
      </c>
      <c r="E68" s="8">
        <f t="shared" si="5"/>
        <v>995.76833333333343</v>
      </c>
      <c r="F68" s="8"/>
      <c r="G68" s="8"/>
      <c r="H68" s="10"/>
      <c r="I68" s="21"/>
    </row>
    <row r="69" spans="1:9" x14ac:dyDescent="0.3">
      <c r="A69" s="20" t="s">
        <v>30</v>
      </c>
      <c r="B69" s="8">
        <v>9996</v>
      </c>
      <c r="C69" s="8">
        <f t="shared" si="3"/>
        <v>833.33333333333337</v>
      </c>
      <c r="D69" s="8">
        <f t="shared" si="4"/>
        <v>149.94</v>
      </c>
      <c r="E69" s="8">
        <f t="shared" si="5"/>
        <v>983.27333333333331</v>
      </c>
      <c r="F69" s="8"/>
      <c r="G69" s="8"/>
      <c r="H69" s="10"/>
      <c r="I69" s="21"/>
    </row>
    <row r="70" spans="1:9" x14ac:dyDescent="0.3">
      <c r="A70" s="20" t="s">
        <v>31</v>
      </c>
      <c r="B70" s="8">
        <v>9163</v>
      </c>
      <c r="C70" s="8">
        <f t="shared" si="3"/>
        <v>833.33333333333337</v>
      </c>
      <c r="D70" s="8">
        <f t="shared" si="4"/>
        <v>137.44499999999999</v>
      </c>
      <c r="E70" s="8">
        <f t="shared" si="5"/>
        <v>970.77833333333342</v>
      </c>
      <c r="F70" s="8"/>
      <c r="G70" s="8"/>
      <c r="H70" s="10"/>
      <c r="I70" s="21"/>
    </row>
    <row r="71" spans="1:9" x14ac:dyDescent="0.3">
      <c r="A71" s="20" t="s">
        <v>32</v>
      </c>
      <c r="B71" s="8">
        <v>8330</v>
      </c>
      <c r="C71" s="8">
        <f t="shared" si="3"/>
        <v>833.33333333333337</v>
      </c>
      <c r="D71" s="8">
        <f t="shared" si="4"/>
        <v>124.94999999999999</v>
      </c>
      <c r="E71" s="8">
        <f t="shared" si="5"/>
        <v>958.2833333333333</v>
      </c>
      <c r="F71" s="8"/>
      <c r="G71" s="8"/>
      <c r="H71" s="10"/>
      <c r="I71" s="21"/>
    </row>
    <row r="72" spans="1:9" x14ac:dyDescent="0.3">
      <c r="A72" s="20" t="s">
        <v>33</v>
      </c>
      <c r="B72" s="8">
        <v>7497</v>
      </c>
      <c r="C72" s="8">
        <f t="shared" si="3"/>
        <v>833.33333333333337</v>
      </c>
      <c r="D72" s="8">
        <f t="shared" si="4"/>
        <v>112.455</v>
      </c>
      <c r="E72" s="8">
        <f t="shared" si="5"/>
        <v>945.78833333333341</v>
      </c>
      <c r="F72" s="8"/>
      <c r="G72" s="8"/>
      <c r="H72" s="10"/>
      <c r="I72" s="21"/>
    </row>
    <row r="73" spans="1:9" x14ac:dyDescent="0.3">
      <c r="A73" s="20" t="s">
        <v>34</v>
      </c>
      <c r="B73" s="8">
        <v>6664</v>
      </c>
      <c r="C73" s="8">
        <f t="shared" si="3"/>
        <v>833.33333333333337</v>
      </c>
      <c r="D73" s="8">
        <f t="shared" si="4"/>
        <v>99.96</v>
      </c>
      <c r="E73" s="8">
        <f t="shared" si="5"/>
        <v>933.29333333333341</v>
      </c>
      <c r="F73" s="8"/>
      <c r="G73" s="8"/>
      <c r="H73" s="10"/>
      <c r="I73" s="21"/>
    </row>
    <row r="74" spans="1:9" x14ac:dyDescent="0.3">
      <c r="A74" s="20" t="s">
        <v>35</v>
      </c>
      <c r="B74" s="8">
        <v>5831</v>
      </c>
      <c r="C74" s="8">
        <f t="shared" si="3"/>
        <v>833.33333333333337</v>
      </c>
      <c r="D74" s="8">
        <f t="shared" si="4"/>
        <v>87.465000000000003</v>
      </c>
      <c r="E74" s="8">
        <f t="shared" si="5"/>
        <v>920.7983333333334</v>
      </c>
      <c r="F74" s="8"/>
      <c r="G74" s="8"/>
      <c r="H74" s="10"/>
      <c r="I74" s="21"/>
    </row>
    <row r="75" spans="1:9" x14ac:dyDescent="0.3">
      <c r="A75" s="20" t="s">
        <v>36</v>
      </c>
      <c r="B75" s="8">
        <v>4998</v>
      </c>
      <c r="C75" s="8">
        <f t="shared" si="3"/>
        <v>833.33333333333337</v>
      </c>
      <c r="D75" s="8">
        <f t="shared" si="4"/>
        <v>74.97</v>
      </c>
      <c r="E75" s="8">
        <f t="shared" si="5"/>
        <v>908.3033333333334</v>
      </c>
      <c r="F75" s="8"/>
      <c r="G75" s="8"/>
      <c r="H75" s="10"/>
      <c r="I75" s="21"/>
    </row>
    <row r="76" spans="1:9" x14ac:dyDescent="0.3">
      <c r="A76" s="20" t="s">
        <v>37</v>
      </c>
      <c r="B76" s="8">
        <v>4165</v>
      </c>
      <c r="C76" s="8">
        <f t="shared" si="3"/>
        <v>833.33333333333337</v>
      </c>
      <c r="D76" s="8">
        <f t="shared" si="4"/>
        <v>62.474999999999994</v>
      </c>
      <c r="E76" s="8">
        <f t="shared" si="5"/>
        <v>895.80833333333339</v>
      </c>
      <c r="F76" s="8"/>
      <c r="G76" s="8"/>
      <c r="H76" s="10"/>
      <c r="I76" s="21"/>
    </row>
    <row r="77" spans="1:9" x14ac:dyDescent="0.3">
      <c r="A77" s="20" t="s">
        <v>38</v>
      </c>
      <c r="B77" s="8">
        <v>3332</v>
      </c>
      <c r="C77" s="8">
        <f t="shared" si="3"/>
        <v>833.33333333333337</v>
      </c>
      <c r="D77" s="8">
        <f t="shared" si="4"/>
        <v>49.98</v>
      </c>
      <c r="E77" s="8">
        <f t="shared" si="5"/>
        <v>883.31333333333339</v>
      </c>
      <c r="F77" s="8"/>
      <c r="G77" s="8"/>
      <c r="H77" s="10"/>
      <c r="I77" s="21"/>
    </row>
    <row r="78" spans="1:9" x14ac:dyDescent="0.3">
      <c r="A78" s="20" t="s">
        <v>39</v>
      </c>
      <c r="B78" s="8">
        <v>2499</v>
      </c>
      <c r="C78" s="8">
        <f t="shared" si="3"/>
        <v>833.33333333333337</v>
      </c>
      <c r="D78" s="8">
        <f t="shared" si="4"/>
        <v>37.484999999999999</v>
      </c>
      <c r="E78" s="8">
        <f t="shared" si="5"/>
        <v>870.81833333333338</v>
      </c>
      <c r="F78" s="8"/>
      <c r="G78" s="8"/>
      <c r="H78" s="10"/>
      <c r="I78" s="21"/>
    </row>
    <row r="79" spans="1:9" x14ac:dyDescent="0.3">
      <c r="A79" s="20" t="s">
        <v>40</v>
      </c>
      <c r="B79" s="8">
        <v>1666</v>
      </c>
      <c r="C79" s="8">
        <f t="shared" si="3"/>
        <v>833.33333333333337</v>
      </c>
      <c r="D79" s="8">
        <f t="shared" si="4"/>
        <v>24.99</v>
      </c>
      <c r="E79" s="8">
        <f t="shared" si="5"/>
        <v>858.32333333333338</v>
      </c>
      <c r="F79" s="8"/>
      <c r="G79" s="8"/>
      <c r="H79" s="10"/>
      <c r="I79" s="21"/>
    </row>
    <row r="80" spans="1:9" ht="15" thickBot="1" x14ac:dyDescent="0.35">
      <c r="A80" s="22" t="s">
        <v>41</v>
      </c>
      <c r="B80" s="23">
        <v>833</v>
      </c>
      <c r="C80" s="23">
        <f t="shared" si="3"/>
        <v>833.33333333333337</v>
      </c>
      <c r="D80" s="23">
        <f t="shared" si="4"/>
        <v>12.494999999999999</v>
      </c>
      <c r="E80" s="23">
        <f t="shared" si="5"/>
        <v>845.82833333333338</v>
      </c>
      <c r="F80" s="23"/>
      <c r="G80" s="23"/>
      <c r="H80" s="24"/>
      <c r="I80" s="25" t="s">
        <v>42</v>
      </c>
    </row>
    <row r="104" spans="1:9" x14ac:dyDescent="0.3">
      <c r="A104" s="1" t="s">
        <v>0</v>
      </c>
      <c r="B104" s="234" t="s">
        <v>128</v>
      </c>
      <c r="C104" s="234"/>
      <c r="D104" s="234"/>
      <c r="F104" s="2"/>
      <c r="G104" s="235" t="s">
        <v>1</v>
      </c>
      <c r="H104" s="235"/>
      <c r="I104" s="3">
        <v>20000</v>
      </c>
    </row>
    <row r="105" spans="1:9" x14ac:dyDescent="0.3">
      <c r="A105" s="1" t="s">
        <v>2</v>
      </c>
      <c r="B105" s="4"/>
      <c r="D105" s="4"/>
      <c r="E105" s="1"/>
      <c r="F105" s="1"/>
      <c r="G105" s="5"/>
      <c r="H105" s="1" t="s">
        <v>3</v>
      </c>
      <c r="I105" s="9" t="s">
        <v>77</v>
      </c>
    </row>
    <row r="106" spans="1:9" x14ac:dyDescent="0.3">
      <c r="A106" s="1" t="s">
        <v>4</v>
      </c>
      <c r="B106" s="6"/>
      <c r="D106" s="6"/>
      <c r="E106" s="235" t="s">
        <v>5</v>
      </c>
      <c r="F106" s="235"/>
      <c r="G106" s="235"/>
      <c r="H106" s="235"/>
      <c r="I106" s="7">
        <v>1.4999999999999999E-2</v>
      </c>
    </row>
    <row r="107" spans="1:9" ht="15" thickBot="1" x14ac:dyDescent="0.35">
      <c r="A107" s="1" t="s">
        <v>6</v>
      </c>
      <c r="B107" s="236"/>
      <c r="C107" s="236"/>
      <c r="D107" s="237" t="s">
        <v>7</v>
      </c>
      <c r="E107" s="237"/>
      <c r="F107" s="237"/>
      <c r="G107" s="237"/>
      <c r="H107" s="237"/>
      <c r="I107" s="6">
        <v>24</v>
      </c>
    </row>
    <row r="108" spans="1:9" ht="87" thickBot="1" x14ac:dyDescent="0.35">
      <c r="A108" s="11" t="s">
        <v>8</v>
      </c>
      <c r="B108" s="11" t="s">
        <v>9</v>
      </c>
      <c r="C108" s="11" t="s">
        <v>10</v>
      </c>
      <c r="D108" s="12" t="s">
        <v>11</v>
      </c>
      <c r="E108" s="13" t="s">
        <v>12</v>
      </c>
      <c r="F108" s="14" t="s">
        <v>13</v>
      </c>
      <c r="G108" s="14" t="s">
        <v>14</v>
      </c>
      <c r="H108" s="14" t="s">
        <v>15</v>
      </c>
      <c r="I108" s="15" t="s">
        <v>16</v>
      </c>
    </row>
    <row r="109" spans="1:9" x14ac:dyDescent="0.3">
      <c r="A109" s="16" t="s">
        <v>17</v>
      </c>
      <c r="B109" s="17">
        <f>I104</f>
        <v>20000</v>
      </c>
      <c r="C109" s="17">
        <f>I104/I107</f>
        <v>833.33333333333337</v>
      </c>
      <c r="D109" s="17">
        <f>(B109*0.015)</f>
        <v>300</v>
      </c>
      <c r="E109" s="17">
        <f t="shared" ref="E109:E132" si="6">$C$7+D109</f>
        <v>1133.3333333333335</v>
      </c>
      <c r="F109" s="17"/>
      <c r="G109" s="17"/>
      <c r="H109" s="18"/>
      <c r="I109" s="19"/>
    </row>
    <row r="110" spans="1:9" x14ac:dyDescent="0.3">
      <c r="A110" s="20" t="s">
        <v>18</v>
      </c>
      <c r="B110" s="8">
        <v>19159</v>
      </c>
      <c r="C110" s="8">
        <f t="shared" ref="C110:C132" si="7">$C$7</f>
        <v>833.33333333333337</v>
      </c>
      <c r="D110" s="8">
        <f t="shared" ref="D110:D132" si="8">(B110*0.015)</f>
        <v>287.38499999999999</v>
      </c>
      <c r="E110" s="8">
        <f t="shared" si="6"/>
        <v>1120.7183333333332</v>
      </c>
      <c r="F110" s="8"/>
      <c r="G110" s="8"/>
      <c r="H110" s="10"/>
      <c r="I110" s="21"/>
    </row>
    <row r="111" spans="1:9" x14ac:dyDescent="0.3">
      <c r="A111" s="20" t="s">
        <v>19</v>
      </c>
      <c r="B111" s="8">
        <v>18326</v>
      </c>
      <c r="C111" s="8">
        <f t="shared" si="7"/>
        <v>833.33333333333337</v>
      </c>
      <c r="D111" s="8">
        <f t="shared" si="8"/>
        <v>274.89</v>
      </c>
      <c r="E111" s="8">
        <f t="shared" si="6"/>
        <v>1108.2233333333334</v>
      </c>
      <c r="F111" s="8"/>
      <c r="G111" s="8"/>
      <c r="H111" s="10"/>
      <c r="I111" s="21"/>
    </row>
    <row r="112" spans="1:9" x14ac:dyDescent="0.3">
      <c r="A112" s="20" t="s">
        <v>20</v>
      </c>
      <c r="B112" s="8">
        <v>17493</v>
      </c>
      <c r="C112" s="8">
        <f t="shared" si="7"/>
        <v>833.33333333333337</v>
      </c>
      <c r="D112" s="8">
        <f t="shared" si="8"/>
        <v>262.39499999999998</v>
      </c>
      <c r="E112" s="8">
        <f t="shared" si="6"/>
        <v>1095.7283333333335</v>
      </c>
      <c r="F112" s="8"/>
      <c r="G112" s="8"/>
      <c r="H112" s="10"/>
      <c r="I112" s="21"/>
    </row>
    <row r="113" spans="1:9" x14ac:dyDescent="0.3">
      <c r="A113" s="20" t="s">
        <v>21</v>
      </c>
      <c r="B113" s="8">
        <v>16660</v>
      </c>
      <c r="C113" s="8">
        <f t="shared" si="7"/>
        <v>833.33333333333337</v>
      </c>
      <c r="D113" s="8">
        <f t="shared" si="8"/>
        <v>249.89999999999998</v>
      </c>
      <c r="E113" s="8">
        <f t="shared" si="6"/>
        <v>1083.2333333333333</v>
      </c>
      <c r="F113" s="8"/>
      <c r="G113" s="8"/>
      <c r="H113" s="10"/>
      <c r="I113" s="21"/>
    </row>
    <row r="114" spans="1:9" x14ac:dyDescent="0.3">
      <c r="A114" s="20" t="s">
        <v>23</v>
      </c>
      <c r="B114" s="8">
        <v>15827</v>
      </c>
      <c r="C114" s="8">
        <f t="shared" si="7"/>
        <v>833.33333333333337</v>
      </c>
      <c r="D114" s="8">
        <f t="shared" si="8"/>
        <v>237.405</v>
      </c>
      <c r="E114" s="8">
        <f t="shared" si="6"/>
        <v>1070.7383333333335</v>
      </c>
      <c r="F114" s="8"/>
      <c r="G114" s="8"/>
      <c r="H114" s="10"/>
      <c r="I114" s="21"/>
    </row>
    <row r="115" spans="1:9" x14ac:dyDescent="0.3">
      <c r="A115" s="20" t="s">
        <v>24</v>
      </c>
      <c r="B115" s="8">
        <v>14994</v>
      </c>
      <c r="C115" s="8">
        <f t="shared" si="7"/>
        <v>833.33333333333337</v>
      </c>
      <c r="D115" s="8">
        <f t="shared" si="8"/>
        <v>224.91</v>
      </c>
      <c r="E115" s="8">
        <f t="shared" si="6"/>
        <v>1058.2433333333333</v>
      </c>
      <c r="F115" s="8"/>
      <c r="G115" s="8"/>
      <c r="H115" s="10"/>
      <c r="I115" s="21"/>
    </row>
    <row r="116" spans="1:9" x14ac:dyDescent="0.3">
      <c r="A116" s="20" t="s">
        <v>25</v>
      </c>
      <c r="B116" s="8">
        <v>14161</v>
      </c>
      <c r="C116" s="8">
        <f t="shared" si="7"/>
        <v>833.33333333333337</v>
      </c>
      <c r="D116" s="8">
        <f t="shared" si="8"/>
        <v>212.41499999999999</v>
      </c>
      <c r="E116" s="8">
        <f t="shared" si="6"/>
        <v>1045.7483333333334</v>
      </c>
      <c r="F116" s="8"/>
      <c r="G116" s="8"/>
      <c r="H116" s="10"/>
      <c r="I116" s="21"/>
    </row>
    <row r="117" spans="1:9" x14ac:dyDescent="0.3">
      <c r="A117" s="20" t="s">
        <v>26</v>
      </c>
      <c r="B117" s="8">
        <v>13328</v>
      </c>
      <c r="C117" s="8">
        <f t="shared" si="7"/>
        <v>833.33333333333337</v>
      </c>
      <c r="D117" s="8">
        <f t="shared" si="8"/>
        <v>199.92</v>
      </c>
      <c r="E117" s="8">
        <f t="shared" si="6"/>
        <v>1033.2533333333333</v>
      </c>
      <c r="F117" s="8"/>
      <c r="G117" s="8"/>
      <c r="H117" s="10"/>
      <c r="I117" s="21"/>
    </row>
    <row r="118" spans="1:9" x14ac:dyDescent="0.3">
      <c r="A118" s="20" t="s">
        <v>27</v>
      </c>
      <c r="B118" s="8">
        <v>12495</v>
      </c>
      <c r="C118" s="8">
        <f t="shared" si="7"/>
        <v>833.33333333333337</v>
      </c>
      <c r="D118" s="8">
        <f t="shared" si="8"/>
        <v>187.42499999999998</v>
      </c>
      <c r="E118" s="8">
        <f t="shared" si="6"/>
        <v>1020.7583333333333</v>
      </c>
      <c r="F118" s="8"/>
      <c r="G118" s="8"/>
      <c r="H118" s="10"/>
      <c r="I118" s="21"/>
    </row>
    <row r="119" spans="1:9" x14ac:dyDescent="0.3">
      <c r="A119" s="20" t="s">
        <v>28</v>
      </c>
      <c r="B119" s="8">
        <v>11662</v>
      </c>
      <c r="C119" s="8">
        <f t="shared" si="7"/>
        <v>833.33333333333337</v>
      </c>
      <c r="D119" s="8">
        <f t="shared" si="8"/>
        <v>174.93</v>
      </c>
      <c r="E119" s="8">
        <f t="shared" si="6"/>
        <v>1008.2633333333333</v>
      </c>
      <c r="F119" s="8"/>
      <c r="G119" s="8"/>
      <c r="H119" s="10"/>
      <c r="I119" s="21"/>
    </row>
    <row r="120" spans="1:9" x14ac:dyDescent="0.3">
      <c r="A120" s="20" t="s">
        <v>29</v>
      </c>
      <c r="B120" s="8">
        <v>10829</v>
      </c>
      <c r="C120" s="8">
        <f t="shared" si="7"/>
        <v>833.33333333333337</v>
      </c>
      <c r="D120" s="8">
        <f t="shared" si="8"/>
        <v>162.435</v>
      </c>
      <c r="E120" s="8">
        <f t="shared" si="6"/>
        <v>995.76833333333343</v>
      </c>
      <c r="F120" s="8"/>
      <c r="G120" s="8"/>
      <c r="H120" s="10"/>
      <c r="I120" s="21"/>
    </row>
    <row r="121" spans="1:9" x14ac:dyDescent="0.3">
      <c r="A121" s="20" t="s">
        <v>30</v>
      </c>
      <c r="B121" s="8">
        <v>9996</v>
      </c>
      <c r="C121" s="8">
        <f t="shared" si="7"/>
        <v>833.33333333333337</v>
      </c>
      <c r="D121" s="8">
        <f t="shared" si="8"/>
        <v>149.94</v>
      </c>
      <c r="E121" s="8">
        <f t="shared" si="6"/>
        <v>983.27333333333331</v>
      </c>
      <c r="F121" s="8"/>
      <c r="G121" s="8"/>
      <c r="H121" s="10"/>
      <c r="I121" s="21"/>
    </row>
    <row r="122" spans="1:9" x14ac:dyDescent="0.3">
      <c r="A122" s="20" t="s">
        <v>31</v>
      </c>
      <c r="B122" s="8">
        <v>9163</v>
      </c>
      <c r="C122" s="8">
        <f t="shared" si="7"/>
        <v>833.33333333333337</v>
      </c>
      <c r="D122" s="8">
        <f t="shared" si="8"/>
        <v>137.44499999999999</v>
      </c>
      <c r="E122" s="8">
        <f t="shared" si="6"/>
        <v>970.77833333333342</v>
      </c>
      <c r="F122" s="8"/>
      <c r="G122" s="8"/>
      <c r="H122" s="10"/>
      <c r="I122" s="21"/>
    </row>
    <row r="123" spans="1:9" x14ac:dyDescent="0.3">
      <c r="A123" s="20" t="s">
        <v>32</v>
      </c>
      <c r="B123" s="8">
        <v>8330</v>
      </c>
      <c r="C123" s="8">
        <f t="shared" si="7"/>
        <v>833.33333333333337</v>
      </c>
      <c r="D123" s="8">
        <f t="shared" si="8"/>
        <v>124.94999999999999</v>
      </c>
      <c r="E123" s="8">
        <f t="shared" si="6"/>
        <v>958.2833333333333</v>
      </c>
      <c r="F123" s="8"/>
      <c r="G123" s="8"/>
      <c r="H123" s="10"/>
      <c r="I123" s="21"/>
    </row>
    <row r="124" spans="1:9" x14ac:dyDescent="0.3">
      <c r="A124" s="20" t="s">
        <v>33</v>
      </c>
      <c r="B124" s="8">
        <v>7497</v>
      </c>
      <c r="C124" s="8">
        <f t="shared" si="7"/>
        <v>833.33333333333337</v>
      </c>
      <c r="D124" s="8">
        <f t="shared" si="8"/>
        <v>112.455</v>
      </c>
      <c r="E124" s="8">
        <f t="shared" si="6"/>
        <v>945.78833333333341</v>
      </c>
      <c r="F124" s="8"/>
      <c r="G124" s="8"/>
      <c r="H124" s="10"/>
      <c r="I124" s="21"/>
    </row>
    <row r="125" spans="1:9" x14ac:dyDescent="0.3">
      <c r="A125" s="20" t="s">
        <v>34</v>
      </c>
      <c r="B125" s="8">
        <v>6664</v>
      </c>
      <c r="C125" s="8">
        <f t="shared" si="7"/>
        <v>833.33333333333337</v>
      </c>
      <c r="D125" s="8">
        <f t="shared" si="8"/>
        <v>99.96</v>
      </c>
      <c r="E125" s="8">
        <f t="shared" si="6"/>
        <v>933.29333333333341</v>
      </c>
      <c r="F125" s="8"/>
      <c r="G125" s="8"/>
      <c r="H125" s="10"/>
      <c r="I125" s="21"/>
    </row>
    <row r="126" spans="1:9" x14ac:dyDescent="0.3">
      <c r="A126" s="20" t="s">
        <v>35</v>
      </c>
      <c r="B126" s="8">
        <v>5831</v>
      </c>
      <c r="C126" s="8">
        <f t="shared" si="7"/>
        <v>833.33333333333337</v>
      </c>
      <c r="D126" s="8">
        <f t="shared" si="8"/>
        <v>87.465000000000003</v>
      </c>
      <c r="E126" s="8">
        <f t="shared" si="6"/>
        <v>920.7983333333334</v>
      </c>
      <c r="F126" s="8"/>
      <c r="G126" s="8"/>
      <c r="H126" s="10"/>
      <c r="I126" s="21"/>
    </row>
    <row r="127" spans="1:9" x14ac:dyDescent="0.3">
      <c r="A127" s="20" t="s">
        <v>36</v>
      </c>
      <c r="B127" s="8">
        <v>4998</v>
      </c>
      <c r="C127" s="8">
        <f t="shared" si="7"/>
        <v>833.33333333333337</v>
      </c>
      <c r="D127" s="8">
        <f t="shared" si="8"/>
        <v>74.97</v>
      </c>
      <c r="E127" s="8">
        <f t="shared" si="6"/>
        <v>908.3033333333334</v>
      </c>
      <c r="F127" s="8"/>
      <c r="G127" s="8"/>
      <c r="H127" s="10"/>
      <c r="I127" s="21"/>
    </row>
    <row r="128" spans="1:9" x14ac:dyDescent="0.3">
      <c r="A128" s="20" t="s">
        <v>37</v>
      </c>
      <c r="B128" s="8">
        <v>4165</v>
      </c>
      <c r="C128" s="8">
        <f t="shared" si="7"/>
        <v>833.33333333333337</v>
      </c>
      <c r="D128" s="8">
        <f t="shared" si="8"/>
        <v>62.474999999999994</v>
      </c>
      <c r="E128" s="8">
        <f t="shared" si="6"/>
        <v>895.80833333333339</v>
      </c>
      <c r="F128" s="8"/>
      <c r="G128" s="8"/>
      <c r="H128" s="10"/>
      <c r="I128" s="21"/>
    </row>
    <row r="129" spans="1:9" x14ac:dyDescent="0.3">
      <c r="A129" s="20" t="s">
        <v>38</v>
      </c>
      <c r="B129" s="8">
        <v>3332</v>
      </c>
      <c r="C129" s="8">
        <f t="shared" si="7"/>
        <v>833.33333333333337</v>
      </c>
      <c r="D129" s="8">
        <f t="shared" si="8"/>
        <v>49.98</v>
      </c>
      <c r="E129" s="8">
        <f t="shared" si="6"/>
        <v>883.31333333333339</v>
      </c>
      <c r="F129" s="8"/>
      <c r="G129" s="8"/>
      <c r="H129" s="10"/>
      <c r="I129" s="21"/>
    </row>
    <row r="130" spans="1:9" x14ac:dyDescent="0.3">
      <c r="A130" s="20" t="s">
        <v>39</v>
      </c>
      <c r="B130" s="8">
        <v>2499</v>
      </c>
      <c r="C130" s="8">
        <f t="shared" si="7"/>
        <v>833.33333333333337</v>
      </c>
      <c r="D130" s="8">
        <f t="shared" si="8"/>
        <v>37.484999999999999</v>
      </c>
      <c r="E130" s="8">
        <f t="shared" si="6"/>
        <v>870.81833333333338</v>
      </c>
      <c r="F130" s="8"/>
      <c r="G130" s="8"/>
      <c r="H130" s="10"/>
      <c r="I130" s="21"/>
    </row>
    <row r="131" spans="1:9" x14ac:dyDescent="0.3">
      <c r="A131" s="20" t="s">
        <v>40</v>
      </c>
      <c r="B131" s="8">
        <v>1666</v>
      </c>
      <c r="C131" s="8">
        <f t="shared" si="7"/>
        <v>833.33333333333337</v>
      </c>
      <c r="D131" s="8">
        <f t="shared" si="8"/>
        <v>24.99</v>
      </c>
      <c r="E131" s="8">
        <f t="shared" si="6"/>
        <v>858.32333333333338</v>
      </c>
      <c r="F131" s="8"/>
      <c r="G131" s="8"/>
      <c r="H131" s="10"/>
      <c r="I131" s="21"/>
    </row>
    <row r="132" spans="1:9" ht="15" thickBot="1" x14ac:dyDescent="0.35">
      <c r="A132" s="22" t="s">
        <v>41</v>
      </c>
      <c r="B132" s="23">
        <v>833</v>
      </c>
      <c r="C132" s="23">
        <f t="shared" si="7"/>
        <v>833.33333333333337</v>
      </c>
      <c r="D132" s="23">
        <f t="shared" si="8"/>
        <v>12.494999999999999</v>
      </c>
      <c r="E132" s="23">
        <f t="shared" si="6"/>
        <v>845.82833333333338</v>
      </c>
      <c r="F132" s="23"/>
      <c r="G132" s="23"/>
      <c r="H132" s="24"/>
      <c r="I132" s="25" t="s">
        <v>42</v>
      </c>
    </row>
    <row r="154" spans="1:9" x14ac:dyDescent="0.3">
      <c r="A154" s="1" t="s">
        <v>0</v>
      </c>
      <c r="C154" s="6" t="s">
        <v>118</v>
      </c>
      <c r="D154" s="6"/>
      <c r="F154" s="2"/>
      <c r="G154" s="1" t="s">
        <v>1</v>
      </c>
      <c r="H154" s="1"/>
      <c r="I154" s="3">
        <v>35000</v>
      </c>
    </row>
    <row r="155" spans="1:9" x14ac:dyDescent="0.3">
      <c r="A155" s="1" t="s">
        <v>2</v>
      </c>
      <c r="B155" s="4"/>
      <c r="D155" s="4"/>
      <c r="E155" s="1"/>
      <c r="F155" s="1"/>
      <c r="G155" s="5"/>
      <c r="H155" s="1" t="s">
        <v>3</v>
      </c>
      <c r="I155" s="9" t="s">
        <v>129</v>
      </c>
    </row>
    <row r="156" spans="1:9" x14ac:dyDescent="0.3">
      <c r="A156" s="1" t="s">
        <v>4</v>
      </c>
      <c r="B156" s="6"/>
      <c r="D156" s="6"/>
      <c r="E156" s="1" t="s">
        <v>5</v>
      </c>
      <c r="F156" s="1"/>
      <c r="G156" s="1"/>
      <c r="H156" s="1"/>
      <c r="I156" s="7">
        <v>1.4999999999999999E-2</v>
      </c>
    </row>
    <row r="157" spans="1:9" ht="15" thickBot="1" x14ac:dyDescent="0.35">
      <c r="A157" s="1" t="s">
        <v>6</v>
      </c>
      <c r="B157" s="26"/>
      <c r="C157" s="26"/>
      <c r="D157" s="27" t="s">
        <v>7</v>
      </c>
      <c r="E157" s="27"/>
      <c r="F157" s="27"/>
      <c r="G157" s="27"/>
      <c r="H157" s="27"/>
      <c r="I157" s="6">
        <v>24</v>
      </c>
    </row>
    <row r="158" spans="1:9" ht="87" thickBot="1" x14ac:dyDescent="0.35">
      <c r="A158" s="11" t="s">
        <v>8</v>
      </c>
      <c r="B158" s="11" t="s">
        <v>9</v>
      </c>
      <c r="C158" s="11" t="s">
        <v>10</v>
      </c>
      <c r="D158" s="12" t="s">
        <v>11</v>
      </c>
      <c r="E158" s="13" t="s">
        <v>12</v>
      </c>
      <c r="F158" s="14" t="s">
        <v>13</v>
      </c>
      <c r="G158" s="14" t="s">
        <v>14</v>
      </c>
      <c r="H158" s="14" t="s">
        <v>15</v>
      </c>
      <c r="I158" s="15" t="s">
        <v>16</v>
      </c>
    </row>
    <row r="159" spans="1:9" x14ac:dyDescent="0.3">
      <c r="A159" s="16" t="s">
        <v>17</v>
      </c>
      <c r="B159" s="17">
        <f>I154</f>
        <v>35000</v>
      </c>
      <c r="C159" s="17">
        <f>I154/I157</f>
        <v>1458.3333333333333</v>
      </c>
      <c r="D159" s="17">
        <f>(B159*0.015)</f>
        <v>525</v>
      </c>
      <c r="E159" s="17">
        <f>$C$7+D159</f>
        <v>1358.3333333333335</v>
      </c>
      <c r="F159" s="17"/>
      <c r="G159" s="17"/>
      <c r="H159" s="18"/>
      <c r="I159" s="19"/>
    </row>
    <row r="160" spans="1:9" x14ac:dyDescent="0.3">
      <c r="A160" s="20" t="s">
        <v>18</v>
      </c>
      <c r="B160" s="8">
        <v>33534</v>
      </c>
      <c r="C160" s="8">
        <v>1458</v>
      </c>
      <c r="D160" s="8">
        <f t="shared" ref="D160:D182" si="9">(B160*0.015)</f>
        <v>503.01</v>
      </c>
      <c r="E160" s="8">
        <f t="shared" ref="E160:E182" si="10">SUM(C160:D160)</f>
        <v>1961.01</v>
      </c>
      <c r="F160" s="8"/>
      <c r="G160" s="8"/>
      <c r="H160" s="10"/>
      <c r="I160" s="21"/>
    </row>
    <row r="161" spans="1:9" x14ac:dyDescent="0.3">
      <c r="A161" s="20" t="s">
        <v>19</v>
      </c>
      <c r="B161" s="8">
        <v>32076</v>
      </c>
      <c r="C161" s="8">
        <v>1458</v>
      </c>
      <c r="D161" s="8">
        <f t="shared" si="9"/>
        <v>481.14</v>
      </c>
      <c r="E161" s="8">
        <f t="shared" si="10"/>
        <v>1939.1399999999999</v>
      </c>
      <c r="F161" s="8"/>
      <c r="G161" s="8"/>
      <c r="H161" s="10"/>
      <c r="I161" s="21"/>
    </row>
    <row r="162" spans="1:9" x14ac:dyDescent="0.3">
      <c r="A162" s="20" t="s">
        <v>20</v>
      </c>
      <c r="B162" s="8">
        <v>30618</v>
      </c>
      <c r="C162" s="8">
        <v>1458</v>
      </c>
      <c r="D162" s="8">
        <f t="shared" si="9"/>
        <v>459.27</v>
      </c>
      <c r="E162" s="8">
        <f t="shared" si="10"/>
        <v>1917.27</v>
      </c>
      <c r="F162" s="8"/>
      <c r="G162" s="8"/>
      <c r="H162" s="10"/>
      <c r="I162" s="21"/>
    </row>
    <row r="163" spans="1:9" ht="15" thickBot="1" x14ac:dyDescent="0.35">
      <c r="A163" s="20" t="s">
        <v>21</v>
      </c>
      <c r="B163" s="8">
        <v>29160</v>
      </c>
      <c r="C163" s="8">
        <v>1458</v>
      </c>
      <c r="D163" s="8">
        <f t="shared" si="9"/>
        <v>437.4</v>
      </c>
      <c r="E163" s="8">
        <f t="shared" si="10"/>
        <v>1895.4</v>
      </c>
      <c r="F163" s="8"/>
      <c r="G163" s="8"/>
      <c r="H163" s="10"/>
      <c r="I163" s="21"/>
    </row>
    <row r="164" spans="1:9" x14ac:dyDescent="0.3">
      <c r="A164" s="20" t="s">
        <v>23</v>
      </c>
      <c r="B164" s="8">
        <v>27702</v>
      </c>
      <c r="C164" s="17">
        <v>1458</v>
      </c>
      <c r="D164" s="8">
        <f t="shared" si="9"/>
        <v>415.53</v>
      </c>
      <c r="E164" s="8">
        <f t="shared" si="10"/>
        <v>1873.53</v>
      </c>
      <c r="F164" s="8"/>
      <c r="G164" s="8"/>
      <c r="H164" s="10"/>
      <c r="I164" s="21"/>
    </row>
    <row r="165" spans="1:9" x14ac:dyDescent="0.3">
      <c r="A165" s="20" t="s">
        <v>24</v>
      </c>
      <c r="B165" s="8">
        <v>26244</v>
      </c>
      <c r="C165" s="8">
        <v>1458</v>
      </c>
      <c r="D165" s="8">
        <f t="shared" si="9"/>
        <v>393.65999999999997</v>
      </c>
      <c r="E165" s="8">
        <f t="shared" si="10"/>
        <v>1851.6599999999999</v>
      </c>
      <c r="F165" s="8"/>
      <c r="G165" s="8"/>
      <c r="H165" s="10"/>
      <c r="I165" s="21"/>
    </row>
    <row r="166" spans="1:9" x14ac:dyDescent="0.3">
      <c r="A166" s="20" t="s">
        <v>25</v>
      </c>
      <c r="B166" s="8">
        <v>24786</v>
      </c>
      <c r="C166" s="8">
        <v>1458</v>
      </c>
      <c r="D166" s="8">
        <f t="shared" si="9"/>
        <v>371.78999999999996</v>
      </c>
      <c r="E166" s="8">
        <f t="shared" si="10"/>
        <v>1829.79</v>
      </c>
      <c r="F166" s="8"/>
      <c r="G166" s="8"/>
      <c r="H166" s="10"/>
      <c r="I166" s="21"/>
    </row>
    <row r="167" spans="1:9" x14ac:dyDescent="0.3">
      <c r="A167" s="20" t="s">
        <v>26</v>
      </c>
      <c r="B167" s="8">
        <v>23328</v>
      </c>
      <c r="C167" s="8">
        <v>1458</v>
      </c>
      <c r="D167" s="8">
        <f t="shared" si="9"/>
        <v>349.91999999999996</v>
      </c>
      <c r="E167" s="8">
        <f t="shared" si="10"/>
        <v>1807.92</v>
      </c>
      <c r="F167" s="8"/>
      <c r="G167" s="8"/>
      <c r="H167" s="10"/>
      <c r="I167" s="21"/>
    </row>
    <row r="168" spans="1:9" ht="15" thickBot="1" x14ac:dyDescent="0.35">
      <c r="A168" s="20" t="s">
        <v>27</v>
      </c>
      <c r="B168" s="8">
        <v>21870</v>
      </c>
      <c r="C168" s="8">
        <v>1458</v>
      </c>
      <c r="D168" s="8">
        <f t="shared" si="9"/>
        <v>328.05</v>
      </c>
      <c r="E168" s="8">
        <f t="shared" si="10"/>
        <v>1786.05</v>
      </c>
      <c r="F168" s="8"/>
      <c r="G168" s="8"/>
      <c r="H168" s="10"/>
      <c r="I168" s="21"/>
    </row>
    <row r="169" spans="1:9" x14ac:dyDescent="0.3">
      <c r="A169" s="20" t="s">
        <v>28</v>
      </c>
      <c r="B169" s="8">
        <v>20412</v>
      </c>
      <c r="C169" s="17">
        <v>1458</v>
      </c>
      <c r="D169" s="8">
        <f t="shared" si="9"/>
        <v>306.18</v>
      </c>
      <c r="E169" s="8">
        <f t="shared" si="10"/>
        <v>1764.18</v>
      </c>
      <c r="F169" s="8"/>
      <c r="G169" s="8"/>
      <c r="H169" s="10"/>
      <c r="I169" s="21"/>
    </row>
    <row r="170" spans="1:9" x14ac:dyDescent="0.3">
      <c r="A170" s="20" t="s">
        <v>29</v>
      </c>
      <c r="B170" s="8">
        <v>18954</v>
      </c>
      <c r="C170" s="8">
        <v>1458</v>
      </c>
      <c r="D170" s="8">
        <f t="shared" si="9"/>
        <v>284.31</v>
      </c>
      <c r="E170" s="8">
        <f t="shared" si="10"/>
        <v>1742.31</v>
      </c>
      <c r="F170" s="8"/>
      <c r="G170" s="8"/>
      <c r="H170" s="10"/>
      <c r="I170" s="21"/>
    </row>
    <row r="171" spans="1:9" x14ac:dyDescent="0.3">
      <c r="A171" s="20" t="s">
        <v>30</v>
      </c>
      <c r="B171" s="8">
        <v>17496</v>
      </c>
      <c r="C171" s="8">
        <v>1458</v>
      </c>
      <c r="D171" s="8">
        <f t="shared" si="9"/>
        <v>262.44</v>
      </c>
      <c r="E171" s="8">
        <f t="shared" si="10"/>
        <v>1720.44</v>
      </c>
      <c r="F171" s="8"/>
      <c r="G171" s="8"/>
      <c r="H171" s="10"/>
      <c r="I171" s="21"/>
    </row>
    <row r="172" spans="1:9" x14ac:dyDescent="0.3">
      <c r="A172" s="20" t="s">
        <v>31</v>
      </c>
      <c r="B172" s="8">
        <v>16038</v>
      </c>
      <c r="C172" s="8">
        <v>1458</v>
      </c>
      <c r="D172" s="8">
        <f t="shared" si="9"/>
        <v>240.57</v>
      </c>
      <c r="E172" s="8">
        <f t="shared" si="10"/>
        <v>1698.57</v>
      </c>
      <c r="F172" s="8"/>
      <c r="G172" s="8"/>
      <c r="H172" s="10"/>
      <c r="I172" s="21"/>
    </row>
    <row r="173" spans="1:9" ht="15" thickBot="1" x14ac:dyDescent="0.35">
      <c r="A173" s="20" t="s">
        <v>32</v>
      </c>
      <c r="B173" s="8">
        <v>14580</v>
      </c>
      <c r="C173" s="8">
        <v>1458</v>
      </c>
      <c r="D173" s="8">
        <f t="shared" si="9"/>
        <v>218.7</v>
      </c>
      <c r="E173" s="8">
        <f t="shared" si="10"/>
        <v>1676.7</v>
      </c>
      <c r="F173" s="8"/>
      <c r="G173" s="8"/>
      <c r="H173" s="10"/>
      <c r="I173" s="21"/>
    </row>
    <row r="174" spans="1:9" x14ac:dyDescent="0.3">
      <c r="A174" s="20" t="s">
        <v>33</v>
      </c>
      <c r="B174" s="8">
        <v>13122</v>
      </c>
      <c r="C174" s="17">
        <v>1458</v>
      </c>
      <c r="D174" s="8">
        <f t="shared" si="9"/>
        <v>196.82999999999998</v>
      </c>
      <c r="E174" s="8">
        <f t="shared" si="10"/>
        <v>1654.83</v>
      </c>
      <c r="F174" s="8"/>
      <c r="G174" s="8"/>
      <c r="H174" s="10"/>
      <c r="I174" s="21"/>
    </row>
    <row r="175" spans="1:9" x14ac:dyDescent="0.3">
      <c r="A175" s="20" t="s">
        <v>34</v>
      </c>
      <c r="B175" s="8">
        <v>11664</v>
      </c>
      <c r="C175" s="8">
        <v>1458</v>
      </c>
      <c r="D175" s="8">
        <f t="shared" si="9"/>
        <v>174.95999999999998</v>
      </c>
      <c r="E175" s="8">
        <f t="shared" si="10"/>
        <v>1632.96</v>
      </c>
      <c r="F175" s="8"/>
      <c r="G175" s="8"/>
      <c r="H175" s="10"/>
      <c r="I175" s="21"/>
    </row>
    <row r="176" spans="1:9" x14ac:dyDescent="0.3">
      <c r="A176" s="20" t="s">
        <v>35</v>
      </c>
      <c r="B176" s="8">
        <v>10206</v>
      </c>
      <c r="C176" s="8">
        <v>1458</v>
      </c>
      <c r="D176" s="8">
        <f t="shared" si="9"/>
        <v>153.09</v>
      </c>
      <c r="E176" s="8">
        <f t="shared" si="10"/>
        <v>1611.09</v>
      </c>
      <c r="F176" s="8"/>
      <c r="G176" s="8"/>
      <c r="H176" s="10"/>
      <c r="I176" s="21"/>
    </row>
    <row r="177" spans="1:9" x14ac:dyDescent="0.3">
      <c r="A177" s="20" t="s">
        <v>36</v>
      </c>
      <c r="B177" s="8">
        <v>8748</v>
      </c>
      <c r="C177" s="8">
        <v>1458</v>
      </c>
      <c r="D177" s="8">
        <f t="shared" si="9"/>
        <v>131.22</v>
      </c>
      <c r="E177" s="8">
        <f t="shared" si="10"/>
        <v>1589.22</v>
      </c>
      <c r="F177" s="8"/>
      <c r="G177" s="8"/>
      <c r="H177" s="10"/>
      <c r="I177" s="21"/>
    </row>
    <row r="178" spans="1:9" x14ac:dyDescent="0.3">
      <c r="A178" s="20" t="s">
        <v>37</v>
      </c>
      <c r="B178" s="8">
        <v>7290</v>
      </c>
      <c r="C178" s="8">
        <v>1458</v>
      </c>
      <c r="D178" s="8">
        <f t="shared" si="9"/>
        <v>109.35</v>
      </c>
      <c r="E178" s="8">
        <f t="shared" si="10"/>
        <v>1567.35</v>
      </c>
      <c r="F178" s="8"/>
      <c r="G178" s="8"/>
      <c r="H178" s="10"/>
      <c r="I178" s="21"/>
    </row>
    <row r="179" spans="1:9" x14ac:dyDescent="0.3">
      <c r="A179" s="20" t="s">
        <v>38</v>
      </c>
      <c r="B179" s="8">
        <v>5832</v>
      </c>
      <c r="C179" s="8">
        <v>1458</v>
      </c>
      <c r="D179" s="8">
        <f t="shared" si="9"/>
        <v>87.47999999999999</v>
      </c>
      <c r="E179" s="8">
        <f t="shared" si="10"/>
        <v>1545.48</v>
      </c>
      <c r="F179" s="8"/>
      <c r="G179" s="8"/>
      <c r="H179" s="10"/>
      <c r="I179" s="21"/>
    </row>
    <row r="180" spans="1:9" x14ac:dyDescent="0.3">
      <c r="A180" s="20" t="s">
        <v>39</v>
      </c>
      <c r="B180" s="8">
        <v>4374</v>
      </c>
      <c r="C180" s="8">
        <v>1458</v>
      </c>
      <c r="D180" s="8">
        <f t="shared" si="9"/>
        <v>65.61</v>
      </c>
      <c r="E180" s="8">
        <f t="shared" si="10"/>
        <v>1523.61</v>
      </c>
      <c r="F180" s="8"/>
      <c r="G180" s="8"/>
      <c r="H180" s="10"/>
      <c r="I180" s="21"/>
    </row>
    <row r="181" spans="1:9" x14ac:dyDescent="0.3">
      <c r="A181" s="20" t="s">
        <v>40</v>
      </c>
      <c r="B181" s="8">
        <v>2916</v>
      </c>
      <c r="C181" s="8">
        <v>1458</v>
      </c>
      <c r="D181" s="8">
        <f t="shared" si="9"/>
        <v>43.739999999999995</v>
      </c>
      <c r="E181" s="8">
        <f t="shared" si="10"/>
        <v>1501.74</v>
      </c>
      <c r="F181" s="8"/>
      <c r="G181" s="8"/>
      <c r="H181" s="10"/>
      <c r="I181" s="21"/>
    </row>
    <row r="182" spans="1:9" ht="15" thickBot="1" x14ac:dyDescent="0.35">
      <c r="A182" s="22" t="s">
        <v>41</v>
      </c>
      <c r="B182" s="23">
        <v>1458</v>
      </c>
      <c r="C182" s="23">
        <v>1458</v>
      </c>
      <c r="D182" s="23">
        <f t="shared" si="9"/>
        <v>21.869999999999997</v>
      </c>
      <c r="E182" s="23">
        <f t="shared" si="10"/>
        <v>1479.87</v>
      </c>
      <c r="F182" s="23"/>
      <c r="G182" s="23"/>
      <c r="H182" s="24"/>
      <c r="I182" s="25" t="s">
        <v>42</v>
      </c>
    </row>
    <row r="185" spans="1:9" x14ac:dyDescent="0.3">
      <c r="E185" s="38"/>
    </row>
  </sheetData>
  <mergeCells count="12">
    <mergeCell ref="B52:D52"/>
    <mergeCell ref="G52:H52"/>
    <mergeCell ref="B2:D2"/>
    <mergeCell ref="G2:H2"/>
    <mergeCell ref="E4:H4"/>
    <mergeCell ref="B5:C5"/>
    <mergeCell ref="D5:H5"/>
    <mergeCell ref="B104:D104"/>
    <mergeCell ref="G104:H104"/>
    <mergeCell ref="E106:H106"/>
    <mergeCell ref="B107:C107"/>
    <mergeCell ref="D107:H107"/>
  </mergeCells>
  <pageMargins left="0.25" right="0.25" top="0.75" bottom="0.75" header="0.3" footer="0.3"/>
  <pageSetup paperSize="256" orientation="portrait" horizontalDpi="4294967293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BF2F-45E7-46A5-96BE-20936EA99886}">
  <dimension ref="A1:N63"/>
  <sheetViews>
    <sheetView topLeftCell="A50" zoomScale="94" zoomScaleNormal="94" workbookViewId="0">
      <selection activeCell="A46" sqref="A46:I62"/>
    </sheetView>
  </sheetViews>
  <sheetFormatPr defaultRowHeight="14.4" x14ac:dyDescent="0.3"/>
  <cols>
    <col min="1" max="1" width="21.44140625" customWidth="1"/>
  </cols>
  <sheetData>
    <row r="1" spans="1:14" x14ac:dyDescent="0.3">
      <c r="A1" s="42"/>
    </row>
    <row r="2" spans="1:14" x14ac:dyDescent="0.3">
      <c r="A2" s="40" t="s">
        <v>0</v>
      </c>
      <c r="B2" s="238" t="s">
        <v>52</v>
      </c>
      <c r="C2" s="238"/>
      <c r="D2" s="238"/>
      <c r="F2" s="2"/>
      <c r="G2" s="235" t="s">
        <v>1</v>
      </c>
      <c r="H2" s="235"/>
      <c r="I2" s="3">
        <v>25000</v>
      </c>
    </row>
    <row r="3" spans="1:14" x14ac:dyDescent="0.3">
      <c r="A3" s="40" t="s">
        <v>2</v>
      </c>
      <c r="B3" s="4"/>
      <c r="D3" s="4"/>
      <c r="E3" s="1"/>
      <c r="F3" s="1"/>
      <c r="G3" s="5"/>
      <c r="H3" s="1" t="s">
        <v>3</v>
      </c>
      <c r="I3" s="9" t="s">
        <v>53</v>
      </c>
    </row>
    <row r="4" spans="1:14" x14ac:dyDescent="0.3">
      <c r="A4" s="40" t="s">
        <v>4</v>
      </c>
      <c r="B4" s="6"/>
      <c r="D4" s="6"/>
      <c r="E4" s="235" t="s">
        <v>5</v>
      </c>
      <c r="F4" s="235"/>
      <c r="G4" s="235"/>
      <c r="H4" s="235"/>
      <c r="I4" s="7">
        <v>1.4999999999999999E-2</v>
      </c>
    </row>
    <row r="5" spans="1:14" ht="15" thickBot="1" x14ac:dyDescent="0.35">
      <c r="A5" s="40" t="s">
        <v>6</v>
      </c>
      <c r="B5" s="236"/>
      <c r="C5" s="236"/>
      <c r="D5" s="237" t="s">
        <v>7</v>
      </c>
      <c r="E5" s="237"/>
      <c r="F5" s="237"/>
      <c r="G5" s="237"/>
      <c r="H5" s="237"/>
      <c r="I5" s="6">
        <v>12</v>
      </c>
    </row>
    <row r="6" spans="1:14" ht="87" thickBot="1" x14ac:dyDescent="0.35">
      <c r="A6" s="11" t="s">
        <v>8</v>
      </c>
      <c r="B6" s="11" t="s">
        <v>9</v>
      </c>
      <c r="C6" s="11" t="s">
        <v>10</v>
      </c>
      <c r="D6" s="12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5" t="s">
        <v>16</v>
      </c>
    </row>
    <row r="7" spans="1:14" x14ac:dyDescent="0.3">
      <c r="A7" s="16" t="s">
        <v>17</v>
      </c>
      <c r="B7" s="17">
        <f>I2</f>
        <v>25000</v>
      </c>
      <c r="C7" s="17">
        <f>I2/I5</f>
        <v>2083.3333333333335</v>
      </c>
      <c r="D7" s="17">
        <f>(B7*0.015)</f>
        <v>375</v>
      </c>
      <c r="E7" s="17">
        <f>$C$7+D7</f>
        <v>2458.3333333333335</v>
      </c>
      <c r="F7" s="17"/>
      <c r="G7" s="17"/>
      <c r="H7" s="18"/>
      <c r="I7" s="19"/>
      <c r="L7" s="28"/>
      <c r="N7" s="38"/>
    </row>
    <row r="8" spans="1:14" x14ac:dyDescent="0.3">
      <c r="A8" s="20" t="s">
        <v>18</v>
      </c>
      <c r="B8" s="8">
        <v>22913</v>
      </c>
      <c r="C8" s="8">
        <f>$C$7</f>
        <v>2083.3333333333335</v>
      </c>
      <c r="D8" s="8">
        <f t="shared" ref="D8:D18" si="0">(B8*0.015)</f>
        <v>343.69499999999999</v>
      </c>
      <c r="E8" s="8">
        <f t="shared" ref="E8:E18" si="1">$C$7+D8</f>
        <v>2427.0283333333336</v>
      </c>
      <c r="F8" s="8"/>
      <c r="G8" s="8"/>
      <c r="H8" s="10"/>
      <c r="I8" s="21"/>
      <c r="L8" s="28"/>
      <c r="N8" s="38"/>
    </row>
    <row r="9" spans="1:14" x14ac:dyDescent="0.3">
      <c r="A9" s="20" t="s">
        <v>19</v>
      </c>
      <c r="B9" s="8">
        <v>20830</v>
      </c>
      <c r="C9" s="8">
        <f t="shared" ref="C9:C18" si="2">$C$7</f>
        <v>2083.3333333333335</v>
      </c>
      <c r="D9" s="8">
        <f t="shared" si="0"/>
        <v>312.45</v>
      </c>
      <c r="E9" s="8">
        <f t="shared" si="1"/>
        <v>2395.7833333333333</v>
      </c>
      <c r="F9" s="8"/>
      <c r="G9" s="8"/>
      <c r="H9" s="10"/>
      <c r="I9" s="21"/>
      <c r="L9" s="28"/>
      <c r="N9" s="38"/>
    </row>
    <row r="10" spans="1:14" x14ac:dyDescent="0.3">
      <c r="A10" s="20" t="s">
        <v>20</v>
      </c>
      <c r="B10" s="8">
        <v>18747</v>
      </c>
      <c r="C10" s="8">
        <f t="shared" si="2"/>
        <v>2083.3333333333335</v>
      </c>
      <c r="D10" s="8">
        <f t="shared" si="0"/>
        <v>281.20499999999998</v>
      </c>
      <c r="E10" s="8">
        <f t="shared" si="1"/>
        <v>2364.5383333333334</v>
      </c>
      <c r="F10" s="8"/>
      <c r="G10" s="8"/>
      <c r="H10" s="10"/>
      <c r="I10" s="21"/>
      <c r="L10" s="28"/>
      <c r="N10" s="38"/>
    </row>
    <row r="11" spans="1:14" x14ac:dyDescent="0.3">
      <c r="A11" s="20" t="s">
        <v>21</v>
      </c>
      <c r="B11" s="8">
        <v>16664</v>
      </c>
      <c r="C11" s="8">
        <f t="shared" si="2"/>
        <v>2083.3333333333335</v>
      </c>
      <c r="D11" s="8">
        <f t="shared" si="0"/>
        <v>249.95999999999998</v>
      </c>
      <c r="E11" s="8">
        <f t="shared" si="1"/>
        <v>2333.2933333333335</v>
      </c>
      <c r="F11" s="8"/>
      <c r="G11" s="8"/>
      <c r="H11" s="10"/>
      <c r="I11" s="21"/>
      <c r="L11" s="28"/>
      <c r="N11" s="38"/>
    </row>
    <row r="12" spans="1:14" x14ac:dyDescent="0.3">
      <c r="A12" s="20" t="s">
        <v>23</v>
      </c>
      <c r="B12" s="8">
        <v>14581</v>
      </c>
      <c r="C12" s="8">
        <f t="shared" si="2"/>
        <v>2083.3333333333335</v>
      </c>
      <c r="D12" s="8">
        <f t="shared" si="0"/>
        <v>218.715</v>
      </c>
      <c r="E12" s="8">
        <f t="shared" si="1"/>
        <v>2302.0483333333336</v>
      </c>
      <c r="F12" s="8"/>
      <c r="G12" s="8"/>
      <c r="H12" s="10"/>
      <c r="I12" s="21"/>
      <c r="L12" s="28"/>
      <c r="N12" s="38"/>
    </row>
    <row r="13" spans="1:14" x14ac:dyDescent="0.3">
      <c r="A13" s="20" t="s">
        <v>24</v>
      </c>
      <c r="B13" s="8">
        <v>12498</v>
      </c>
      <c r="C13" s="8">
        <f t="shared" si="2"/>
        <v>2083.3333333333335</v>
      </c>
      <c r="D13" s="8">
        <f t="shared" si="0"/>
        <v>187.47</v>
      </c>
      <c r="E13" s="8">
        <f t="shared" si="1"/>
        <v>2270.8033333333333</v>
      </c>
      <c r="F13" s="8"/>
      <c r="G13" s="8"/>
      <c r="H13" s="10"/>
      <c r="I13" s="21"/>
      <c r="L13" s="28"/>
      <c r="N13" s="38"/>
    </row>
    <row r="14" spans="1:14" x14ac:dyDescent="0.3">
      <c r="A14" s="20" t="s">
        <v>25</v>
      </c>
      <c r="B14" s="8">
        <v>10415</v>
      </c>
      <c r="C14" s="8">
        <f t="shared" si="2"/>
        <v>2083.3333333333335</v>
      </c>
      <c r="D14" s="8">
        <f t="shared" si="0"/>
        <v>156.22499999999999</v>
      </c>
      <c r="E14" s="8">
        <f t="shared" si="1"/>
        <v>2239.5583333333334</v>
      </c>
      <c r="F14" s="8"/>
      <c r="G14" s="8"/>
      <c r="H14" s="10"/>
      <c r="I14" s="21"/>
      <c r="L14" s="28"/>
      <c r="N14" s="38"/>
    </row>
    <row r="15" spans="1:14" x14ac:dyDescent="0.3">
      <c r="A15" s="20" t="s">
        <v>26</v>
      </c>
      <c r="B15" s="8">
        <v>8332</v>
      </c>
      <c r="C15" s="8">
        <f t="shared" si="2"/>
        <v>2083.3333333333335</v>
      </c>
      <c r="D15" s="8">
        <f t="shared" si="0"/>
        <v>124.97999999999999</v>
      </c>
      <c r="E15" s="8">
        <f t="shared" si="1"/>
        <v>2208.3133333333335</v>
      </c>
      <c r="F15" s="8"/>
      <c r="G15" s="8"/>
      <c r="H15" s="10"/>
      <c r="I15" s="21"/>
      <c r="L15" s="28"/>
      <c r="N15" s="38"/>
    </row>
    <row r="16" spans="1:14" x14ac:dyDescent="0.3">
      <c r="A16" s="20" t="s">
        <v>27</v>
      </c>
      <c r="B16" s="8">
        <v>6249</v>
      </c>
      <c r="C16" s="8">
        <f t="shared" si="2"/>
        <v>2083.3333333333335</v>
      </c>
      <c r="D16" s="8">
        <f t="shared" si="0"/>
        <v>93.734999999999999</v>
      </c>
      <c r="E16" s="8">
        <f t="shared" si="1"/>
        <v>2177.0683333333336</v>
      </c>
      <c r="F16" s="8"/>
      <c r="G16" s="8"/>
      <c r="H16" s="10"/>
      <c r="I16" s="21"/>
      <c r="L16" s="28"/>
      <c r="N16" s="38"/>
    </row>
    <row r="17" spans="1:14" x14ac:dyDescent="0.3">
      <c r="A17" s="20" t="s">
        <v>28</v>
      </c>
      <c r="B17" s="8">
        <v>4166</v>
      </c>
      <c r="C17" s="8">
        <f t="shared" si="2"/>
        <v>2083.3333333333335</v>
      </c>
      <c r="D17" s="8">
        <f t="shared" si="0"/>
        <v>62.489999999999995</v>
      </c>
      <c r="E17" s="8">
        <f t="shared" si="1"/>
        <v>2145.8233333333333</v>
      </c>
      <c r="F17" s="8"/>
      <c r="G17" s="8"/>
      <c r="H17" s="10"/>
      <c r="I17" s="21"/>
      <c r="L17" s="28"/>
      <c r="N17" s="38"/>
    </row>
    <row r="18" spans="1:14" x14ac:dyDescent="0.3">
      <c r="A18" s="20" t="s">
        <v>29</v>
      </c>
      <c r="B18" s="8">
        <v>2083</v>
      </c>
      <c r="C18" s="8">
        <f t="shared" si="2"/>
        <v>2083.3333333333335</v>
      </c>
      <c r="D18" s="8">
        <f t="shared" si="0"/>
        <v>31.244999999999997</v>
      </c>
      <c r="E18" s="8">
        <f t="shared" si="1"/>
        <v>2114.5783333333334</v>
      </c>
      <c r="F18" s="8"/>
      <c r="G18" s="8"/>
      <c r="H18" s="10"/>
      <c r="I18" s="21" t="s">
        <v>42</v>
      </c>
      <c r="L18" s="28"/>
      <c r="N18" s="38"/>
    </row>
    <row r="19" spans="1:14" x14ac:dyDescent="0.3">
      <c r="E19" s="38"/>
    </row>
    <row r="25" spans="1:14" x14ac:dyDescent="0.3">
      <c r="A25" s="42"/>
      <c r="B25" s="238" t="s">
        <v>59</v>
      </c>
      <c r="C25" s="238"/>
      <c r="D25" s="238"/>
      <c r="F25" s="2"/>
      <c r="G25" s="235" t="s">
        <v>1</v>
      </c>
      <c r="H25" s="235"/>
      <c r="I25" s="3">
        <v>25000</v>
      </c>
    </row>
    <row r="26" spans="1:14" x14ac:dyDescent="0.3">
      <c r="A26" s="40" t="s">
        <v>0</v>
      </c>
      <c r="B26" s="4"/>
      <c r="D26" s="4"/>
      <c r="E26" s="1"/>
      <c r="F26" s="1"/>
      <c r="G26" s="5"/>
      <c r="H26" s="1" t="s">
        <v>3</v>
      </c>
      <c r="I26" s="9" t="s">
        <v>67</v>
      </c>
    </row>
    <row r="27" spans="1:14" x14ac:dyDescent="0.3">
      <c r="A27" s="40" t="s">
        <v>2</v>
      </c>
      <c r="B27" s="6"/>
      <c r="D27" s="6"/>
      <c r="E27" s="235" t="s">
        <v>5</v>
      </c>
      <c r="F27" s="235"/>
      <c r="G27" s="235"/>
      <c r="H27" s="235"/>
      <c r="I27" s="7">
        <v>1.4999999999999999E-2</v>
      </c>
    </row>
    <row r="28" spans="1:14" ht="15" thickBot="1" x14ac:dyDescent="0.35">
      <c r="A28" s="40" t="s">
        <v>4</v>
      </c>
      <c r="B28" s="236"/>
      <c r="C28" s="236"/>
      <c r="D28" s="237" t="s">
        <v>7</v>
      </c>
      <c r="E28" s="237"/>
      <c r="F28" s="237"/>
      <c r="G28" s="237"/>
      <c r="H28" s="237"/>
      <c r="I28" s="6">
        <v>12</v>
      </c>
    </row>
    <row r="29" spans="1:14" ht="87" thickBot="1" x14ac:dyDescent="0.35">
      <c r="A29" s="40" t="s">
        <v>6</v>
      </c>
      <c r="B29" s="11" t="s">
        <v>9</v>
      </c>
      <c r="C29" s="11" t="s">
        <v>10</v>
      </c>
      <c r="D29" s="12" t="s">
        <v>11</v>
      </c>
      <c r="E29" s="13" t="s">
        <v>12</v>
      </c>
      <c r="F29" s="14" t="s">
        <v>13</v>
      </c>
      <c r="G29" s="14" t="s">
        <v>14</v>
      </c>
      <c r="H29" s="14" t="s">
        <v>15</v>
      </c>
      <c r="I29" s="15" t="s">
        <v>16</v>
      </c>
    </row>
    <row r="30" spans="1:14" x14ac:dyDescent="0.3">
      <c r="A30" s="16" t="s">
        <v>17</v>
      </c>
      <c r="B30" s="17">
        <f>I25</f>
        <v>25000</v>
      </c>
      <c r="C30" s="17">
        <f>I25/I28</f>
        <v>2083.3333333333335</v>
      </c>
      <c r="D30" s="17">
        <f>(B30*0.015)</f>
        <v>375</v>
      </c>
      <c r="E30" s="17">
        <f t="shared" ref="E30:E41" si="3">SUM(C30:D30)</f>
        <v>2458.3333333333335</v>
      </c>
      <c r="F30" s="17"/>
      <c r="G30" s="17"/>
      <c r="H30" s="18"/>
      <c r="I30" s="19"/>
    </row>
    <row r="31" spans="1:14" x14ac:dyDescent="0.3">
      <c r="A31" s="20" t="s">
        <v>18</v>
      </c>
      <c r="B31" s="8">
        <v>22913</v>
      </c>
      <c r="C31" s="8">
        <f>$C$7</f>
        <v>2083.3333333333335</v>
      </c>
      <c r="D31" s="8">
        <f t="shared" ref="D31:D41" si="4">(B31*0.015)</f>
        <v>343.69499999999999</v>
      </c>
      <c r="E31" s="8">
        <f t="shared" si="3"/>
        <v>2427.0283333333336</v>
      </c>
      <c r="F31" s="8"/>
      <c r="G31" s="8"/>
      <c r="H31" s="10"/>
      <c r="I31" s="21"/>
    </row>
    <row r="32" spans="1:14" x14ac:dyDescent="0.3">
      <c r="A32" s="20" t="s">
        <v>19</v>
      </c>
      <c r="B32" s="8">
        <v>20830</v>
      </c>
      <c r="C32" s="8">
        <f t="shared" ref="C32:C41" si="5">$C$7</f>
        <v>2083.3333333333335</v>
      </c>
      <c r="D32" s="8">
        <f t="shared" si="4"/>
        <v>312.45</v>
      </c>
      <c r="E32" s="8">
        <f t="shared" si="3"/>
        <v>2395.7833333333333</v>
      </c>
      <c r="F32" s="8"/>
      <c r="G32" s="8"/>
      <c r="H32" s="10"/>
      <c r="I32" s="21"/>
    </row>
    <row r="33" spans="1:9" x14ac:dyDescent="0.3">
      <c r="A33" s="20" t="s">
        <v>20</v>
      </c>
      <c r="B33" s="8">
        <v>18747</v>
      </c>
      <c r="C33" s="8">
        <f t="shared" si="5"/>
        <v>2083.3333333333335</v>
      </c>
      <c r="D33" s="8">
        <f t="shared" si="4"/>
        <v>281.20499999999998</v>
      </c>
      <c r="E33" s="8">
        <f t="shared" si="3"/>
        <v>2364.5383333333334</v>
      </c>
      <c r="F33" s="8"/>
      <c r="G33" s="8"/>
      <c r="H33" s="10"/>
      <c r="I33" s="21"/>
    </row>
    <row r="34" spans="1:9" x14ac:dyDescent="0.3">
      <c r="A34" s="20" t="s">
        <v>21</v>
      </c>
      <c r="B34" s="8">
        <v>16664</v>
      </c>
      <c r="C34" s="8">
        <f t="shared" si="5"/>
        <v>2083.3333333333335</v>
      </c>
      <c r="D34" s="8">
        <f t="shared" si="4"/>
        <v>249.95999999999998</v>
      </c>
      <c r="E34" s="8">
        <f t="shared" si="3"/>
        <v>2333.2933333333335</v>
      </c>
      <c r="F34" s="8"/>
      <c r="G34" s="8"/>
      <c r="H34" s="10"/>
      <c r="I34" s="21"/>
    </row>
    <row r="35" spans="1:9" x14ac:dyDescent="0.3">
      <c r="A35" s="20" t="s">
        <v>23</v>
      </c>
      <c r="B35" s="8">
        <v>14581</v>
      </c>
      <c r="C35" s="8">
        <f t="shared" si="5"/>
        <v>2083.3333333333335</v>
      </c>
      <c r="D35" s="8">
        <f t="shared" si="4"/>
        <v>218.715</v>
      </c>
      <c r="E35" s="8">
        <f t="shared" si="3"/>
        <v>2302.0483333333336</v>
      </c>
      <c r="F35" s="8"/>
      <c r="G35" s="8"/>
      <c r="H35" s="10"/>
      <c r="I35" s="21"/>
    </row>
    <row r="36" spans="1:9" x14ac:dyDescent="0.3">
      <c r="A36" s="20" t="s">
        <v>24</v>
      </c>
      <c r="B36" s="8">
        <v>12498</v>
      </c>
      <c r="C36" s="8">
        <f t="shared" si="5"/>
        <v>2083.3333333333335</v>
      </c>
      <c r="D36" s="8">
        <f t="shared" si="4"/>
        <v>187.47</v>
      </c>
      <c r="E36" s="8">
        <f t="shared" si="3"/>
        <v>2270.8033333333333</v>
      </c>
      <c r="F36" s="8"/>
      <c r="G36" s="8"/>
      <c r="H36" s="10"/>
      <c r="I36" s="21"/>
    </row>
    <row r="37" spans="1:9" x14ac:dyDescent="0.3">
      <c r="A37" s="20" t="s">
        <v>25</v>
      </c>
      <c r="B37" s="8">
        <v>10415</v>
      </c>
      <c r="C37" s="8">
        <f t="shared" si="5"/>
        <v>2083.3333333333335</v>
      </c>
      <c r="D37" s="8">
        <f t="shared" si="4"/>
        <v>156.22499999999999</v>
      </c>
      <c r="E37" s="8">
        <f t="shared" si="3"/>
        <v>2239.5583333333334</v>
      </c>
      <c r="F37" s="8"/>
      <c r="G37" s="8"/>
      <c r="H37" s="10"/>
      <c r="I37" s="21"/>
    </row>
    <row r="38" spans="1:9" x14ac:dyDescent="0.3">
      <c r="A38" s="20" t="s">
        <v>26</v>
      </c>
      <c r="B38" s="8">
        <v>8332</v>
      </c>
      <c r="C38" s="8">
        <f t="shared" si="5"/>
        <v>2083.3333333333335</v>
      </c>
      <c r="D38" s="8">
        <f t="shared" si="4"/>
        <v>124.97999999999999</v>
      </c>
      <c r="E38" s="8">
        <f t="shared" si="3"/>
        <v>2208.3133333333335</v>
      </c>
      <c r="F38" s="8"/>
      <c r="G38" s="8"/>
      <c r="H38" s="10"/>
      <c r="I38" s="21"/>
    </row>
    <row r="39" spans="1:9" x14ac:dyDescent="0.3">
      <c r="A39" s="20" t="s">
        <v>27</v>
      </c>
      <c r="B39" s="8">
        <v>6249</v>
      </c>
      <c r="C39" s="8">
        <f t="shared" si="5"/>
        <v>2083.3333333333335</v>
      </c>
      <c r="D39" s="8">
        <f t="shared" si="4"/>
        <v>93.734999999999999</v>
      </c>
      <c r="E39" s="8">
        <f t="shared" si="3"/>
        <v>2177.0683333333336</v>
      </c>
      <c r="F39" s="8"/>
      <c r="G39" s="8"/>
      <c r="H39" s="10"/>
      <c r="I39" s="21"/>
    </row>
    <row r="40" spans="1:9" x14ac:dyDescent="0.3">
      <c r="A40" s="20" t="s">
        <v>28</v>
      </c>
      <c r="B40" s="8">
        <v>4166</v>
      </c>
      <c r="C40" s="8">
        <f t="shared" si="5"/>
        <v>2083.3333333333335</v>
      </c>
      <c r="D40" s="8">
        <f t="shared" si="4"/>
        <v>62.489999999999995</v>
      </c>
      <c r="E40" s="8">
        <f t="shared" si="3"/>
        <v>2145.8233333333333</v>
      </c>
      <c r="F40" s="8"/>
      <c r="G40" s="8"/>
      <c r="H40" s="10"/>
      <c r="I40" s="21"/>
    </row>
    <row r="41" spans="1:9" x14ac:dyDescent="0.3">
      <c r="A41" s="20" t="s">
        <v>29</v>
      </c>
      <c r="B41" s="8">
        <v>2083</v>
      </c>
      <c r="C41" s="8">
        <f t="shared" si="5"/>
        <v>2083.3333333333335</v>
      </c>
      <c r="D41" s="8">
        <f t="shared" si="4"/>
        <v>31.244999999999997</v>
      </c>
      <c r="E41" s="8">
        <f t="shared" si="3"/>
        <v>2114.5783333333334</v>
      </c>
      <c r="F41" s="8"/>
      <c r="G41" s="8"/>
      <c r="H41" s="10"/>
      <c r="I41" s="21" t="s">
        <v>42</v>
      </c>
    </row>
    <row r="42" spans="1:9" x14ac:dyDescent="0.3">
      <c r="C42" s="38"/>
      <c r="D42" s="38"/>
      <c r="E42" s="38"/>
    </row>
    <row r="46" spans="1:9" x14ac:dyDescent="0.3">
      <c r="A46" s="40" t="s">
        <v>0</v>
      </c>
      <c r="B46" s="238" t="s">
        <v>69</v>
      </c>
      <c r="C46" s="238"/>
      <c r="D46" s="238"/>
      <c r="F46" s="2"/>
      <c r="G46" s="235" t="s">
        <v>1</v>
      </c>
      <c r="H46" s="235"/>
      <c r="I46" s="3">
        <v>25000</v>
      </c>
    </row>
    <row r="47" spans="1:9" x14ac:dyDescent="0.3">
      <c r="A47" s="40" t="s">
        <v>2</v>
      </c>
      <c r="B47" s="4"/>
      <c r="D47" s="4"/>
      <c r="E47" s="1"/>
      <c r="F47" s="1"/>
      <c r="G47" s="5"/>
      <c r="H47" s="1" t="s">
        <v>3</v>
      </c>
      <c r="I47" s="9" t="s">
        <v>67</v>
      </c>
    </row>
    <row r="48" spans="1:9" x14ac:dyDescent="0.3">
      <c r="A48" s="40" t="s">
        <v>4</v>
      </c>
      <c r="B48" s="6"/>
      <c r="D48" s="6"/>
      <c r="E48" s="235" t="s">
        <v>5</v>
      </c>
      <c r="F48" s="235"/>
      <c r="G48" s="235"/>
      <c r="H48" s="235"/>
      <c r="I48" s="7">
        <v>1.4999999999999999E-2</v>
      </c>
    </row>
    <row r="49" spans="1:9" ht="15" thickBot="1" x14ac:dyDescent="0.35">
      <c r="A49" s="40" t="s">
        <v>6</v>
      </c>
      <c r="B49" s="236"/>
      <c r="C49" s="236"/>
      <c r="D49" s="237" t="s">
        <v>7</v>
      </c>
      <c r="E49" s="237"/>
      <c r="F49" s="237"/>
      <c r="G49" s="237"/>
      <c r="H49" s="237"/>
      <c r="I49" s="6">
        <v>12</v>
      </c>
    </row>
    <row r="50" spans="1:9" ht="87" thickBot="1" x14ac:dyDescent="0.35">
      <c r="A50" s="11" t="s">
        <v>8</v>
      </c>
      <c r="B50" s="11" t="s">
        <v>9</v>
      </c>
      <c r="C50" s="11" t="s">
        <v>10</v>
      </c>
      <c r="D50" s="12" t="s">
        <v>11</v>
      </c>
      <c r="E50" s="13" t="s">
        <v>12</v>
      </c>
      <c r="F50" s="14" t="s">
        <v>13</v>
      </c>
      <c r="G50" s="14" t="s">
        <v>14</v>
      </c>
      <c r="H50" s="14" t="s">
        <v>15</v>
      </c>
      <c r="I50" s="15" t="s">
        <v>16</v>
      </c>
    </row>
    <row r="51" spans="1:9" x14ac:dyDescent="0.3">
      <c r="A51" s="16" t="s">
        <v>17</v>
      </c>
      <c r="B51" s="17">
        <f>I46</f>
        <v>25000</v>
      </c>
      <c r="C51" s="17">
        <f>I46/I49</f>
        <v>2083.3333333333335</v>
      </c>
      <c r="D51" s="17">
        <f>(B51*0.015)</f>
        <v>375</v>
      </c>
      <c r="E51" s="17">
        <f>$C$7+D51</f>
        <v>2458.3333333333335</v>
      </c>
      <c r="F51" s="17"/>
      <c r="G51" s="17"/>
      <c r="H51" s="18"/>
      <c r="I51" s="19"/>
    </row>
    <row r="52" spans="1:9" x14ac:dyDescent="0.3">
      <c r="A52" s="20" t="s">
        <v>18</v>
      </c>
      <c r="B52" s="8">
        <v>22913</v>
      </c>
      <c r="C52" s="8">
        <f>$C$7</f>
        <v>2083.3333333333335</v>
      </c>
      <c r="D52" s="8">
        <f t="shared" ref="D52:D62" si="6">(B52*0.015)</f>
        <v>343.69499999999999</v>
      </c>
      <c r="E52" s="8">
        <f t="shared" ref="E52:E62" si="7">$C$7+D52</f>
        <v>2427.0283333333336</v>
      </c>
      <c r="F52" s="8"/>
      <c r="G52" s="8"/>
      <c r="H52" s="10"/>
      <c r="I52" s="21"/>
    </row>
    <row r="53" spans="1:9" x14ac:dyDescent="0.3">
      <c r="A53" s="20" t="s">
        <v>19</v>
      </c>
      <c r="B53" s="8">
        <v>20830</v>
      </c>
      <c r="C53" s="8">
        <f t="shared" ref="C53:C62" si="8">$C$7</f>
        <v>2083.3333333333335</v>
      </c>
      <c r="D53" s="8">
        <f t="shared" si="6"/>
        <v>312.45</v>
      </c>
      <c r="E53" s="8">
        <f t="shared" si="7"/>
        <v>2395.7833333333333</v>
      </c>
      <c r="F53" s="8"/>
      <c r="G53" s="8"/>
      <c r="H53" s="10"/>
      <c r="I53" s="21"/>
    </row>
    <row r="54" spans="1:9" x14ac:dyDescent="0.3">
      <c r="A54" s="20" t="s">
        <v>20</v>
      </c>
      <c r="B54" s="8">
        <v>18747</v>
      </c>
      <c r="C54" s="8">
        <f t="shared" si="8"/>
        <v>2083.3333333333335</v>
      </c>
      <c r="D54" s="8">
        <f t="shared" si="6"/>
        <v>281.20499999999998</v>
      </c>
      <c r="E54" s="8">
        <f t="shared" si="7"/>
        <v>2364.5383333333334</v>
      </c>
      <c r="F54" s="8"/>
      <c r="G54" s="8"/>
      <c r="H54" s="10"/>
      <c r="I54" s="21"/>
    </row>
    <row r="55" spans="1:9" x14ac:dyDescent="0.3">
      <c r="A55" s="20" t="s">
        <v>21</v>
      </c>
      <c r="B55" s="8">
        <v>16664</v>
      </c>
      <c r="C55" s="8">
        <f t="shared" si="8"/>
        <v>2083.3333333333335</v>
      </c>
      <c r="D55" s="8">
        <f t="shared" si="6"/>
        <v>249.95999999999998</v>
      </c>
      <c r="E55" s="8">
        <f t="shared" si="7"/>
        <v>2333.2933333333335</v>
      </c>
      <c r="F55" s="8"/>
      <c r="G55" s="8"/>
      <c r="H55" s="10"/>
      <c r="I55" s="21"/>
    </row>
    <row r="56" spans="1:9" x14ac:dyDescent="0.3">
      <c r="A56" s="20" t="s">
        <v>23</v>
      </c>
      <c r="B56" s="8">
        <v>14581</v>
      </c>
      <c r="C56" s="8">
        <f t="shared" si="8"/>
        <v>2083.3333333333335</v>
      </c>
      <c r="D56" s="8">
        <f t="shared" si="6"/>
        <v>218.715</v>
      </c>
      <c r="E56" s="8">
        <f t="shared" si="7"/>
        <v>2302.0483333333336</v>
      </c>
      <c r="F56" s="8"/>
      <c r="G56" s="8"/>
      <c r="H56" s="10"/>
      <c r="I56" s="21"/>
    </row>
    <row r="57" spans="1:9" x14ac:dyDescent="0.3">
      <c r="A57" s="20" t="s">
        <v>24</v>
      </c>
      <c r="B57" s="8">
        <v>12498</v>
      </c>
      <c r="C57" s="8">
        <f t="shared" si="8"/>
        <v>2083.3333333333335</v>
      </c>
      <c r="D57" s="8">
        <f t="shared" si="6"/>
        <v>187.47</v>
      </c>
      <c r="E57" s="8">
        <f t="shared" si="7"/>
        <v>2270.8033333333333</v>
      </c>
      <c r="F57" s="8"/>
      <c r="G57" s="8"/>
      <c r="H57" s="10"/>
      <c r="I57" s="21"/>
    </row>
    <row r="58" spans="1:9" x14ac:dyDescent="0.3">
      <c r="A58" s="20" t="s">
        <v>25</v>
      </c>
      <c r="B58" s="8">
        <v>10415</v>
      </c>
      <c r="C58" s="8">
        <f t="shared" si="8"/>
        <v>2083.3333333333335</v>
      </c>
      <c r="D58" s="8">
        <f t="shared" si="6"/>
        <v>156.22499999999999</v>
      </c>
      <c r="E58" s="8">
        <f t="shared" si="7"/>
        <v>2239.5583333333334</v>
      </c>
      <c r="F58" s="8"/>
      <c r="G58" s="8"/>
      <c r="H58" s="10"/>
      <c r="I58" s="21"/>
    </row>
    <row r="59" spans="1:9" x14ac:dyDescent="0.3">
      <c r="A59" s="20" t="s">
        <v>26</v>
      </c>
      <c r="B59" s="8">
        <v>8332</v>
      </c>
      <c r="C59" s="8">
        <f t="shared" si="8"/>
        <v>2083.3333333333335</v>
      </c>
      <c r="D59" s="8">
        <f t="shared" si="6"/>
        <v>124.97999999999999</v>
      </c>
      <c r="E59" s="8">
        <f t="shared" si="7"/>
        <v>2208.3133333333335</v>
      </c>
      <c r="F59" s="8"/>
      <c r="G59" s="8"/>
      <c r="H59" s="10"/>
      <c r="I59" s="21"/>
    </row>
    <row r="60" spans="1:9" x14ac:dyDescent="0.3">
      <c r="A60" s="20" t="s">
        <v>27</v>
      </c>
      <c r="B60" s="8">
        <v>6249</v>
      </c>
      <c r="C60" s="8">
        <f t="shared" si="8"/>
        <v>2083.3333333333335</v>
      </c>
      <c r="D60" s="8">
        <f t="shared" si="6"/>
        <v>93.734999999999999</v>
      </c>
      <c r="E60" s="8">
        <f t="shared" si="7"/>
        <v>2177.0683333333336</v>
      </c>
      <c r="F60" s="8"/>
      <c r="G60" s="8"/>
      <c r="H60" s="10"/>
      <c r="I60" s="21"/>
    </row>
    <row r="61" spans="1:9" x14ac:dyDescent="0.3">
      <c r="A61" s="20" t="s">
        <v>28</v>
      </c>
      <c r="B61" s="8">
        <v>4166</v>
      </c>
      <c r="C61" s="8">
        <f t="shared" si="8"/>
        <v>2083.3333333333335</v>
      </c>
      <c r="D61" s="8">
        <f t="shared" si="6"/>
        <v>62.489999999999995</v>
      </c>
      <c r="E61" s="8">
        <f t="shared" si="7"/>
        <v>2145.8233333333333</v>
      </c>
      <c r="F61" s="8"/>
      <c r="G61" s="8"/>
      <c r="H61" s="10"/>
      <c r="I61" s="21"/>
    </row>
    <row r="62" spans="1:9" x14ac:dyDescent="0.3">
      <c r="A62" s="20" t="s">
        <v>29</v>
      </c>
      <c r="B62" s="8">
        <v>2083</v>
      </c>
      <c r="C62" s="8">
        <f t="shared" si="8"/>
        <v>2083.3333333333335</v>
      </c>
      <c r="D62" s="8">
        <f t="shared" si="6"/>
        <v>31.244999999999997</v>
      </c>
      <c r="E62" s="8">
        <f t="shared" si="7"/>
        <v>2114.5783333333334</v>
      </c>
      <c r="F62" s="8"/>
      <c r="G62" s="8"/>
      <c r="H62" s="10"/>
      <c r="I62" s="21" t="s">
        <v>42</v>
      </c>
    </row>
    <row r="63" spans="1:9" x14ac:dyDescent="0.3">
      <c r="E63" s="38"/>
    </row>
  </sheetData>
  <mergeCells count="15">
    <mergeCell ref="E27:H27"/>
    <mergeCell ref="B28:C28"/>
    <mergeCell ref="D28:H28"/>
    <mergeCell ref="D49:H49"/>
    <mergeCell ref="B49:C49"/>
    <mergeCell ref="E48:H48"/>
    <mergeCell ref="G46:H46"/>
    <mergeCell ref="B46:D46"/>
    <mergeCell ref="B25:D25"/>
    <mergeCell ref="G25:H25"/>
    <mergeCell ref="B2:D2"/>
    <mergeCell ref="G2:H2"/>
    <mergeCell ref="E4:H4"/>
    <mergeCell ref="B5:C5"/>
    <mergeCell ref="D5:H5"/>
  </mergeCells>
  <pageMargins left="0.25" right="0.25" top="0.75" bottom="0.75" header="0.3" footer="0.3"/>
  <pageSetup paperSize="5" orientation="landscape" horizontalDpi="4294967293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127F-A429-4962-B62F-A0DD6EC19026}">
  <dimension ref="A2:I8"/>
  <sheetViews>
    <sheetView workbookViewId="0">
      <selection activeCell="J8" sqref="J8"/>
    </sheetView>
  </sheetViews>
  <sheetFormatPr defaultRowHeight="14.4" x14ac:dyDescent="0.3"/>
  <cols>
    <col min="1" max="1" width="17.33203125" customWidth="1"/>
  </cols>
  <sheetData>
    <row r="2" spans="1:9" x14ac:dyDescent="0.3">
      <c r="A2" s="1" t="s">
        <v>0</v>
      </c>
      <c r="B2" s="234"/>
      <c r="C2" s="234"/>
      <c r="D2" s="234"/>
      <c r="F2" s="2"/>
      <c r="G2" s="235" t="s">
        <v>1</v>
      </c>
      <c r="H2" s="235"/>
      <c r="I2" s="3">
        <v>20000</v>
      </c>
    </row>
    <row r="3" spans="1:9" x14ac:dyDescent="0.3">
      <c r="A3" s="1" t="s">
        <v>2</v>
      </c>
      <c r="B3" s="4"/>
      <c r="D3" s="4"/>
      <c r="E3" s="1"/>
      <c r="F3" s="1"/>
      <c r="G3" s="5"/>
      <c r="H3" s="1" t="s">
        <v>3</v>
      </c>
      <c r="I3" s="9" t="s">
        <v>22</v>
      </c>
    </row>
    <row r="4" spans="1:9" x14ac:dyDescent="0.3">
      <c r="A4" s="1" t="s">
        <v>4</v>
      </c>
      <c r="B4" s="6"/>
      <c r="D4" s="6"/>
      <c r="E4" s="235" t="s">
        <v>5</v>
      </c>
      <c r="F4" s="235"/>
      <c r="G4" s="235"/>
      <c r="H4" s="235"/>
      <c r="I4" s="7">
        <v>1.4999999999999999E-2</v>
      </c>
    </row>
    <row r="5" spans="1:9" ht="15" thickBot="1" x14ac:dyDescent="0.35">
      <c r="A5" s="1" t="s">
        <v>6</v>
      </c>
      <c r="B5" s="236"/>
      <c r="C5" s="236"/>
      <c r="D5" s="237" t="s">
        <v>7</v>
      </c>
      <c r="E5" s="237"/>
      <c r="F5" s="237"/>
      <c r="G5" s="237"/>
      <c r="H5" s="237"/>
      <c r="I5" s="6">
        <v>2</v>
      </c>
    </row>
    <row r="6" spans="1:9" ht="87" thickBot="1" x14ac:dyDescent="0.35">
      <c r="A6" s="11" t="s">
        <v>8</v>
      </c>
      <c r="B6" s="11" t="s">
        <v>9</v>
      </c>
      <c r="C6" s="11" t="s">
        <v>10</v>
      </c>
      <c r="D6" s="12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5" t="s">
        <v>16</v>
      </c>
    </row>
    <row r="7" spans="1:9" x14ac:dyDescent="0.3">
      <c r="A7" s="16" t="s">
        <v>17</v>
      </c>
      <c r="B7" s="17">
        <f>I2</f>
        <v>20000</v>
      </c>
      <c r="C7" s="17">
        <f>I2/I5</f>
        <v>10000</v>
      </c>
      <c r="D7" s="17">
        <f>(B7*0.015)</f>
        <v>300</v>
      </c>
      <c r="E7" s="17">
        <f>$C$7+D7</f>
        <v>10300</v>
      </c>
      <c r="F7" s="17"/>
      <c r="G7" s="17"/>
      <c r="H7" s="18"/>
      <c r="I7" s="19"/>
    </row>
    <row r="8" spans="1:9" x14ac:dyDescent="0.3">
      <c r="A8" s="20" t="s">
        <v>18</v>
      </c>
      <c r="B8" s="8">
        <v>10000</v>
      </c>
      <c r="C8" s="8">
        <f>$C$7</f>
        <v>10000</v>
      </c>
      <c r="D8" s="8">
        <f t="shared" ref="D8" si="0">(B8*0.015)</f>
        <v>150</v>
      </c>
      <c r="E8" s="8">
        <f t="shared" ref="E8" si="1">$C$7+D8</f>
        <v>10150</v>
      </c>
      <c r="F8" s="8"/>
      <c r="G8" s="8"/>
      <c r="H8" s="10"/>
      <c r="I8" s="21"/>
    </row>
  </sheetData>
  <mergeCells count="5">
    <mergeCell ref="B2:D2"/>
    <mergeCell ref="G2:H2"/>
    <mergeCell ref="E4:H4"/>
    <mergeCell ref="B5:C5"/>
    <mergeCell ref="D5:H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11DB-C6E1-4E5F-8FEF-E0CD7C09FE38}">
  <dimension ref="A1:I42"/>
  <sheetViews>
    <sheetView topLeftCell="A26" workbookViewId="0">
      <selection activeCell="A37" sqref="A37:I42"/>
    </sheetView>
  </sheetViews>
  <sheetFormatPr defaultRowHeight="14.4" x14ac:dyDescent="0.3"/>
  <cols>
    <col min="1" max="1" width="19.44140625" customWidth="1"/>
  </cols>
  <sheetData>
    <row r="1" spans="1:9" x14ac:dyDescent="0.3">
      <c r="A1" s="42"/>
    </row>
    <row r="2" spans="1:9" x14ac:dyDescent="0.3">
      <c r="A2" s="40" t="s">
        <v>0</v>
      </c>
      <c r="B2" s="238" t="s">
        <v>56</v>
      </c>
      <c r="C2" s="238"/>
      <c r="D2" s="238"/>
      <c r="F2" s="2"/>
      <c r="G2" s="235" t="s">
        <v>1</v>
      </c>
      <c r="H2" s="235"/>
      <c r="I2" s="3">
        <v>20000</v>
      </c>
    </row>
    <row r="3" spans="1:9" x14ac:dyDescent="0.3">
      <c r="A3" s="40" t="s">
        <v>2</v>
      </c>
      <c r="B3" s="4"/>
      <c r="D3" s="4"/>
      <c r="E3" s="1"/>
      <c r="F3" s="1"/>
      <c r="G3" s="5"/>
      <c r="H3" s="1" t="s">
        <v>3</v>
      </c>
      <c r="I3" s="9" t="s">
        <v>57</v>
      </c>
    </row>
    <row r="4" spans="1:9" x14ac:dyDescent="0.3">
      <c r="A4" s="40" t="s">
        <v>4</v>
      </c>
      <c r="B4" s="6"/>
      <c r="D4" s="6"/>
      <c r="E4" s="235" t="s">
        <v>5</v>
      </c>
      <c r="F4" s="235"/>
      <c r="G4" s="235"/>
      <c r="H4" s="235"/>
      <c r="I4" s="7">
        <v>1.4999999999999999E-2</v>
      </c>
    </row>
    <row r="5" spans="1:9" ht="15" thickBot="1" x14ac:dyDescent="0.35">
      <c r="A5" s="40" t="s">
        <v>6</v>
      </c>
      <c r="B5" s="236"/>
      <c r="C5" s="236"/>
      <c r="D5" s="237" t="s">
        <v>7</v>
      </c>
      <c r="E5" s="237"/>
      <c r="F5" s="237"/>
      <c r="G5" s="237"/>
      <c r="H5" s="237"/>
      <c r="I5" s="6">
        <v>1</v>
      </c>
    </row>
    <row r="6" spans="1:9" ht="87" thickBot="1" x14ac:dyDescent="0.35">
      <c r="A6" s="11" t="s">
        <v>8</v>
      </c>
      <c r="B6" s="11" t="s">
        <v>9</v>
      </c>
      <c r="C6" s="11" t="s">
        <v>10</v>
      </c>
      <c r="D6" s="12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5" t="s">
        <v>16</v>
      </c>
    </row>
    <row r="7" spans="1:9" x14ac:dyDescent="0.3">
      <c r="A7" s="16" t="s">
        <v>17</v>
      </c>
      <c r="B7" s="17">
        <f>I2</f>
        <v>20000</v>
      </c>
      <c r="C7" s="17">
        <f>I2/I5</f>
        <v>20000</v>
      </c>
      <c r="D7" s="17">
        <f>(B7*0.015)</f>
        <v>300</v>
      </c>
      <c r="E7" s="17">
        <f>$C$7+D7</f>
        <v>20300</v>
      </c>
      <c r="F7" s="17"/>
      <c r="G7" s="17"/>
      <c r="H7" s="18"/>
      <c r="I7" s="19" t="s">
        <v>42</v>
      </c>
    </row>
    <row r="12" spans="1:9" x14ac:dyDescent="0.3">
      <c r="A12" s="40" t="s">
        <v>0</v>
      </c>
      <c r="B12" s="41" t="s">
        <v>100</v>
      </c>
      <c r="C12" s="41"/>
      <c r="D12" s="41"/>
      <c r="G12" s="2"/>
      <c r="H12" s="1" t="s">
        <v>1</v>
      </c>
      <c r="I12" s="3">
        <v>10000</v>
      </c>
    </row>
    <row r="13" spans="1:9" x14ac:dyDescent="0.3">
      <c r="A13" s="40" t="s">
        <v>2</v>
      </c>
      <c r="B13" s="4"/>
      <c r="D13" s="4"/>
      <c r="E13" s="1"/>
      <c r="F13" s="1"/>
      <c r="G13" s="5"/>
      <c r="H13" s="1" t="s">
        <v>3</v>
      </c>
      <c r="I13" s="9" t="s">
        <v>78</v>
      </c>
    </row>
    <row r="14" spans="1:9" x14ac:dyDescent="0.3">
      <c r="A14" s="40" t="s">
        <v>4</v>
      </c>
      <c r="B14" s="6"/>
      <c r="D14" s="6"/>
      <c r="F14" s="1"/>
      <c r="H14" s="1" t="s">
        <v>5</v>
      </c>
      <c r="I14" s="7">
        <v>1.4999999999999999E-2</v>
      </c>
    </row>
    <row r="15" spans="1:9" ht="15" thickBot="1" x14ac:dyDescent="0.35">
      <c r="A15" s="40" t="s">
        <v>6</v>
      </c>
      <c r="B15" s="26"/>
      <c r="C15" s="26"/>
      <c r="E15" s="27"/>
      <c r="G15" s="27"/>
      <c r="H15" s="27" t="s">
        <v>7</v>
      </c>
      <c r="I15" s="6">
        <v>1</v>
      </c>
    </row>
    <row r="16" spans="1:9" ht="87" thickBot="1" x14ac:dyDescent="0.35">
      <c r="A16" s="11" t="s">
        <v>8</v>
      </c>
      <c r="B16" s="11" t="s">
        <v>9</v>
      </c>
      <c r="C16" s="11" t="s">
        <v>10</v>
      </c>
      <c r="D16" s="12" t="s">
        <v>11</v>
      </c>
      <c r="E16" s="13" t="s">
        <v>12</v>
      </c>
      <c r="F16" s="14" t="s">
        <v>13</v>
      </c>
      <c r="G16" s="14" t="s">
        <v>14</v>
      </c>
      <c r="H16" s="14" t="s">
        <v>15</v>
      </c>
      <c r="I16" s="15" t="s">
        <v>16</v>
      </c>
    </row>
    <row r="17" spans="1:9" x14ac:dyDescent="0.3">
      <c r="A17" s="16" t="s">
        <v>17</v>
      </c>
      <c r="B17" s="17">
        <f>I12</f>
        <v>10000</v>
      </c>
      <c r="C17" s="17">
        <f>I12/I15</f>
        <v>10000</v>
      </c>
      <c r="D17" s="17">
        <f>(B17*0.015)</f>
        <v>150</v>
      </c>
      <c r="E17" s="17">
        <f>$C$7+D17</f>
        <v>20150</v>
      </c>
      <c r="F17" s="17"/>
      <c r="G17" s="17"/>
      <c r="H17" s="18"/>
      <c r="I17" s="19" t="s">
        <v>42</v>
      </c>
    </row>
    <row r="21" spans="1:9" x14ac:dyDescent="0.3">
      <c r="A21" s="40" t="s">
        <v>0</v>
      </c>
      <c r="B21" s="41" t="s">
        <v>101</v>
      </c>
      <c r="C21" s="41"/>
      <c r="D21" s="41"/>
      <c r="F21" s="2"/>
      <c r="G21" s="1" t="s">
        <v>1</v>
      </c>
      <c r="H21" s="1"/>
      <c r="I21" s="3">
        <v>20000</v>
      </c>
    </row>
    <row r="22" spans="1:9" x14ac:dyDescent="0.3">
      <c r="A22" s="40" t="s">
        <v>2</v>
      </c>
      <c r="B22" s="4"/>
      <c r="D22" s="4"/>
      <c r="E22" s="1"/>
      <c r="F22" s="1"/>
      <c r="G22" s="5"/>
      <c r="H22" s="1" t="s">
        <v>3</v>
      </c>
      <c r="I22" s="9" t="s">
        <v>55</v>
      </c>
    </row>
    <row r="23" spans="1:9" x14ac:dyDescent="0.3">
      <c r="A23" s="40" t="s">
        <v>4</v>
      </c>
      <c r="B23" s="6"/>
      <c r="D23" s="6"/>
      <c r="E23" s="1" t="s">
        <v>5</v>
      </c>
      <c r="F23" s="1"/>
      <c r="G23" s="1"/>
      <c r="H23" s="1"/>
      <c r="I23" s="7">
        <v>1.4999999999999999E-2</v>
      </c>
    </row>
    <row r="24" spans="1:9" ht="15" thickBot="1" x14ac:dyDescent="0.35">
      <c r="A24" s="40" t="s">
        <v>6</v>
      </c>
      <c r="B24" s="26"/>
      <c r="C24" s="26"/>
      <c r="D24" s="27" t="s">
        <v>7</v>
      </c>
      <c r="E24" s="27"/>
      <c r="F24" s="27"/>
      <c r="G24" s="27"/>
      <c r="H24" s="27"/>
      <c r="I24" s="6">
        <v>1</v>
      </c>
    </row>
    <row r="25" spans="1:9" ht="87" thickBot="1" x14ac:dyDescent="0.35">
      <c r="A25" s="11" t="s">
        <v>8</v>
      </c>
      <c r="B25" s="11" t="s">
        <v>9</v>
      </c>
      <c r="C25" s="11" t="s">
        <v>10</v>
      </c>
      <c r="D25" s="12" t="s">
        <v>11</v>
      </c>
      <c r="E25" s="13" t="s">
        <v>12</v>
      </c>
      <c r="F25" s="14" t="s">
        <v>13</v>
      </c>
      <c r="G25" s="14" t="s">
        <v>14</v>
      </c>
      <c r="H25" s="14" t="s">
        <v>15</v>
      </c>
      <c r="I25" s="15" t="s">
        <v>16</v>
      </c>
    </row>
    <row r="26" spans="1:9" x14ac:dyDescent="0.3">
      <c r="A26" s="16" t="s">
        <v>17</v>
      </c>
      <c r="B26" s="17">
        <f>I21</f>
        <v>20000</v>
      </c>
      <c r="C26" s="17">
        <f>I21/I24</f>
        <v>20000</v>
      </c>
      <c r="D26" s="17">
        <f>(B26*0.015)</f>
        <v>300</v>
      </c>
      <c r="E26" s="17">
        <f>$C$7+D26</f>
        <v>20300</v>
      </c>
      <c r="F26" s="17"/>
      <c r="G26" s="17"/>
      <c r="H26" s="18"/>
      <c r="I26" s="19" t="s">
        <v>42</v>
      </c>
    </row>
    <row r="30" spans="1:9" x14ac:dyDescent="0.3">
      <c r="A30" s="40" t="s">
        <v>0</v>
      </c>
      <c r="B30" s="41" t="s">
        <v>101</v>
      </c>
      <c r="C30" s="41"/>
      <c r="D30" s="41"/>
      <c r="F30" s="2"/>
      <c r="G30" s="1" t="s">
        <v>1</v>
      </c>
      <c r="H30" s="1"/>
      <c r="I30" s="3">
        <v>30000</v>
      </c>
    </row>
    <row r="31" spans="1:9" x14ac:dyDescent="0.3">
      <c r="A31" s="40" t="s">
        <v>2</v>
      </c>
      <c r="B31" s="4"/>
      <c r="D31" s="4"/>
      <c r="E31" s="1"/>
      <c r="F31" s="1"/>
      <c r="G31" s="5"/>
      <c r="H31" s="1" t="s">
        <v>3</v>
      </c>
      <c r="I31" s="9" t="s">
        <v>55</v>
      </c>
    </row>
    <row r="32" spans="1:9" x14ac:dyDescent="0.3">
      <c r="A32" s="40" t="s">
        <v>4</v>
      </c>
      <c r="B32" s="6"/>
      <c r="D32" s="6"/>
      <c r="E32" s="1" t="s">
        <v>5</v>
      </c>
      <c r="F32" s="1"/>
      <c r="G32" s="1"/>
      <c r="H32" s="1"/>
      <c r="I32" s="7">
        <v>1.4999999999999999E-2</v>
      </c>
    </row>
    <row r="33" spans="1:9" ht="15" thickBot="1" x14ac:dyDescent="0.35">
      <c r="A33" s="40" t="s">
        <v>6</v>
      </c>
      <c r="B33" s="26"/>
      <c r="C33" s="26"/>
      <c r="D33" s="27" t="s">
        <v>7</v>
      </c>
      <c r="E33" s="27"/>
      <c r="F33" s="27"/>
      <c r="G33" s="27"/>
      <c r="H33" s="27"/>
      <c r="I33" s="6">
        <v>1</v>
      </c>
    </row>
    <row r="34" spans="1:9" ht="87" thickBot="1" x14ac:dyDescent="0.35">
      <c r="A34" s="11" t="s">
        <v>8</v>
      </c>
      <c r="B34" s="11" t="s">
        <v>9</v>
      </c>
      <c r="C34" s="11" t="s">
        <v>10</v>
      </c>
      <c r="D34" s="12" t="s">
        <v>11</v>
      </c>
      <c r="E34" s="13" t="s">
        <v>12</v>
      </c>
      <c r="F34" s="14" t="s">
        <v>13</v>
      </c>
      <c r="G34" s="14" t="s">
        <v>14</v>
      </c>
      <c r="H34" s="14" t="s">
        <v>15</v>
      </c>
      <c r="I34" s="15" t="s">
        <v>16</v>
      </c>
    </row>
    <row r="35" spans="1:9" x14ac:dyDescent="0.3">
      <c r="A35" s="16" t="s">
        <v>17</v>
      </c>
      <c r="B35" s="17">
        <f>I30</f>
        <v>30000</v>
      </c>
      <c r="C35" s="17">
        <f>I30/I33</f>
        <v>30000</v>
      </c>
      <c r="D35" s="17">
        <f>(B35*0.015)</f>
        <v>450</v>
      </c>
      <c r="E35" s="49" t="s">
        <v>102</v>
      </c>
      <c r="F35" s="17"/>
      <c r="G35" s="17"/>
      <c r="H35" s="18"/>
      <c r="I35" s="19" t="s">
        <v>42</v>
      </c>
    </row>
    <row r="37" spans="1:9" x14ac:dyDescent="0.3">
      <c r="A37" s="1" t="s">
        <v>0</v>
      </c>
      <c r="B37" s="41" t="s">
        <v>103</v>
      </c>
      <c r="C37" s="41"/>
      <c r="D37" s="41"/>
      <c r="E37" s="50" t="s">
        <v>105</v>
      </c>
      <c r="F37" s="2"/>
      <c r="G37" s="1" t="s">
        <v>1</v>
      </c>
      <c r="H37" s="1"/>
      <c r="I37" s="3">
        <v>10000</v>
      </c>
    </row>
    <row r="38" spans="1:9" x14ac:dyDescent="0.3">
      <c r="A38" s="1" t="s">
        <v>2</v>
      </c>
      <c r="B38" s="4"/>
      <c r="D38" s="4"/>
      <c r="E38" s="1"/>
      <c r="F38" s="1"/>
      <c r="G38" s="5"/>
      <c r="H38" s="1" t="s">
        <v>3</v>
      </c>
      <c r="I38" s="9" t="s">
        <v>104</v>
      </c>
    </row>
    <row r="39" spans="1:9" x14ac:dyDescent="0.3">
      <c r="A39" s="1" t="s">
        <v>4</v>
      </c>
      <c r="B39" s="6"/>
      <c r="D39" s="6"/>
      <c r="E39" s="1" t="s">
        <v>5</v>
      </c>
      <c r="F39" s="1"/>
      <c r="G39" s="1"/>
      <c r="H39" s="1"/>
      <c r="I39" s="7">
        <v>1.4999999999999999E-2</v>
      </c>
    </row>
    <row r="40" spans="1:9" ht="15" thickBot="1" x14ac:dyDescent="0.35">
      <c r="A40" s="1" t="s">
        <v>6</v>
      </c>
      <c r="B40" s="26"/>
      <c r="C40" s="26"/>
      <c r="D40" s="27" t="s">
        <v>7</v>
      </c>
      <c r="E40" s="27"/>
      <c r="F40" s="27"/>
      <c r="G40" s="27"/>
      <c r="H40" s="27"/>
      <c r="I40" s="6">
        <v>1</v>
      </c>
    </row>
    <row r="41" spans="1:9" ht="87" thickBot="1" x14ac:dyDescent="0.35">
      <c r="A41" s="11" t="s">
        <v>8</v>
      </c>
      <c r="B41" s="11" t="s">
        <v>9</v>
      </c>
      <c r="C41" s="11" t="s">
        <v>10</v>
      </c>
      <c r="D41" s="12" t="s">
        <v>11</v>
      </c>
      <c r="E41" s="13" t="s">
        <v>12</v>
      </c>
      <c r="F41" s="14" t="s">
        <v>13</v>
      </c>
      <c r="G41" s="14" t="s">
        <v>14</v>
      </c>
      <c r="H41" s="14" t="s">
        <v>15</v>
      </c>
      <c r="I41" s="15" t="s">
        <v>16</v>
      </c>
    </row>
    <row r="42" spans="1:9" x14ac:dyDescent="0.3">
      <c r="A42" s="16" t="s">
        <v>17</v>
      </c>
      <c r="B42" s="17">
        <f>I37</f>
        <v>10000</v>
      </c>
      <c r="C42" s="17">
        <f>I37/I40</f>
        <v>10000</v>
      </c>
      <c r="D42" s="17">
        <f>(B42*0.015)</f>
        <v>150</v>
      </c>
      <c r="E42" s="17">
        <f>$C$7+D42</f>
        <v>20150</v>
      </c>
      <c r="F42" s="17"/>
      <c r="G42" s="17"/>
      <c r="H42" s="18"/>
      <c r="I42" s="19" t="s">
        <v>42</v>
      </c>
    </row>
  </sheetData>
  <mergeCells count="5">
    <mergeCell ref="B2:D2"/>
    <mergeCell ref="G2:H2"/>
    <mergeCell ref="E4:H4"/>
    <mergeCell ref="B5:C5"/>
    <mergeCell ref="D5:H5"/>
  </mergeCells>
  <pageMargins left="0.25" right="0.25" top="0.75" bottom="0.75" header="0.3" footer="0.3"/>
  <pageSetup paperSize="256" orientation="portrait" horizontalDpi="4294967293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51FE-EEB1-4F59-83CC-93CCED05FC0C}">
  <dimension ref="A1:I19"/>
  <sheetViews>
    <sheetView workbookViewId="0">
      <selection activeCell="A2" sqref="A2:I7"/>
    </sheetView>
  </sheetViews>
  <sheetFormatPr defaultRowHeight="14.4" x14ac:dyDescent="0.3"/>
  <cols>
    <col min="1" max="1" width="21.88671875" customWidth="1"/>
  </cols>
  <sheetData>
    <row r="1" spans="1:9" x14ac:dyDescent="0.3">
      <c r="A1" s="43"/>
    </row>
    <row r="2" spans="1:9" x14ac:dyDescent="0.3">
      <c r="A2" s="40" t="s">
        <v>0</v>
      </c>
      <c r="B2" s="238" t="s">
        <v>59</v>
      </c>
      <c r="C2" s="238"/>
      <c r="D2" s="238"/>
      <c r="F2" s="2"/>
      <c r="G2" s="235" t="s">
        <v>1</v>
      </c>
      <c r="H2" s="235"/>
      <c r="I2" s="3">
        <v>5000</v>
      </c>
    </row>
    <row r="3" spans="1:9" x14ac:dyDescent="0.3">
      <c r="A3" s="40" t="s">
        <v>2</v>
      </c>
      <c r="B3" s="4"/>
      <c r="D3" s="4"/>
      <c r="E3" s="1"/>
      <c r="F3" s="1"/>
      <c r="G3" s="5"/>
      <c r="H3" s="1" t="s">
        <v>3</v>
      </c>
      <c r="I3" s="9" t="s">
        <v>58</v>
      </c>
    </row>
    <row r="4" spans="1:9" x14ac:dyDescent="0.3">
      <c r="A4" s="40" t="s">
        <v>4</v>
      </c>
      <c r="B4" s="6"/>
      <c r="D4" s="6"/>
      <c r="E4" s="235" t="s">
        <v>5</v>
      </c>
      <c r="F4" s="235"/>
      <c r="G4" s="235"/>
      <c r="H4" s="235"/>
      <c r="I4" s="7">
        <v>1.4999999999999999E-2</v>
      </c>
    </row>
    <row r="5" spans="1:9" ht="15" thickBot="1" x14ac:dyDescent="0.35">
      <c r="A5" s="40" t="s">
        <v>6</v>
      </c>
      <c r="B5" s="236"/>
      <c r="C5" s="236"/>
      <c r="D5" s="237" t="s">
        <v>7</v>
      </c>
      <c r="E5" s="237"/>
      <c r="F5" s="237"/>
      <c r="G5" s="237"/>
      <c r="H5" s="237"/>
      <c r="I5" s="6">
        <v>1</v>
      </c>
    </row>
    <row r="6" spans="1:9" ht="87" thickBot="1" x14ac:dyDescent="0.35">
      <c r="A6" s="11" t="s">
        <v>8</v>
      </c>
      <c r="B6" s="11" t="s">
        <v>9</v>
      </c>
      <c r="C6" s="11" t="s">
        <v>10</v>
      </c>
      <c r="D6" s="12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5" t="s">
        <v>16</v>
      </c>
    </row>
    <row r="7" spans="1:9" x14ac:dyDescent="0.3">
      <c r="A7" s="16" t="s">
        <v>17</v>
      </c>
      <c r="B7" s="17">
        <f>I2</f>
        <v>5000</v>
      </c>
      <c r="C7" s="17">
        <f>I2/I5</f>
        <v>5000</v>
      </c>
      <c r="D7" s="17">
        <f>(B7*0.015)</f>
        <v>75</v>
      </c>
      <c r="E7" s="17">
        <f>$C$7+D7</f>
        <v>5075</v>
      </c>
      <c r="F7" s="17"/>
      <c r="G7" s="17"/>
      <c r="H7" s="18"/>
      <c r="I7" s="19" t="s">
        <v>42</v>
      </c>
    </row>
    <row r="13" spans="1:9" x14ac:dyDescent="0.3">
      <c r="A13" s="43"/>
    </row>
    <row r="14" spans="1:9" x14ac:dyDescent="0.3">
      <c r="A14" s="40" t="s">
        <v>0</v>
      </c>
      <c r="B14" s="238" t="s">
        <v>61</v>
      </c>
      <c r="C14" s="238"/>
      <c r="D14" s="238"/>
      <c r="F14" s="2"/>
      <c r="G14" s="235" t="s">
        <v>1</v>
      </c>
      <c r="H14" s="235"/>
      <c r="I14" s="3">
        <v>5000</v>
      </c>
    </row>
    <row r="15" spans="1:9" x14ac:dyDescent="0.3">
      <c r="A15" s="40" t="s">
        <v>2</v>
      </c>
      <c r="B15" s="4"/>
      <c r="D15" s="4"/>
      <c r="E15" s="1"/>
      <c r="F15" s="1"/>
      <c r="G15" s="5"/>
      <c r="H15" s="1" t="s">
        <v>3</v>
      </c>
      <c r="I15" s="9" t="s">
        <v>58</v>
      </c>
    </row>
    <row r="16" spans="1:9" x14ac:dyDescent="0.3">
      <c r="A16" s="40" t="s">
        <v>4</v>
      </c>
      <c r="B16" s="6"/>
      <c r="D16" s="6"/>
      <c r="E16" s="235" t="s">
        <v>5</v>
      </c>
      <c r="F16" s="235"/>
      <c r="G16" s="235"/>
      <c r="H16" s="235"/>
      <c r="I16" s="7">
        <v>1.4999999999999999E-2</v>
      </c>
    </row>
    <row r="17" spans="1:9" ht="15" thickBot="1" x14ac:dyDescent="0.35">
      <c r="A17" s="40" t="s">
        <v>6</v>
      </c>
      <c r="B17" s="236"/>
      <c r="C17" s="236"/>
      <c r="D17" s="237" t="s">
        <v>7</v>
      </c>
      <c r="E17" s="237"/>
      <c r="F17" s="237"/>
      <c r="G17" s="237"/>
      <c r="H17" s="237"/>
      <c r="I17" s="6">
        <v>1</v>
      </c>
    </row>
    <row r="18" spans="1:9" ht="87" thickBot="1" x14ac:dyDescent="0.35">
      <c r="A18" s="11" t="s">
        <v>8</v>
      </c>
      <c r="B18" s="11" t="s">
        <v>9</v>
      </c>
      <c r="C18" s="11" t="s">
        <v>10</v>
      </c>
      <c r="D18" s="12" t="s">
        <v>11</v>
      </c>
      <c r="E18" s="13" t="s">
        <v>12</v>
      </c>
      <c r="F18" s="14" t="s">
        <v>13</v>
      </c>
      <c r="G18" s="14" t="s">
        <v>14</v>
      </c>
      <c r="H18" s="14" t="s">
        <v>15</v>
      </c>
      <c r="I18" s="15" t="s">
        <v>16</v>
      </c>
    </row>
    <row r="19" spans="1:9" x14ac:dyDescent="0.3">
      <c r="A19" s="16" t="s">
        <v>17</v>
      </c>
      <c r="B19" s="17">
        <f>I14</f>
        <v>5000</v>
      </c>
      <c r="C19" s="17">
        <f>I14/I17</f>
        <v>5000</v>
      </c>
      <c r="D19" s="17">
        <f>(B19*0.015)</f>
        <v>75</v>
      </c>
      <c r="E19" s="17">
        <f>$C$7+D19</f>
        <v>5075</v>
      </c>
      <c r="F19" s="17"/>
      <c r="G19" s="17"/>
      <c r="H19" s="18"/>
      <c r="I19" s="19" t="s">
        <v>42</v>
      </c>
    </row>
  </sheetData>
  <mergeCells count="10">
    <mergeCell ref="E16:H16"/>
    <mergeCell ref="B17:C17"/>
    <mergeCell ref="D17:H17"/>
    <mergeCell ref="B2:D2"/>
    <mergeCell ref="G2:H2"/>
    <mergeCell ref="E4:H4"/>
    <mergeCell ref="B5:C5"/>
    <mergeCell ref="D5:H5"/>
    <mergeCell ref="B14:D14"/>
    <mergeCell ref="G14:H14"/>
  </mergeCells>
  <pageMargins left="0.25" right="0.25" top="0.75" bottom="0.75" header="0.3" footer="0.3"/>
  <pageSetup paperSize="256" orientation="portrait" horizontalDpi="4294967293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4F00-DA8A-4E7C-B962-40B465764BC1}">
  <dimension ref="A2:I8"/>
  <sheetViews>
    <sheetView workbookViewId="0">
      <selection activeCell="A2" sqref="A2:I8"/>
    </sheetView>
  </sheetViews>
  <sheetFormatPr defaultRowHeight="14.4" x14ac:dyDescent="0.3"/>
  <cols>
    <col min="1" max="1" width="20.44140625" customWidth="1"/>
  </cols>
  <sheetData>
    <row r="2" spans="1:9" x14ac:dyDescent="0.3">
      <c r="A2" s="1" t="s">
        <v>0</v>
      </c>
      <c r="B2" s="234" t="s">
        <v>50</v>
      </c>
      <c r="C2" s="234"/>
      <c r="D2" s="234"/>
      <c r="F2" s="2"/>
      <c r="G2" s="235" t="s">
        <v>1</v>
      </c>
      <c r="H2" s="235"/>
      <c r="I2" s="3">
        <v>50000</v>
      </c>
    </row>
    <row r="3" spans="1:9" x14ac:dyDescent="0.3">
      <c r="A3" s="1" t="s">
        <v>2</v>
      </c>
      <c r="B3" s="4"/>
      <c r="D3" s="4"/>
      <c r="E3" s="1"/>
      <c r="F3" s="1"/>
      <c r="G3" s="5"/>
      <c r="H3" s="1" t="s">
        <v>3</v>
      </c>
      <c r="I3" s="9" t="s">
        <v>51</v>
      </c>
    </row>
    <row r="4" spans="1:9" x14ac:dyDescent="0.3">
      <c r="A4" s="1" t="s">
        <v>4</v>
      </c>
      <c r="B4" s="6"/>
      <c r="D4" s="6"/>
      <c r="E4" s="235" t="s">
        <v>5</v>
      </c>
      <c r="F4" s="235"/>
      <c r="G4" s="235"/>
      <c r="H4" s="235"/>
      <c r="I4" s="7">
        <v>1.4999999999999999E-2</v>
      </c>
    </row>
    <row r="5" spans="1:9" ht="15" thickBot="1" x14ac:dyDescent="0.35">
      <c r="A5" s="1" t="s">
        <v>6</v>
      </c>
      <c r="B5" s="236"/>
      <c r="C5" s="236"/>
      <c r="D5" s="237" t="s">
        <v>7</v>
      </c>
      <c r="E5" s="237"/>
      <c r="F5" s="237"/>
      <c r="G5" s="237"/>
      <c r="H5" s="237"/>
      <c r="I5" s="6">
        <v>2</v>
      </c>
    </row>
    <row r="6" spans="1:9" ht="87" thickBot="1" x14ac:dyDescent="0.35">
      <c r="A6" s="11" t="s">
        <v>8</v>
      </c>
      <c r="B6" s="11" t="s">
        <v>9</v>
      </c>
      <c r="C6" s="11" t="s">
        <v>10</v>
      </c>
      <c r="D6" s="12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5" t="s">
        <v>16</v>
      </c>
    </row>
    <row r="7" spans="1:9" x14ac:dyDescent="0.3">
      <c r="A7" s="16" t="s">
        <v>17</v>
      </c>
      <c r="B7" s="17">
        <f>I2</f>
        <v>50000</v>
      </c>
      <c r="C7" s="17">
        <f>I2/I5</f>
        <v>25000</v>
      </c>
      <c r="D7" s="17">
        <f>(B7*0.015)</f>
        <v>750</v>
      </c>
      <c r="E7" s="17">
        <f>$C$7+D7</f>
        <v>25750</v>
      </c>
      <c r="F7" s="17"/>
      <c r="G7" s="17"/>
      <c r="H7" s="18"/>
      <c r="I7" s="19"/>
    </row>
    <row r="8" spans="1:9" x14ac:dyDescent="0.3">
      <c r="A8" s="20" t="s">
        <v>18</v>
      </c>
      <c r="B8" s="8">
        <v>25000</v>
      </c>
      <c r="C8" s="8">
        <f>$C$7</f>
        <v>25000</v>
      </c>
      <c r="D8" s="8">
        <f t="shared" ref="D8" si="0">(B8*0.015)</f>
        <v>375</v>
      </c>
      <c r="E8" s="8">
        <f t="shared" ref="E8" si="1">$C$7+D8</f>
        <v>25375</v>
      </c>
      <c r="F8" s="8"/>
      <c r="G8" s="8"/>
      <c r="H8" s="10"/>
      <c r="I8" s="21" t="s">
        <v>42</v>
      </c>
    </row>
  </sheetData>
  <mergeCells count="5">
    <mergeCell ref="B2:D2"/>
    <mergeCell ref="G2:H2"/>
    <mergeCell ref="E4:H4"/>
    <mergeCell ref="B5:C5"/>
    <mergeCell ref="D5:H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59AA-29E4-4910-B0B8-D254CA38C4AF}">
  <dimension ref="A1:N69"/>
  <sheetViews>
    <sheetView topLeftCell="A49" workbookViewId="0">
      <selection activeCell="A58" sqref="A58:I68"/>
    </sheetView>
  </sheetViews>
  <sheetFormatPr defaultRowHeight="14.4" x14ac:dyDescent="0.3"/>
  <cols>
    <col min="1" max="1" width="19.33203125" customWidth="1"/>
    <col min="2" max="2" width="10.6640625" customWidth="1"/>
    <col min="14" max="14" width="10.109375" bestFit="1" customWidth="1"/>
  </cols>
  <sheetData>
    <row r="1" spans="1:9" x14ac:dyDescent="0.3">
      <c r="A1" s="1" t="s">
        <v>0</v>
      </c>
      <c r="B1" s="234" t="s">
        <v>123</v>
      </c>
      <c r="C1" s="234"/>
      <c r="D1" s="234"/>
      <c r="F1" s="2"/>
      <c r="G1" s="235" t="s">
        <v>1</v>
      </c>
      <c r="H1" s="235"/>
      <c r="I1" s="3">
        <v>20000</v>
      </c>
    </row>
    <row r="2" spans="1:9" x14ac:dyDescent="0.3">
      <c r="A2" s="1" t="s">
        <v>2</v>
      </c>
      <c r="B2" s="4"/>
      <c r="D2" s="4"/>
      <c r="E2" s="1"/>
      <c r="F2" s="1"/>
      <c r="G2" s="5"/>
      <c r="H2" s="1" t="s">
        <v>3</v>
      </c>
      <c r="I2" s="9" t="s">
        <v>78</v>
      </c>
    </row>
    <row r="3" spans="1:9" x14ac:dyDescent="0.3">
      <c r="A3" s="1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9" ht="15" thickBot="1" x14ac:dyDescent="0.35">
      <c r="A4" s="1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6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20000</v>
      </c>
      <c r="C6" s="17">
        <f>I1/I4</f>
        <v>3333.3333333333335</v>
      </c>
      <c r="D6" s="17">
        <f>(B6*0.015)</f>
        <v>300</v>
      </c>
      <c r="E6" s="17">
        <f>$C$7+D6</f>
        <v>3633</v>
      </c>
      <c r="F6" s="17"/>
      <c r="G6" s="17"/>
      <c r="H6" s="18"/>
      <c r="I6" s="19"/>
    </row>
    <row r="7" spans="1:9" x14ac:dyDescent="0.3">
      <c r="A7" s="20" t="s">
        <v>18</v>
      </c>
      <c r="B7" s="35">
        <v>16667</v>
      </c>
      <c r="C7" s="8">
        <v>3333</v>
      </c>
      <c r="D7" s="8">
        <f t="shared" ref="D7:D11" si="0">(B7*0.015)</f>
        <v>250.005</v>
      </c>
      <c r="E7" s="8">
        <f t="shared" ref="E7:E11" si="1">$C$7+D7</f>
        <v>3583.0050000000001</v>
      </c>
      <c r="F7" s="8"/>
      <c r="G7" s="8"/>
      <c r="H7" s="10"/>
      <c r="I7" s="21"/>
    </row>
    <row r="8" spans="1:9" x14ac:dyDescent="0.3">
      <c r="A8" s="20" t="s">
        <v>19</v>
      </c>
      <c r="B8" s="35">
        <v>13332</v>
      </c>
      <c r="C8" s="8">
        <f t="shared" ref="C8:C11" si="2">$C$7</f>
        <v>3333</v>
      </c>
      <c r="D8" s="8">
        <f t="shared" si="0"/>
        <v>199.98</v>
      </c>
      <c r="E8" s="8">
        <f t="shared" si="1"/>
        <v>3532.98</v>
      </c>
      <c r="F8" s="8"/>
      <c r="G8" s="8"/>
      <c r="H8" s="10"/>
      <c r="I8" s="21"/>
    </row>
    <row r="9" spans="1:9" x14ac:dyDescent="0.3">
      <c r="A9" s="20" t="s">
        <v>20</v>
      </c>
      <c r="B9" s="35">
        <v>9999</v>
      </c>
      <c r="C9" s="8">
        <f t="shared" si="2"/>
        <v>3333</v>
      </c>
      <c r="D9" s="8">
        <f t="shared" si="0"/>
        <v>149.98499999999999</v>
      </c>
      <c r="E9" s="8">
        <f t="shared" si="1"/>
        <v>3482.9850000000001</v>
      </c>
      <c r="F9" s="8"/>
      <c r="G9" s="8"/>
      <c r="H9" s="10"/>
      <c r="I9" s="21"/>
    </row>
    <row r="10" spans="1:9" x14ac:dyDescent="0.3">
      <c r="A10" s="20" t="s">
        <v>21</v>
      </c>
      <c r="B10" s="36">
        <v>6666</v>
      </c>
      <c r="C10" s="8">
        <f t="shared" si="2"/>
        <v>3333</v>
      </c>
      <c r="D10" s="8">
        <f t="shared" si="0"/>
        <v>99.99</v>
      </c>
      <c r="E10" s="8">
        <f t="shared" si="1"/>
        <v>3432.99</v>
      </c>
      <c r="F10" s="8"/>
      <c r="G10" s="8"/>
      <c r="H10" s="10"/>
      <c r="I10" s="21"/>
    </row>
    <row r="11" spans="1:9" x14ac:dyDescent="0.3">
      <c r="A11" s="20" t="s">
        <v>23</v>
      </c>
      <c r="B11" s="35">
        <v>3333</v>
      </c>
      <c r="C11" s="8">
        <f t="shared" si="2"/>
        <v>3333</v>
      </c>
      <c r="D11" s="8">
        <f t="shared" si="0"/>
        <v>49.994999999999997</v>
      </c>
      <c r="E11" s="8">
        <f t="shared" si="1"/>
        <v>3382.9949999999999</v>
      </c>
      <c r="F11" s="8"/>
      <c r="G11" s="8"/>
      <c r="H11" s="10"/>
      <c r="I11" s="21" t="s">
        <v>42</v>
      </c>
    </row>
    <row r="12" spans="1:9" x14ac:dyDescent="0.3">
      <c r="E12" s="38"/>
    </row>
    <row r="16" spans="1:9" x14ac:dyDescent="0.3">
      <c r="A16" s="1" t="s">
        <v>0</v>
      </c>
      <c r="B16" s="234" t="s">
        <v>122</v>
      </c>
      <c r="C16" s="234"/>
      <c r="D16" s="234"/>
      <c r="F16" s="2"/>
      <c r="G16" s="235" t="s">
        <v>1</v>
      </c>
      <c r="H16" s="235"/>
      <c r="I16" s="3">
        <v>100000</v>
      </c>
    </row>
    <row r="17" spans="1:14" x14ac:dyDescent="0.3">
      <c r="A17" s="1" t="s">
        <v>2</v>
      </c>
      <c r="B17" s="4"/>
      <c r="D17" s="4"/>
      <c r="E17" s="1"/>
      <c r="F17" s="1"/>
      <c r="G17" s="5"/>
      <c r="H17" s="1" t="s">
        <v>3</v>
      </c>
      <c r="I17" s="9" t="s">
        <v>121</v>
      </c>
    </row>
    <row r="18" spans="1:14" x14ac:dyDescent="0.3">
      <c r="A18" s="1" t="s">
        <v>4</v>
      </c>
      <c r="B18" s="6"/>
      <c r="D18" s="6"/>
      <c r="E18" s="235" t="s">
        <v>5</v>
      </c>
      <c r="F18" s="235"/>
      <c r="G18" s="235"/>
      <c r="H18" s="235"/>
      <c r="I18" s="7">
        <v>1.4999999999999999E-2</v>
      </c>
    </row>
    <row r="19" spans="1:14" ht="15" thickBot="1" x14ac:dyDescent="0.35">
      <c r="A19" s="1" t="s">
        <v>6</v>
      </c>
      <c r="B19" s="236"/>
      <c r="C19" s="236"/>
      <c r="D19" s="237" t="s">
        <v>7</v>
      </c>
      <c r="E19" s="237"/>
      <c r="F19" s="237"/>
      <c r="G19" s="237"/>
      <c r="H19" s="237"/>
      <c r="I19" s="6">
        <v>6</v>
      </c>
    </row>
    <row r="20" spans="1:14" ht="87" thickBot="1" x14ac:dyDescent="0.35">
      <c r="A20" s="11" t="s">
        <v>8</v>
      </c>
      <c r="B20" s="11" t="s">
        <v>9</v>
      </c>
      <c r="C20" s="11" t="s">
        <v>10</v>
      </c>
      <c r="D20" s="12" t="s">
        <v>11</v>
      </c>
      <c r="E20" s="13" t="s">
        <v>12</v>
      </c>
      <c r="F20" s="14" t="s">
        <v>13</v>
      </c>
      <c r="G20" s="14" t="s">
        <v>14</v>
      </c>
      <c r="H20" s="14" t="s">
        <v>15</v>
      </c>
      <c r="I20" s="15" t="s">
        <v>16</v>
      </c>
    </row>
    <row r="21" spans="1:14" ht="15" thickBot="1" x14ac:dyDescent="0.35">
      <c r="A21" s="16" t="s">
        <v>17</v>
      </c>
      <c r="B21" s="17">
        <f>I16</f>
        <v>100000</v>
      </c>
      <c r="C21" s="17">
        <f>I16/I19</f>
        <v>16666.666666666668</v>
      </c>
      <c r="D21" s="17">
        <f>(B21*0.015)</f>
        <v>1500</v>
      </c>
      <c r="E21" s="17">
        <f t="shared" ref="E21:E26" si="3">SUM(C21:D21)</f>
        <v>18166.666666666668</v>
      </c>
      <c r="F21" s="17"/>
      <c r="G21" s="17"/>
      <c r="H21" s="18"/>
      <c r="I21" s="19"/>
      <c r="N21" s="33"/>
    </row>
    <row r="22" spans="1:14" x14ac:dyDescent="0.3">
      <c r="A22" s="20" t="s">
        <v>18</v>
      </c>
      <c r="B22" s="35">
        <v>66668</v>
      </c>
      <c r="C22" s="17">
        <v>16667</v>
      </c>
      <c r="D22" s="8">
        <f t="shared" ref="D22:D26" si="4">(B22*0.015)</f>
        <v>1000.02</v>
      </c>
      <c r="E22" s="8">
        <f t="shared" si="3"/>
        <v>17667.02</v>
      </c>
      <c r="F22" s="8"/>
      <c r="G22" s="8"/>
      <c r="H22" s="10"/>
      <c r="I22" s="21"/>
      <c r="N22" s="33"/>
    </row>
    <row r="23" spans="1:14" x14ac:dyDescent="0.3">
      <c r="A23" s="20" t="s">
        <v>19</v>
      </c>
      <c r="B23" s="35">
        <v>50001</v>
      </c>
      <c r="C23" s="8">
        <v>16667</v>
      </c>
      <c r="D23" s="8">
        <f t="shared" si="4"/>
        <v>750.01499999999999</v>
      </c>
      <c r="E23" s="8">
        <f t="shared" si="3"/>
        <v>17417.014999999999</v>
      </c>
      <c r="F23" s="8"/>
      <c r="G23" s="8"/>
      <c r="H23" s="10"/>
      <c r="I23" s="21"/>
      <c r="N23" s="33"/>
    </row>
    <row r="24" spans="1:14" x14ac:dyDescent="0.3">
      <c r="A24" s="20" t="s">
        <v>20</v>
      </c>
      <c r="B24" s="35">
        <v>33334</v>
      </c>
      <c r="C24" s="8">
        <v>16667</v>
      </c>
      <c r="D24" s="8">
        <f t="shared" si="4"/>
        <v>500.01</v>
      </c>
      <c r="E24" s="8">
        <f t="shared" si="3"/>
        <v>17167.009999999998</v>
      </c>
      <c r="F24" s="8"/>
      <c r="G24" s="8"/>
      <c r="H24" s="10"/>
      <c r="I24" s="21"/>
    </row>
    <row r="25" spans="1:14" x14ac:dyDescent="0.3">
      <c r="A25" s="20" t="s">
        <v>21</v>
      </c>
      <c r="B25" s="36">
        <v>33334</v>
      </c>
      <c r="C25" s="8">
        <v>16667</v>
      </c>
      <c r="D25" s="8">
        <f t="shared" si="4"/>
        <v>500.01</v>
      </c>
      <c r="E25" s="8">
        <f t="shared" si="3"/>
        <v>17167.009999999998</v>
      </c>
      <c r="F25" s="8"/>
      <c r="G25" s="8"/>
      <c r="H25" s="10"/>
      <c r="I25" s="21"/>
    </row>
    <row r="26" spans="1:14" x14ac:dyDescent="0.3">
      <c r="A26" s="20" t="s">
        <v>23</v>
      </c>
      <c r="B26" s="35">
        <v>16667</v>
      </c>
      <c r="C26" s="8">
        <v>16667</v>
      </c>
      <c r="D26" s="8">
        <f t="shared" si="4"/>
        <v>250.005</v>
      </c>
      <c r="E26" s="8">
        <f t="shared" si="3"/>
        <v>16917.005000000001</v>
      </c>
      <c r="F26" s="8"/>
      <c r="G26" s="8"/>
      <c r="H26" s="10"/>
      <c r="I26" s="21" t="s">
        <v>42</v>
      </c>
    </row>
    <row r="27" spans="1:14" x14ac:dyDescent="0.3">
      <c r="E27" s="38"/>
    </row>
    <row r="31" spans="1:14" x14ac:dyDescent="0.3">
      <c r="A31" s="1" t="s">
        <v>0</v>
      </c>
      <c r="B31" s="234" t="s">
        <v>123</v>
      </c>
      <c r="C31" s="234"/>
      <c r="D31" s="234"/>
      <c r="F31" s="2"/>
      <c r="G31" s="235" t="s">
        <v>1</v>
      </c>
      <c r="H31" s="235"/>
      <c r="I31" s="3">
        <v>20000</v>
      </c>
    </row>
    <row r="32" spans="1:14" x14ac:dyDescent="0.3">
      <c r="A32" s="1" t="s">
        <v>2</v>
      </c>
      <c r="B32" s="4"/>
      <c r="D32" s="4"/>
      <c r="E32" s="1"/>
      <c r="F32" s="1"/>
      <c r="G32" s="5"/>
      <c r="H32" s="1" t="s">
        <v>3</v>
      </c>
      <c r="I32" s="9" t="s">
        <v>78</v>
      </c>
    </row>
    <row r="33" spans="1:9" x14ac:dyDescent="0.3">
      <c r="A33" s="1" t="s">
        <v>4</v>
      </c>
      <c r="B33" s="6"/>
      <c r="D33" s="6"/>
      <c r="E33" s="235" t="s">
        <v>5</v>
      </c>
      <c r="F33" s="235"/>
      <c r="G33" s="235"/>
      <c r="H33" s="235"/>
      <c r="I33" s="7">
        <v>1.4999999999999999E-2</v>
      </c>
    </row>
    <row r="34" spans="1:9" ht="15" thickBot="1" x14ac:dyDescent="0.35">
      <c r="A34" s="1" t="s">
        <v>6</v>
      </c>
      <c r="B34" s="236"/>
      <c r="C34" s="236"/>
      <c r="D34" s="237" t="s">
        <v>7</v>
      </c>
      <c r="E34" s="237"/>
      <c r="F34" s="237"/>
      <c r="G34" s="237"/>
      <c r="H34" s="237"/>
      <c r="I34" s="6">
        <v>6</v>
      </c>
    </row>
    <row r="35" spans="1:9" ht="87" thickBot="1" x14ac:dyDescent="0.35">
      <c r="A35" s="11" t="s">
        <v>8</v>
      </c>
      <c r="B35" s="11" t="s">
        <v>9</v>
      </c>
      <c r="C35" s="11" t="s">
        <v>10</v>
      </c>
      <c r="D35" s="12" t="s">
        <v>11</v>
      </c>
      <c r="E35" s="13" t="s">
        <v>12</v>
      </c>
      <c r="F35" s="14" t="s">
        <v>13</v>
      </c>
      <c r="G35" s="14" t="s">
        <v>14</v>
      </c>
      <c r="H35" s="14" t="s">
        <v>15</v>
      </c>
      <c r="I35" s="15" t="s">
        <v>16</v>
      </c>
    </row>
    <row r="36" spans="1:9" x14ac:dyDescent="0.3">
      <c r="A36" s="16" t="s">
        <v>17</v>
      </c>
      <c r="B36" s="17">
        <f>I31</f>
        <v>20000</v>
      </c>
      <c r="C36" s="17">
        <f>I31/I34</f>
        <v>3333.3333333333335</v>
      </c>
      <c r="D36" s="17">
        <f>(B36*0.015)</f>
        <v>300</v>
      </c>
      <c r="E36" s="17">
        <f>$C$7+D36</f>
        <v>3633</v>
      </c>
      <c r="F36" s="17"/>
      <c r="G36" s="17"/>
      <c r="H36" s="18"/>
      <c r="I36" s="19"/>
    </row>
    <row r="37" spans="1:9" x14ac:dyDescent="0.3">
      <c r="A37" s="20" t="s">
        <v>18</v>
      </c>
      <c r="B37" s="35">
        <v>16667</v>
      </c>
      <c r="C37" s="8">
        <v>3333</v>
      </c>
      <c r="D37" s="8">
        <f t="shared" ref="D37:D41" si="5">(B37*0.015)</f>
        <v>250.005</v>
      </c>
      <c r="E37" s="8">
        <f t="shared" ref="E37:E41" si="6">$C$7+D37</f>
        <v>3583.0050000000001</v>
      </c>
      <c r="F37" s="8"/>
      <c r="G37" s="8"/>
      <c r="H37" s="10"/>
      <c r="I37" s="21"/>
    </row>
    <row r="38" spans="1:9" x14ac:dyDescent="0.3">
      <c r="A38" s="20" t="s">
        <v>19</v>
      </c>
      <c r="B38" s="35">
        <v>13332</v>
      </c>
      <c r="C38" s="8">
        <f t="shared" ref="C38:C41" si="7">$C$7</f>
        <v>3333</v>
      </c>
      <c r="D38" s="8">
        <f t="shared" si="5"/>
        <v>199.98</v>
      </c>
      <c r="E38" s="8">
        <f t="shared" si="6"/>
        <v>3532.98</v>
      </c>
      <c r="F38" s="8"/>
      <c r="G38" s="8"/>
      <c r="H38" s="10"/>
      <c r="I38" s="21"/>
    </row>
    <row r="39" spans="1:9" x14ac:dyDescent="0.3">
      <c r="A39" s="20" t="s">
        <v>20</v>
      </c>
      <c r="B39" s="35">
        <v>9999</v>
      </c>
      <c r="C39" s="8">
        <f t="shared" si="7"/>
        <v>3333</v>
      </c>
      <c r="D39" s="8">
        <f t="shared" si="5"/>
        <v>149.98499999999999</v>
      </c>
      <c r="E39" s="8">
        <f t="shared" si="6"/>
        <v>3482.9850000000001</v>
      </c>
      <c r="F39" s="8"/>
      <c r="G39" s="8"/>
      <c r="H39" s="10"/>
      <c r="I39" s="21"/>
    </row>
    <row r="40" spans="1:9" x14ac:dyDescent="0.3">
      <c r="A40" s="20" t="s">
        <v>21</v>
      </c>
      <c r="B40" s="36">
        <v>6666</v>
      </c>
      <c r="C40" s="8">
        <f t="shared" si="7"/>
        <v>3333</v>
      </c>
      <c r="D40" s="8">
        <f t="shared" si="5"/>
        <v>99.99</v>
      </c>
      <c r="E40" s="8">
        <f t="shared" si="6"/>
        <v>3432.99</v>
      </c>
      <c r="F40" s="8"/>
      <c r="G40" s="8"/>
      <c r="H40" s="10"/>
      <c r="I40" s="21"/>
    </row>
    <row r="41" spans="1:9" x14ac:dyDescent="0.3">
      <c r="A41" s="20" t="s">
        <v>23</v>
      </c>
      <c r="B41" s="35">
        <v>3333</v>
      </c>
      <c r="C41" s="8">
        <f t="shared" si="7"/>
        <v>3333</v>
      </c>
      <c r="D41" s="8">
        <f t="shared" si="5"/>
        <v>49.994999999999997</v>
      </c>
      <c r="E41" s="8">
        <f t="shared" si="6"/>
        <v>3382.9949999999999</v>
      </c>
      <c r="F41" s="8"/>
      <c r="G41" s="8"/>
      <c r="H41" s="10"/>
      <c r="I41" s="21" t="s">
        <v>42</v>
      </c>
    </row>
    <row r="42" spans="1:9" x14ac:dyDescent="0.3">
      <c r="E42" s="38"/>
    </row>
    <row r="43" spans="1:9" x14ac:dyDescent="0.3">
      <c r="A43" s="1" t="s">
        <v>0</v>
      </c>
      <c r="B43" s="234" t="s">
        <v>91</v>
      </c>
      <c r="C43" s="234"/>
      <c r="D43" s="234"/>
      <c r="F43" s="2"/>
      <c r="G43" s="235" t="s">
        <v>1</v>
      </c>
      <c r="H43" s="235"/>
      <c r="I43" s="3">
        <v>30000</v>
      </c>
    </row>
    <row r="44" spans="1:9" x14ac:dyDescent="0.3">
      <c r="A44" s="1" t="s">
        <v>2</v>
      </c>
      <c r="B44" s="4"/>
      <c r="D44" s="4"/>
      <c r="E44" s="1"/>
      <c r="F44" s="1"/>
      <c r="G44" s="5"/>
      <c r="H44" s="1" t="s">
        <v>3</v>
      </c>
      <c r="I44" s="9" t="s">
        <v>107</v>
      </c>
    </row>
    <row r="45" spans="1:9" x14ac:dyDescent="0.3">
      <c r="A45" s="1" t="s">
        <v>4</v>
      </c>
      <c r="B45" s="6"/>
      <c r="D45" s="6"/>
      <c r="E45" s="235" t="s">
        <v>5</v>
      </c>
      <c r="F45" s="235"/>
      <c r="G45" s="235"/>
      <c r="H45" s="235"/>
      <c r="I45" s="7">
        <v>1.4999999999999999E-2</v>
      </c>
    </row>
    <row r="46" spans="1:9" ht="15" thickBot="1" x14ac:dyDescent="0.35">
      <c r="A46" s="1" t="s">
        <v>6</v>
      </c>
      <c r="B46" s="236"/>
      <c r="C46" s="236"/>
      <c r="D46" s="237" t="s">
        <v>7</v>
      </c>
      <c r="E46" s="237"/>
      <c r="F46" s="237"/>
      <c r="G46" s="237"/>
      <c r="H46" s="237"/>
      <c r="I46" s="6">
        <v>6</v>
      </c>
    </row>
    <row r="47" spans="1:9" ht="87" thickBot="1" x14ac:dyDescent="0.35">
      <c r="A47" s="11" t="s">
        <v>8</v>
      </c>
      <c r="B47" s="11" t="s">
        <v>9</v>
      </c>
      <c r="C47" s="11" t="s">
        <v>10</v>
      </c>
      <c r="D47" s="12" t="s">
        <v>11</v>
      </c>
      <c r="E47" s="13" t="s">
        <v>12</v>
      </c>
      <c r="F47" s="14" t="s">
        <v>13</v>
      </c>
      <c r="G47" s="14" t="s">
        <v>14</v>
      </c>
      <c r="H47" s="14" t="s">
        <v>15</v>
      </c>
      <c r="I47" s="15" t="s">
        <v>16</v>
      </c>
    </row>
    <row r="48" spans="1:9" x14ac:dyDescent="0.3">
      <c r="A48" s="16" t="s">
        <v>17</v>
      </c>
      <c r="B48" s="17">
        <f>I43</f>
        <v>30000</v>
      </c>
      <c r="C48" s="17">
        <f>I43/I46</f>
        <v>5000</v>
      </c>
      <c r="D48" s="17">
        <f>(B48*0.015)</f>
        <v>450</v>
      </c>
      <c r="E48" s="17">
        <f t="shared" ref="E48:E53" si="8">SUM(C48:D48)</f>
        <v>5450</v>
      </c>
      <c r="F48" s="17"/>
      <c r="G48" s="17"/>
      <c r="H48" s="18"/>
      <c r="I48" s="19"/>
    </row>
    <row r="49" spans="1:9" x14ac:dyDescent="0.3">
      <c r="A49" s="20" t="s">
        <v>18</v>
      </c>
      <c r="B49" s="35">
        <v>25000</v>
      </c>
      <c r="C49" s="8">
        <v>5000</v>
      </c>
      <c r="D49" s="8">
        <f t="shared" ref="D49:D53" si="9">(B49*0.015)</f>
        <v>375</v>
      </c>
      <c r="E49" s="8">
        <f t="shared" si="8"/>
        <v>5375</v>
      </c>
      <c r="F49" s="8"/>
      <c r="G49" s="8"/>
      <c r="H49" s="10"/>
      <c r="I49" s="21"/>
    </row>
    <row r="50" spans="1:9" x14ac:dyDescent="0.3">
      <c r="A50" s="20" t="s">
        <v>19</v>
      </c>
      <c r="B50" s="35">
        <v>20000</v>
      </c>
      <c r="C50" s="8">
        <v>5000</v>
      </c>
      <c r="D50" s="8">
        <f t="shared" si="9"/>
        <v>300</v>
      </c>
      <c r="E50" s="8">
        <f t="shared" si="8"/>
        <v>5300</v>
      </c>
      <c r="F50" s="8"/>
      <c r="G50" s="8"/>
      <c r="H50" s="10"/>
      <c r="I50" s="21"/>
    </row>
    <row r="51" spans="1:9" x14ac:dyDescent="0.3">
      <c r="A51" s="20" t="s">
        <v>20</v>
      </c>
      <c r="B51" s="35">
        <v>15000</v>
      </c>
      <c r="C51" s="8">
        <v>5000</v>
      </c>
      <c r="D51" s="8">
        <f t="shared" si="9"/>
        <v>225</v>
      </c>
      <c r="E51" s="8">
        <f t="shared" si="8"/>
        <v>5225</v>
      </c>
      <c r="F51" s="8"/>
      <c r="G51" s="8"/>
      <c r="H51" s="10"/>
      <c r="I51" s="21"/>
    </row>
    <row r="52" spans="1:9" x14ac:dyDescent="0.3">
      <c r="A52" s="20" t="s">
        <v>21</v>
      </c>
      <c r="B52" s="36">
        <v>10000</v>
      </c>
      <c r="C52" s="8">
        <v>5000</v>
      </c>
      <c r="D52" s="8">
        <f t="shared" si="9"/>
        <v>150</v>
      </c>
      <c r="E52" s="8">
        <f t="shared" si="8"/>
        <v>5150</v>
      </c>
      <c r="F52" s="8"/>
      <c r="G52" s="8"/>
      <c r="H52" s="10"/>
      <c r="I52" s="21"/>
    </row>
    <row r="53" spans="1:9" x14ac:dyDescent="0.3">
      <c r="A53" s="20" t="s">
        <v>23</v>
      </c>
      <c r="B53" s="35">
        <v>5000</v>
      </c>
      <c r="C53" s="8">
        <v>5000</v>
      </c>
      <c r="D53" s="8">
        <f t="shared" si="9"/>
        <v>75</v>
      </c>
      <c r="E53" s="8">
        <f t="shared" si="8"/>
        <v>5075</v>
      </c>
      <c r="F53" s="8"/>
      <c r="G53" s="8"/>
      <c r="H53" s="10"/>
      <c r="I53" s="21" t="s">
        <v>42</v>
      </c>
    </row>
    <row r="54" spans="1:9" x14ac:dyDescent="0.3">
      <c r="E54" s="38"/>
    </row>
    <row r="58" spans="1:9" x14ac:dyDescent="0.3">
      <c r="A58" s="1" t="s">
        <v>0</v>
      </c>
      <c r="B58" s="234" t="s">
        <v>124</v>
      </c>
      <c r="C58" s="234"/>
      <c r="D58" s="234"/>
      <c r="F58" s="2"/>
      <c r="G58" s="235" t="s">
        <v>1</v>
      </c>
      <c r="H58" s="235"/>
      <c r="I58" s="3">
        <v>25000</v>
      </c>
    </row>
    <row r="59" spans="1:9" x14ac:dyDescent="0.3">
      <c r="A59" s="1" t="s">
        <v>2</v>
      </c>
      <c r="B59" s="4"/>
      <c r="D59" s="4"/>
      <c r="E59" s="1"/>
      <c r="F59" s="1"/>
      <c r="G59" s="5"/>
      <c r="H59" s="1" t="s">
        <v>3</v>
      </c>
      <c r="I59" s="9" t="s">
        <v>125</v>
      </c>
    </row>
    <row r="60" spans="1:9" x14ac:dyDescent="0.3">
      <c r="A60" s="1" t="s">
        <v>4</v>
      </c>
      <c r="B60" s="6"/>
      <c r="D60" s="6"/>
      <c r="E60" s="235" t="s">
        <v>5</v>
      </c>
      <c r="F60" s="235"/>
      <c r="G60" s="235"/>
      <c r="H60" s="235"/>
      <c r="I60" s="7">
        <v>1.4999999999999999E-2</v>
      </c>
    </row>
    <row r="61" spans="1:9" ht="15" thickBot="1" x14ac:dyDescent="0.35">
      <c r="A61" s="1" t="s">
        <v>6</v>
      </c>
      <c r="B61" s="236"/>
      <c r="C61" s="236"/>
      <c r="D61" s="237" t="s">
        <v>7</v>
      </c>
      <c r="E61" s="237"/>
      <c r="F61" s="237"/>
      <c r="G61" s="237"/>
      <c r="H61" s="237"/>
      <c r="I61" s="6">
        <v>6</v>
      </c>
    </row>
    <row r="62" spans="1:9" ht="87" thickBot="1" x14ac:dyDescent="0.35">
      <c r="A62" s="11" t="s">
        <v>8</v>
      </c>
      <c r="B62" s="11" t="s">
        <v>9</v>
      </c>
      <c r="C62" s="11" t="s">
        <v>10</v>
      </c>
      <c r="D62" s="12" t="s">
        <v>11</v>
      </c>
      <c r="E62" s="13" t="s">
        <v>12</v>
      </c>
      <c r="F62" s="14" t="s">
        <v>13</v>
      </c>
      <c r="G62" s="14" t="s">
        <v>14</v>
      </c>
      <c r="H62" s="14" t="s">
        <v>15</v>
      </c>
      <c r="I62" s="15" t="s">
        <v>16</v>
      </c>
    </row>
    <row r="63" spans="1:9" x14ac:dyDescent="0.3">
      <c r="A63" s="16" t="s">
        <v>17</v>
      </c>
      <c r="B63" s="17">
        <f>I58</f>
        <v>25000</v>
      </c>
      <c r="C63" s="17">
        <f>I58/I61</f>
        <v>4166.666666666667</v>
      </c>
      <c r="D63" s="17">
        <f>(B63*0.015)</f>
        <v>375</v>
      </c>
      <c r="E63" s="17">
        <f t="shared" ref="E63:E68" si="10">SUM(C63:D63)</f>
        <v>4541.666666666667</v>
      </c>
      <c r="F63" s="17"/>
      <c r="G63" s="17"/>
      <c r="H63" s="18"/>
      <c r="I63" s="19"/>
    </row>
    <row r="64" spans="1:9" x14ac:dyDescent="0.3">
      <c r="A64" s="20" t="s">
        <v>18</v>
      </c>
      <c r="B64" s="35">
        <v>20833</v>
      </c>
      <c r="C64" s="8">
        <v>4167</v>
      </c>
      <c r="D64" s="8">
        <f t="shared" ref="D64:D68" si="11">(B64*0.015)</f>
        <v>312.495</v>
      </c>
      <c r="E64" s="8">
        <f t="shared" si="10"/>
        <v>4479.4949999999999</v>
      </c>
      <c r="F64" s="8"/>
      <c r="G64" s="8"/>
      <c r="H64" s="10"/>
      <c r="I64" s="21"/>
    </row>
    <row r="65" spans="1:9" x14ac:dyDescent="0.3">
      <c r="A65" s="20" t="s">
        <v>19</v>
      </c>
      <c r="B65" s="35">
        <v>16668</v>
      </c>
      <c r="C65" s="8">
        <v>4167</v>
      </c>
      <c r="D65" s="8">
        <f t="shared" si="11"/>
        <v>250.01999999999998</v>
      </c>
      <c r="E65" s="8">
        <f t="shared" si="10"/>
        <v>4417.0200000000004</v>
      </c>
      <c r="F65" s="8"/>
      <c r="G65" s="8"/>
      <c r="H65" s="10"/>
      <c r="I65" s="21"/>
    </row>
    <row r="66" spans="1:9" x14ac:dyDescent="0.3">
      <c r="A66" s="20" t="s">
        <v>20</v>
      </c>
      <c r="B66" s="35">
        <v>12501</v>
      </c>
      <c r="C66" s="8">
        <v>4167</v>
      </c>
      <c r="D66" s="8">
        <f t="shared" si="11"/>
        <v>187.51499999999999</v>
      </c>
      <c r="E66" s="8">
        <f t="shared" si="10"/>
        <v>4354.5150000000003</v>
      </c>
      <c r="F66" s="8"/>
      <c r="G66" s="8"/>
      <c r="H66" s="10"/>
      <c r="I66" s="21"/>
    </row>
    <row r="67" spans="1:9" x14ac:dyDescent="0.3">
      <c r="A67" s="20" t="s">
        <v>21</v>
      </c>
      <c r="B67" s="36">
        <v>8334</v>
      </c>
      <c r="C67" s="8">
        <v>4167</v>
      </c>
      <c r="D67" s="8">
        <f t="shared" si="11"/>
        <v>125.00999999999999</v>
      </c>
      <c r="E67" s="8">
        <f t="shared" si="10"/>
        <v>4292.01</v>
      </c>
      <c r="F67" s="8"/>
      <c r="G67" s="8"/>
      <c r="H67" s="10"/>
      <c r="I67" s="21"/>
    </row>
    <row r="68" spans="1:9" x14ac:dyDescent="0.3">
      <c r="A68" s="20" t="s">
        <v>23</v>
      </c>
      <c r="B68" s="35">
        <v>4167</v>
      </c>
      <c r="C68" s="8">
        <v>4167</v>
      </c>
      <c r="D68" s="8">
        <f t="shared" si="11"/>
        <v>62.504999999999995</v>
      </c>
      <c r="E68" s="8">
        <f t="shared" si="10"/>
        <v>4229.5050000000001</v>
      </c>
      <c r="F68" s="8"/>
      <c r="G68" s="8"/>
      <c r="H68" s="10"/>
      <c r="I68" s="21" t="s">
        <v>42</v>
      </c>
    </row>
    <row r="69" spans="1:9" x14ac:dyDescent="0.3">
      <c r="E69" s="38"/>
    </row>
  </sheetData>
  <mergeCells count="25">
    <mergeCell ref="B1:D1"/>
    <mergeCell ref="G1:H1"/>
    <mergeCell ref="E3:H3"/>
    <mergeCell ref="B4:C4"/>
    <mergeCell ref="D4:H4"/>
    <mergeCell ref="B16:D16"/>
    <mergeCell ref="G16:H16"/>
    <mergeCell ref="E18:H18"/>
    <mergeCell ref="B19:C19"/>
    <mergeCell ref="D19:H19"/>
    <mergeCell ref="B31:D31"/>
    <mergeCell ref="G31:H31"/>
    <mergeCell ref="E33:H33"/>
    <mergeCell ref="B34:C34"/>
    <mergeCell ref="D34:H34"/>
    <mergeCell ref="B43:D43"/>
    <mergeCell ref="G43:H43"/>
    <mergeCell ref="E45:H45"/>
    <mergeCell ref="B46:C46"/>
    <mergeCell ref="D46:H46"/>
    <mergeCell ref="B58:D58"/>
    <mergeCell ref="G58:H58"/>
    <mergeCell ref="E60:H60"/>
    <mergeCell ref="B61:C61"/>
    <mergeCell ref="D61:H61"/>
  </mergeCells>
  <pageMargins left="0.25" right="0.25" top="0.75" bottom="0.75" header="0.3" footer="0.3"/>
  <pageSetup paperSize="256" orientation="portrait" horizontalDpi="4294967293" verticalDpi="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2D60-CD7C-4B54-8BE9-359B9950B000}">
  <dimension ref="A1:I10"/>
  <sheetViews>
    <sheetView workbookViewId="0">
      <selection sqref="A1:I10"/>
    </sheetView>
  </sheetViews>
  <sheetFormatPr defaultRowHeight="14.4" x14ac:dyDescent="0.3"/>
  <cols>
    <col min="1" max="1" width="20.88671875" customWidth="1"/>
    <col min="2" max="2" width="10.109375" bestFit="1" customWidth="1"/>
  </cols>
  <sheetData>
    <row r="1" spans="1:9" x14ac:dyDescent="0.3">
      <c r="A1" s="1" t="s">
        <v>0</v>
      </c>
      <c r="B1" s="234" t="s">
        <v>81</v>
      </c>
      <c r="C1" s="234"/>
      <c r="D1" s="234"/>
      <c r="F1" s="2"/>
      <c r="G1" s="235" t="s">
        <v>1</v>
      </c>
      <c r="H1" s="235"/>
      <c r="I1" s="3">
        <v>50000</v>
      </c>
    </row>
    <row r="2" spans="1:9" x14ac:dyDescent="0.3">
      <c r="A2" s="1" t="s">
        <v>2</v>
      </c>
      <c r="B2" s="4"/>
      <c r="D2" s="4"/>
      <c r="E2" s="1"/>
      <c r="F2" s="1"/>
      <c r="G2" s="5"/>
      <c r="H2" s="1" t="s">
        <v>3</v>
      </c>
      <c r="I2" s="9" t="s">
        <v>80</v>
      </c>
    </row>
    <row r="3" spans="1:9" x14ac:dyDescent="0.3">
      <c r="A3" s="1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9" ht="15" thickBot="1" x14ac:dyDescent="0.35">
      <c r="A4" s="1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5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50000</v>
      </c>
      <c r="C6" s="17">
        <f>I1/I4</f>
        <v>10000</v>
      </c>
      <c r="D6" s="17">
        <f>(B6*0.015)</f>
        <v>750</v>
      </c>
      <c r="E6" s="17">
        <f>$C$7+D6</f>
        <v>10750</v>
      </c>
      <c r="F6" s="17"/>
      <c r="G6" s="17"/>
      <c r="H6" s="18"/>
      <c r="I6" s="19"/>
    </row>
    <row r="7" spans="1:9" x14ac:dyDescent="0.3">
      <c r="A7" s="20" t="s">
        <v>18</v>
      </c>
      <c r="B7" s="35">
        <v>40000</v>
      </c>
      <c r="C7" s="8">
        <v>10000</v>
      </c>
      <c r="D7" s="8">
        <f t="shared" ref="D7:D10" si="0">(B7*0.015)</f>
        <v>600</v>
      </c>
      <c r="E7" s="8">
        <f t="shared" ref="E7:E10" si="1">$C$7+D7</f>
        <v>10600</v>
      </c>
      <c r="F7" s="8"/>
      <c r="G7" s="8"/>
      <c r="H7" s="10"/>
      <c r="I7" s="21"/>
    </row>
    <row r="8" spans="1:9" x14ac:dyDescent="0.3">
      <c r="A8" s="20" t="s">
        <v>19</v>
      </c>
      <c r="B8" s="35">
        <v>30000</v>
      </c>
      <c r="C8" s="8">
        <f t="shared" ref="C8:C10" si="2">$C$7</f>
        <v>10000</v>
      </c>
      <c r="D8" s="8">
        <f t="shared" si="0"/>
        <v>450</v>
      </c>
      <c r="E8" s="8">
        <f t="shared" si="1"/>
        <v>10450</v>
      </c>
      <c r="F8" s="8"/>
      <c r="G8" s="8"/>
      <c r="H8" s="10"/>
      <c r="I8" s="21"/>
    </row>
    <row r="9" spans="1:9" x14ac:dyDescent="0.3">
      <c r="A9" s="20" t="s">
        <v>20</v>
      </c>
      <c r="B9" s="35">
        <v>20000</v>
      </c>
      <c r="C9" s="8">
        <f t="shared" si="2"/>
        <v>10000</v>
      </c>
      <c r="D9" s="8">
        <f t="shared" si="0"/>
        <v>300</v>
      </c>
      <c r="E9" s="8">
        <f t="shared" si="1"/>
        <v>10300</v>
      </c>
      <c r="F9" s="8"/>
      <c r="G9" s="8"/>
      <c r="H9" s="10"/>
      <c r="I9" s="21"/>
    </row>
    <row r="10" spans="1:9" x14ac:dyDescent="0.3">
      <c r="A10" s="20" t="s">
        <v>21</v>
      </c>
      <c r="B10" s="36">
        <v>10000</v>
      </c>
      <c r="C10" s="8">
        <f t="shared" si="2"/>
        <v>10000</v>
      </c>
      <c r="D10" s="8">
        <f t="shared" si="0"/>
        <v>150</v>
      </c>
      <c r="E10" s="8">
        <f t="shared" si="1"/>
        <v>10150</v>
      </c>
      <c r="F10" s="8"/>
      <c r="G10" s="8"/>
      <c r="H10" s="10"/>
      <c r="I10" s="21" t="s">
        <v>42</v>
      </c>
    </row>
  </sheetData>
  <mergeCells count="5">
    <mergeCell ref="B1:D1"/>
    <mergeCell ref="G1:H1"/>
    <mergeCell ref="E3:H3"/>
    <mergeCell ref="B4:C4"/>
    <mergeCell ref="D4:H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501D-0754-4F9C-A81B-4CA860C7736E}">
  <dimension ref="A1:I6"/>
  <sheetViews>
    <sheetView workbookViewId="0">
      <selection sqref="A1:I6"/>
    </sheetView>
  </sheetViews>
  <sheetFormatPr defaultRowHeight="14.4" x14ac:dyDescent="0.3"/>
  <cols>
    <col min="1" max="1" width="21.109375" customWidth="1"/>
  </cols>
  <sheetData>
    <row r="1" spans="1:9" x14ac:dyDescent="0.3">
      <c r="A1" s="1" t="s">
        <v>0</v>
      </c>
      <c r="B1" s="234" t="s">
        <v>98</v>
      </c>
      <c r="C1" s="234"/>
      <c r="D1" s="234"/>
      <c r="F1" s="51" t="s">
        <v>105</v>
      </c>
      <c r="G1" s="235" t="s">
        <v>1</v>
      </c>
      <c r="H1" s="235"/>
      <c r="I1" s="3">
        <v>3000</v>
      </c>
    </row>
    <row r="2" spans="1:9" x14ac:dyDescent="0.3">
      <c r="A2" s="1" t="s">
        <v>2</v>
      </c>
      <c r="B2" s="4"/>
      <c r="D2" s="4"/>
      <c r="E2" s="1"/>
      <c r="F2" s="1"/>
      <c r="G2" s="5"/>
      <c r="H2" s="1" t="s">
        <v>3</v>
      </c>
      <c r="I2" s="9" t="s">
        <v>62</v>
      </c>
    </row>
    <row r="3" spans="1:9" x14ac:dyDescent="0.3">
      <c r="A3" s="1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9" ht="15" thickBot="1" x14ac:dyDescent="0.35">
      <c r="A4" s="1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1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3000</v>
      </c>
      <c r="C6" s="17">
        <f>I1/I4</f>
        <v>3000</v>
      </c>
      <c r="D6" s="17">
        <f>(B6*0.015)</f>
        <v>45</v>
      </c>
      <c r="E6" s="17">
        <f>$C$7+D6</f>
        <v>45</v>
      </c>
      <c r="F6" s="17"/>
      <c r="G6" s="17"/>
      <c r="H6" s="18"/>
      <c r="I6" s="19" t="s">
        <v>42</v>
      </c>
    </row>
  </sheetData>
  <mergeCells count="5">
    <mergeCell ref="B1:D1"/>
    <mergeCell ref="G1:H1"/>
    <mergeCell ref="E3:H3"/>
    <mergeCell ref="B4:C4"/>
    <mergeCell ref="D4:H4"/>
  </mergeCells>
  <pageMargins left="0.25" right="0.25" top="0.75" bottom="0.75" header="0.3" footer="0.3"/>
  <pageSetup paperSize="256" orientation="portrait" horizontalDpi="4294967293" verticalDpi="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D0986-FB20-4A18-B0D7-F4D286256D78}">
  <dimension ref="A1:I6"/>
  <sheetViews>
    <sheetView workbookViewId="0">
      <selection activeCell="F7" sqref="F7"/>
    </sheetView>
  </sheetViews>
  <sheetFormatPr defaultRowHeight="14.4" x14ac:dyDescent="0.3"/>
  <cols>
    <col min="1" max="1" width="21.77734375" customWidth="1"/>
    <col min="9" max="9" width="12.21875" customWidth="1"/>
  </cols>
  <sheetData>
    <row r="1" spans="1:9" x14ac:dyDescent="0.3">
      <c r="A1" s="1" t="s">
        <v>0</v>
      </c>
      <c r="B1" s="234" t="s">
        <v>87</v>
      </c>
      <c r="C1" s="234"/>
      <c r="D1" s="234"/>
      <c r="F1" s="2"/>
      <c r="G1" s="235" t="s">
        <v>1</v>
      </c>
      <c r="H1" s="235"/>
      <c r="I1" s="3">
        <v>5000</v>
      </c>
    </row>
    <row r="2" spans="1:9" x14ac:dyDescent="0.3">
      <c r="A2" s="1" t="s">
        <v>2</v>
      </c>
      <c r="B2" s="4"/>
      <c r="D2" s="4"/>
      <c r="E2" s="1"/>
      <c r="F2" s="1"/>
      <c r="G2" s="5"/>
      <c r="H2" s="1" t="s">
        <v>3</v>
      </c>
      <c r="I2" s="9" t="s">
        <v>58</v>
      </c>
    </row>
    <row r="3" spans="1:9" x14ac:dyDescent="0.3">
      <c r="A3" s="1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9" ht="15" thickBot="1" x14ac:dyDescent="0.35">
      <c r="A4" s="1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1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5000</v>
      </c>
      <c r="C6" s="17">
        <f>I1/I4</f>
        <v>5000</v>
      </c>
      <c r="D6" s="17">
        <f>(B6*0.015)</f>
        <v>75</v>
      </c>
      <c r="E6" s="17">
        <f>$C$7+D6</f>
        <v>75</v>
      </c>
      <c r="F6" s="17"/>
      <c r="G6" s="17"/>
      <c r="H6" s="18"/>
      <c r="I6" s="19" t="s">
        <v>42</v>
      </c>
    </row>
  </sheetData>
  <mergeCells count="5">
    <mergeCell ref="B1:D1"/>
    <mergeCell ref="G1:H1"/>
    <mergeCell ref="E3:H3"/>
    <mergeCell ref="B4:C4"/>
    <mergeCell ref="D4:H4"/>
  </mergeCells>
  <pageMargins left="0.25" right="0.25" top="0.75" bottom="0.75" header="0.3" footer="0.3"/>
  <pageSetup orientation="portrait" horizontalDpi="4294967292" verticalDpi="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511B2-FC31-4183-804B-7706D2BA6D4C}">
  <dimension ref="A1:N63"/>
  <sheetViews>
    <sheetView topLeftCell="A44" workbookViewId="0">
      <selection activeCell="A47" sqref="A47:I63"/>
    </sheetView>
  </sheetViews>
  <sheetFormatPr defaultRowHeight="14.4" x14ac:dyDescent="0.3"/>
  <cols>
    <col min="1" max="1" width="20.6640625" customWidth="1"/>
    <col min="2" max="2" width="10.44140625" customWidth="1"/>
    <col min="9" max="9" width="12.5546875" customWidth="1"/>
  </cols>
  <sheetData>
    <row r="1" spans="1:14" x14ac:dyDescent="0.3">
      <c r="A1" s="40" t="s">
        <v>0</v>
      </c>
      <c r="B1" s="234" t="s">
        <v>74</v>
      </c>
      <c r="C1" s="234"/>
      <c r="D1" s="234"/>
      <c r="F1" s="2"/>
      <c r="G1" s="235" t="s">
        <v>1</v>
      </c>
      <c r="H1" s="235"/>
      <c r="I1" s="3">
        <v>25000</v>
      </c>
    </row>
    <row r="2" spans="1:14" x14ac:dyDescent="0.3">
      <c r="A2" s="40" t="s">
        <v>2</v>
      </c>
      <c r="B2" s="4"/>
      <c r="D2" s="4"/>
      <c r="E2" s="1"/>
      <c r="F2" s="1"/>
      <c r="G2" s="5"/>
      <c r="H2" s="1" t="s">
        <v>3</v>
      </c>
      <c r="I2" s="9" t="s">
        <v>75</v>
      </c>
    </row>
    <row r="3" spans="1:14" x14ac:dyDescent="0.3">
      <c r="A3" s="40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14" ht="15" thickBot="1" x14ac:dyDescent="0.35">
      <c r="A4" s="40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12</v>
      </c>
    </row>
    <row r="5" spans="1:14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14" x14ac:dyDescent="0.3">
      <c r="A6" s="16" t="s">
        <v>17</v>
      </c>
      <c r="B6" s="17">
        <f>I1</f>
        <v>25000</v>
      </c>
      <c r="C6" s="17">
        <f>I1/I4</f>
        <v>2083.3333333333335</v>
      </c>
      <c r="D6" s="17">
        <f>(B6*0.015)</f>
        <v>375</v>
      </c>
      <c r="E6" s="17">
        <f ca="1">$C$7+D6</f>
        <v>2458.3333333333335</v>
      </c>
      <c r="F6" s="17"/>
      <c r="G6" s="17"/>
      <c r="H6" s="18"/>
      <c r="I6" s="19"/>
    </row>
    <row r="7" spans="1:14" x14ac:dyDescent="0.3">
      <c r="A7" s="20" t="s">
        <v>18</v>
      </c>
      <c r="B7" s="35">
        <v>22917</v>
      </c>
      <c r="C7" s="8">
        <f ca="1">$C$7</f>
        <v>2083.3333333333335</v>
      </c>
      <c r="D7" s="8">
        <f t="shared" ref="D7:D17" si="0">(B7*0.015)</f>
        <v>343.755</v>
      </c>
      <c r="E7" s="8">
        <f t="shared" ref="E7:E17" ca="1" si="1">$C$7+D7</f>
        <v>2427.0883333333336</v>
      </c>
      <c r="F7" s="8"/>
      <c r="G7" s="8"/>
      <c r="H7" s="10"/>
      <c r="I7" s="21"/>
      <c r="L7" s="28"/>
      <c r="N7" s="38"/>
    </row>
    <row r="8" spans="1:14" x14ac:dyDescent="0.3">
      <c r="A8" s="20" t="s">
        <v>19</v>
      </c>
      <c r="B8" s="35">
        <v>20833.669999999998</v>
      </c>
      <c r="C8" s="8">
        <f t="shared" ref="C8:C17" ca="1" si="2">$C$7</f>
        <v>2083.3333333333335</v>
      </c>
      <c r="D8" s="8">
        <f t="shared" si="0"/>
        <v>312.50504999999998</v>
      </c>
      <c r="E8" s="8">
        <f t="shared" ca="1" si="1"/>
        <v>2395.8383833333337</v>
      </c>
      <c r="F8" s="8"/>
      <c r="G8" s="8"/>
      <c r="H8" s="10"/>
      <c r="I8" s="21"/>
      <c r="L8" s="28"/>
      <c r="N8" s="38"/>
    </row>
    <row r="9" spans="1:14" x14ac:dyDescent="0.3">
      <c r="A9" s="20" t="s">
        <v>20</v>
      </c>
      <c r="B9" s="35">
        <v>18750.34</v>
      </c>
      <c r="C9" s="8">
        <f t="shared" ca="1" si="2"/>
        <v>2083.3333333333335</v>
      </c>
      <c r="D9" s="8">
        <f t="shared" si="0"/>
        <v>281.25509999999997</v>
      </c>
      <c r="E9" s="8">
        <f t="shared" ca="1" si="1"/>
        <v>2364.5884333333333</v>
      </c>
      <c r="F9" s="8"/>
      <c r="G9" s="8"/>
      <c r="H9" s="10"/>
      <c r="I9" s="21"/>
      <c r="L9" s="28"/>
      <c r="N9" s="38"/>
    </row>
    <row r="10" spans="1:14" x14ac:dyDescent="0.3">
      <c r="A10" s="20" t="s">
        <v>21</v>
      </c>
      <c r="B10" s="36">
        <v>16667.009999999998</v>
      </c>
      <c r="C10" s="8">
        <f t="shared" ca="1" si="2"/>
        <v>2083.3333333333335</v>
      </c>
      <c r="D10" s="8">
        <f t="shared" si="0"/>
        <v>250.00514999999996</v>
      </c>
      <c r="E10" s="8">
        <f t="shared" ca="1" si="1"/>
        <v>2333.3384833333334</v>
      </c>
      <c r="F10" s="8"/>
      <c r="G10" s="8"/>
      <c r="H10" s="10"/>
      <c r="I10" s="21"/>
      <c r="L10" s="28"/>
      <c r="N10" s="38"/>
    </row>
    <row r="11" spans="1:14" x14ac:dyDescent="0.3">
      <c r="A11" s="20" t="s">
        <v>23</v>
      </c>
      <c r="B11" s="35">
        <v>14583.68</v>
      </c>
      <c r="C11" s="8">
        <f t="shared" ca="1" si="2"/>
        <v>2083.3333333333335</v>
      </c>
      <c r="D11" s="8">
        <f t="shared" si="0"/>
        <v>218.7552</v>
      </c>
      <c r="E11" s="8">
        <f t="shared" ca="1" si="1"/>
        <v>2302.0885333333335</v>
      </c>
      <c r="F11" s="8"/>
      <c r="G11" s="8"/>
      <c r="H11" s="10"/>
      <c r="I11" s="21"/>
      <c r="L11" s="28"/>
      <c r="N11" s="38"/>
    </row>
    <row r="12" spans="1:14" x14ac:dyDescent="0.3">
      <c r="A12" s="20" t="s">
        <v>24</v>
      </c>
      <c r="B12" s="35">
        <v>12500.35</v>
      </c>
      <c r="C12" s="8">
        <f t="shared" ca="1" si="2"/>
        <v>2083.3333333333335</v>
      </c>
      <c r="D12" s="8">
        <f t="shared" si="0"/>
        <v>187.50524999999999</v>
      </c>
      <c r="E12" s="8">
        <f t="shared" ca="1" si="1"/>
        <v>2270.8385833333336</v>
      </c>
      <c r="F12" s="8"/>
      <c r="G12" s="8"/>
      <c r="H12" s="10"/>
      <c r="I12" s="21"/>
      <c r="L12" s="28"/>
      <c r="N12" s="38"/>
    </row>
    <row r="13" spans="1:14" x14ac:dyDescent="0.3">
      <c r="A13" s="20" t="s">
        <v>25</v>
      </c>
      <c r="B13" s="35">
        <v>10417.02</v>
      </c>
      <c r="C13" s="8">
        <f t="shared" ca="1" si="2"/>
        <v>2083.3333333333335</v>
      </c>
      <c r="D13" s="8">
        <f t="shared" si="0"/>
        <v>156.25530000000001</v>
      </c>
      <c r="E13" s="8">
        <f t="shared" ca="1" si="1"/>
        <v>2239.5886333333333</v>
      </c>
      <c r="F13" s="8"/>
      <c r="G13" s="8"/>
      <c r="H13" s="10"/>
      <c r="I13" s="21"/>
      <c r="L13" s="28"/>
      <c r="N13" s="38"/>
    </row>
    <row r="14" spans="1:14" x14ac:dyDescent="0.3">
      <c r="A14" s="20" t="s">
        <v>26</v>
      </c>
      <c r="B14" s="35">
        <v>8333.69</v>
      </c>
      <c r="C14" s="8">
        <f t="shared" ca="1" si="2"/>
        <v>2083.3333333333335</v>
      </c>
      <c r="D14" s="8">
        <f t="shared" si="0"/>
        <v>125.00535000000001</v>
      </c>
      <c r="E14" s="8">
        <f t="shared" ca="1" si="1"/>
        <v>2208.3386833333334</v>
      </c>
      <c r="F14" s="8"/>
      <c r="G14" s="8"/>
      <c r="H14" s="10"/>
      <c r="I14" s="21"/>
      <c r="L14" s="28"/>
      <c r="N14" s="38"/>
    </row>
    <row r="15" spans="1:14" x14ac:dyDescent="0.3">
      <c r="A15" s="20" t="s">
        <v>27</v>
      </c>
      <c r="B15" s="35">
        <v>6250.36</v>
      </c>
      <c r="C15" s="8">
        <f t="shared" ca="1" si="2"/>
        <v>2083.3333333333335</v>
      </c>
      <c r="D15" s="8">
        <f t="shared" si="0"/>
        <v>93.755399999999995</v>
      </c>
      <c r="E15" s="8">
        <f t="shared" ca="1" si="1"/>
        <v>2177.0887333333335</v>
      </c>
      <c r="F15" s="8"/>
      <c r="G15" s="8"/>
      <c r="H15" s="10"/>
      <c r="I15" s="21"/>
      <c r="L15" s="28"/>
      <c r="N15" s="38"/>
    </row>
    <row r="16" spans="1:14" x14ac:dyDescent="0.3">
      <c r="A16" s="20" t="s">
        <v>28</v>
      </c>
      <c r="B16" s="35">
        <v>4167.3599999999997</v>
      </c>
      <c r="C16" s="8">
        <f t="shared" ca="1" si="2"/>
        <v>2083.3333333333335</v>
      </c>
      <c r="D16" s="8">
        <f t="shared" si="0"/>
        <v>62.51039999999999</v>
      </c>
      <c r="E16" s="8">
        <f t="shared" ca="1" si="1"/>
        <v>2145.8437333333336</v>
      </c>
      <c r="F16" s="8"/>
      <c r="G16" s="8"/>
      <c r="H16" s="10"/>
      <c r="I16" s="21"/>
      <c r="L16" s="28"/>
      <c r="N16" s="38"/>
    </row>
    <row r="17" spans="1:14" x14ac:dyDescent="0.3">
      <c r="A17" s="20" t="s">
        <v>29</v>
      </c>
      <c r="B17" s="35">
        <v>2083</v>
      </c>
      <c r="C17" s="8">
        <f t="shared" ca="1" si="2"/>
        <v>2083.3333333333335</v>
      </c>
      <c r="D17" s="8">
        <f t="shared" si="0"/>
        <v>31.244999999999997</v>
      </c>
      <c r="E17" s="8">
        <f t="shared" ca="1" si="1"/>
        <v>2114.5783333333334</v>
      </c>
      <c r="F17" s="8"/>
      <c r="G17" s="8"/>
      <c r="H17" s="10"/>
      <c r="I17" s="21" t="s">
        <v>42</v>
      </c>
      <c r="L17" s="28"/>
      <c r="N17" s="38"/>
    </row>
    <row r="18" spans="1:14" x14ac:dyDescent="0.3">
      <c r="C18" s="38"/>
      <c r="E18" s="38"/>
      <c r="L18" s="28"/>
      <c r="N18" s="38"/>
    </row>
    <row r="19" spans="1:14" x14ac:dyDescent="0.3">
      <c r="C19" s="38"/>
      <c r="E19" s="38"/>
    </row>
    <row r="22" spans="1:14" x14ac:dyDescent="0.3">
      <c r="A22" s="40" t="s">
        <v>0</v>
      </c>
      <c r="B22" s="41" t="s">
        <v>49</v>
      </c>
      <c r="C22" s="41"/>
      <c r="D22" s="41"/>
      <c r="F22" s="2"/>
      <c r="H22" s="1" t="s">
        <v>1</v>
      </c>
      <c r="I22" s="3">
        <v>10000</v>
      </c>
    </row>
    <row r="23" spans="1:14" x14ac:dyDescent="0.3">
      <c r="A23" s="40" t="s">
        <v>2</v>
      </c>
      <c r="B23" s="4"/>
      <c r="D23" s="4"/>
      <c r="E23" s="1"/>
      <c r="F23" s="1"/>
      <c r="G23" s="5"/>
      <c r="H23" s="1" t="s">
        <v>3</v>
      </c>
      <c r="I23" s="9" t="s">
        <v>22</v>
      </c>
    </row>
    <row r="24" spans="1:14" x14ac:dyDescent="0.3">
      <c r="A24" s="40" t="s">
        <v>4</v>
      </c>
      <c r="B24" s="6"/>
      <c r="D24" s="6"/>
      <c r="F24" s="1"/>
      <c r="H24" s="1" t="s">
        <v>5</v>
      </c>
      <c r="I24" s="7">
        <v>1.4999999999999999E-2</v>
      </c>
    </row>
    <row r="25" spans="1:14" ht="15" thickBot="1" x14ac:dyDescent="0.35">
      <c r="A25" s="40" t="s">
        <v>6</v>
      </c>
      <c r="B25" s="26"/>
      <c r="C25" s="26"/>
      <c r="E25" s="27"/>
      <c r="F25" s="27"/>
      <c r="G25" s="27" t="s">
        <v>7</v>
      </c>
      <c r="H25" s="27"/>
      <c r="I25" s="6">
        <v>12</v>
      </c>
    </row>
    <row r="26" spans="1:14" ht="87" thickBot="1" x14ac:dyDescent="0.35">
      <c r="A26" s="11" t="s">
        <v>8</v>
      </c>
      <c r="B26" s="11" t="s">
        <v>9</v>
      </c>
      <c r="C26" s="11" t="s">
        <v>10</v>
      </c>
      <c r="D26" s="12" t="s">
        <v>11</v>
      </c>
      <c r="E26" s="13" t="s">
        <v>12</v>
      </c>
      <c r="F26" s="14" t="s">
        <v>13</v>
      </c>
      <c r="G26" s="14" t="s">
        <v>14</v>
      </c>
      <c r="H26" s="14" t="s">
        <v>15</v>
      </c>
      <c r="I26" s="15" t="s">
        <v>16</v>
      </c>
    </row>
    <row r="27" spans="1:14" x14ac:dyDescent="0.3">
      <c r="A27" s="16" t="s">
        <v>17</v>
      </c>
      <c r="B27" s="17">
        <f>I22</f>
        <v>10000</v>
      </c>
      <c r="C27" s="17">
        <f>I22/I25</f>
        <v>833.33333333333337</v>
      </c>
      <c r="D27" s="17">
        <f>(B27*0.015)</f>
        <v>150</v>
      </c>
      <c r="E27" s="17">
        <f ca="1">$C$7+D27</f>
        <v>983.33333333333337</v>
      </c>
      <c r="F27" s="17"/>
      <c r="G27" s="17"/>
      <c r="H27" s="18"/>
      <c r="I27" s="19"/>
    </row>
    <row r="28" spans="1:14" x14ac:dyDescent="0.3">
      <c r="A28" s="20" t="s">
        <v>18</v>
      </c>
      <c r="B28" s="8">
        <v>9163</v>
      </c>
      <c r="C28" s="8">
        <f ca="1">$C$7</f>
        <v>833.33333333333337</v>
      </c>
      <c r="D28" s="8">
        <f t="shared" ref="D28:D38" si="3">(B28*0.015)</f>
        <v>137.44499999999999</v>
      </c>
      <c r="E28" s="8">
        <f t="shared" ref="E28:E38" ca="1" si="4">$C$7+D28</f>
        <v>970.77833333333342</v>
      </c>
      <c r="F28" s="8"/>
      <c r="G28" s="8"/>
      <c r="H28" s="10"/>
      <c r="I28" s="21"/>
    </row>
    <row r="29" spans="1:14" x14ac:dyDescent="0.3">
      <c r="A29" s="20" t="s">
        <v>19</v>
      </c>
      <c r="B29" s="8">
        <v>8330</v>
      </c>
      <c r="C29" s="8">
        <f t="shared" ref="C29:C38" ca="1" si="5">$C$7</f>
        <v>833.33333333333337</v>
      </c>
      <c r="D29" s="8">
        <f t="shared" si="3"/>
        <v>124.94999999999999</v>
      </c>
      <c r="E29" s="8">
        <f t="shared" ca="1" si="4"/>
        <v>958.2833333333333</v>
      </c>
      <c r="F29" s="8"/>
      <c r="G29" s="8"/>
      <c r="H29" s="10"/>
      <c r="I29" s="21"/>
    </row>
    <row r="30" spans="1:14" x14ac:dyDescent="0.3">
      <c r="A30" s="20" t="s">
        <v>20</v>
      </c>
      <c r="B30" s="8">
        <v>7497</v>
      </c>
      <c r="C30" s="8">
        <f t="shared" ca="1" si="5"/>
        <v>833.33333333333337</v>
      </c>
      <c r="D30" s="8">
        <f t="shared" si="3"/>
        <v>112.455</v>
      </c>
      <c r="E30" s="8">
        <f t="shared" ca="1" si="4"/>
        <v>945.78833333333341</v>
      </c>
      <c r="F30" s="8"/>
      <c r="G30" s="8"/>
      <c r="H30" s="10"/>
      <c r="I30" s="21"/>
    </row>
    <row r="31" spans="1:14" x14ac:dyDescent="0.3">
      <c r="A31" s="20" t="s">
        <v>21</v>
      </c>
      <c r="B31" s="8">
        <v>6664</v>
      </c>
      <c r="C31" s="8">
        <f t="shared" ca="1" si="5"/>
        <v>833.33333333333337</v>
      </c>
      <c r="D31" s="8">
        <f t="shared" si="3"/>
        <v>99.96</v>
      </c>
      <c r="E31" s="8">
        <f t="shared" ca="1" si="4"/>
        <v>933.29333333333341</v>
      </c>
      <c r="F31" s="8"/>
      <c r="G31" s="8"/>
      <c r="H31" s="10"/>
      <c r="I31" s="21"/>
    </row>
    <row r="32" spans="1:14" x14ac:dyDescent="0.3">
      <c r="A32" s="20" t="s">
        <v>23</v>
      </c>
      <c r="B32" s="8">
        <v>5831</v>
      </c>
      <c r="C32" s="8">
        <f t="shared" ca="1" si="5"/>
        <v>833.33333333333337</v>
      </c>
      <c r="D32" s="8">
        <f t="shared" si="3"/>
        <v>87.465000000000003</v>
      </c>
      <c r="E32" s="8">
        <f t="shared" ca="1" si="4"/>
        <v>920.7983333333334</v>
      </c>
      <c r="F32" s="8"/>
      <c r="G32" s="8"/>
      <c r="H32" s="10"/>
      <c r="I32" s="21"/>
    </row>
    <row r="33" spans="1:9" x14ac:dyDescent="0.3">
      <c r="A33" s="20" t="s">
        <v>24</v>
      </c>
      <c r="B33" s="8">
        <v>4998</v>
      </c>
      <c r="C33" s="8">
        <f t="shared" ca="1" si="5"/>
        <v>833.33333333333337</v>
      </c>
      <c r="D33" s="8">
        <f t="shared" si="3"/>
        <v>74.97</v>
      </c>
      <c r="E33" s="8">
        <f t="shared" ca="1" si="4"/>
        <v>908.3033333333334</v>
      </c>
      <c r="F33" s="8"/>
      <c r="G33" s="8"/>
      <c r="H33" s="10"/>
      <c r="I33" s="21"/>
    </row>
    <row r="34" spans="1:9" x14ac:dyDescent="0.3">
      <c r="A34" s="20" t="s">
        <v>25</v>
      </c>
      <c r="B34" s="8">
        <v>4165</v>
      </c>
      <c r="C34" s="8">
        <f t="shared" ca="1" si="5"/>
        <v>833.33333333333337</v>
      </c>
      <c r="D34" s="8">
        <f t="shared" si="3"/>
        <v>62.474999999999994</v>
      </c>
      <c r="E34" s="8">
        <f t="shared" ca="1" si="4"/>
        <v>895.80833333333339</v>
      </c>
      <c r="F34" s="8"/>
      <c r="G34" s="8"/>
      <c r="H34" s="10"/>
      <c r="I34" s="21"/>
    </row>
    <row r="35" spans="1:9" x14ac:dyDescent="0.3">
      <c r="A35" s="20" t="s">
        <v>26</v>
      </c>
      <c r="B35" s="8">
        <v>3332</v>
      </c>
      <c r="C35" s="8">
        <f t="shared" ca="1" si="5"/>
        <v>833.33333333333337</v>
      </c>
      <c r="D35" s="8">
        <f t="shared" si="3"/>
        <v>49.98</v>
      </c>
      <c r="E35" s="8">
        <f t="shared" ca="1" si="4"/>
        <v>883.31333333333339</v>
      </c>
      <c r="F35" s="8"/>
      <c r="G35" s="8"/>
      <c r="H35" s="10"/>
      <c r="I35" s="21"/>
    </row>
    <row r="36" spans="1:9" x14ac:dyDescent="0.3">
      <c r="A36" s="20" t="s">
        <v>27</v>
      </c>
      <c r="B36" s="8">
        <v>2499</v>
      </c>
      <c r="C36" s="8">
        <f t="shared" ca="1" si="5"/>
        <v>833.33333333333337</v>
      </c>
      <c r="D36" s="8">
        <f t="shared" si="3"/>
        <v>37.484999999999999</v>
      </c>
      <c r="E36" s="8">
        <f t="shared" ca="1" si="4"/>
        <v>870.81833333333338</v>
      </c>
      <c r="F36" s="8"/>
      <c r="G36" s="8"/>
      <c r="H36" s="10"/>
      <c r="I36" s="21"/>
    </row>
    <row r="37" spans="1:9" x14ac:dyDescent="0.3">
      <c r="A37" s="20" t="s">
        <v>28</v>
      </c>
      <c r="B37" s="8">
        <v>1666</v>
      </c>
      <c r="C37" s="8">
        <f t="shared" ca="1" si="5"/>
        <v>833.33333333333337</v>
      </c>
      <c r="D37" s="8">
        <f t="shared" si="3"/>
        <v>24.99</v>
      </c>
      <c r="E37" s="8">
        <f t="shared" ca="1" si="4"/>
        <v>858.32333333333338</v>
      </c>
      <c r="F37" s="8"/>
      <c r="G37" s="8"/>
      <c r="H37" s="10"/>
      <c r="I37" s="21"/>
    </row>
    <row r="38" spans="1:9" x14ac:dyDescent="0.3">
      <c r="A38" s="20" t="s">
        <v>29</v>
      </c>
      <c r="B38" s="8">
        <v>833</v>
      </c>
      <c r="C38" s="8">
        <f t="shared" ca="1" si="5"/>
        <v>833.33333333333337</v>
      </c>
      <c r="D38" s="8">
        <f t="shared" si="3"/>
        <v>12.494999999999999</v>
      </c>
      <c r="E38" s="8">
        <f t="shared" ca="1" si="4"/>
        <v>845.82833333333338</v>
      </c>
      <c r="F38" s="8"/>
      <c r="G38" s="8"/>
      <c r="H38" s="10"/>
      <c r="I38" s="21" t="s">
        <v>42</v>
      </c>
    </row>
    <row r="39" spans="1:9" x14ac:dyDescent="0.3">
      <c r="C39" s="38"/>
      <c r="E39" s="38"/>
    </row>
    <row r="47" spans="1:9" x14ac:dyDescent="0.3">
      <c r="A47" s="40" t="s">
        <v>0</v>
      </c>
      <c r="B47" s="41" t="s">
        <v>135</v>
      </c>
      <c r="C47" s="41"/>
      <c r="D47" s="41"/>
      <c r="F47" s="2"/>
      <c r="H47" s="1" t="s">
        <v>1</v>
      </c>
      <c r="I47" s="3">
        <v>10000</v>
      </c>
    </row>
    <row r="48" spans="1:9" x14ac:dyDescent="0.3">
      <c r="A48" s="40" t="s">
        <v>2</v>
      </c>
      <c r="B48" s="4"/>
      <c r="D48" s="4"/>
      <c r="E48" s="1"/>
      <c r="F48" s="1"/>
      <c r="G48" s="5"/>
      <c r="H48" s="1" t="s">
        <v>3</v>
      </c>
      <c r="I48" s="9" t="s">
        <v>136</v>
      </c>
    </row>
    <row r="49" spans="1:9" x14ac:dyDescent="0.3">
      <c r="A49" s="40" t="s">
        <v>4</v>
      </c>
      <c r="B49" s="6"/>
      <c r="D49" s="6"/>
      <c r="F49" s="1"/>
      <c r="H49" s="1" t="s">
        <v>5</v>
      </c>
      <c r="I49" s="7">
        <v>1.4999999999999999E-2</v>
      </c>
    </row>
    <row r="50" spans="1:9" ht="15" thickBot="1" x14ac:dyDescent="0.35">
      <c r="A50" s="40" t="s">
        <v>6</v>
      </c>
      <c r="B50" s="26"/>
      <c r="C50" s="26"/>
      <c r="E50" s="27"/>
      <c r="F50" s="27"/>
      <c r="G50" s="27" t="s">
        <v>7</v>
      </c>
      <c r="H50" s="27"/>
      <c r="I50" s="6">
        <v>12</v>
      </c>
    </row>
    <row r="51" spans="1:9" ht="87" thickBot="1" x14ac:dyDescent="0.35">
      <c r="A51" s="11" t="s">
        <v>8</v>
      </c>
      <c r="B51" s="11" t="s">
        <v>9</v>
      </c>
      <c r="C51" s="11" t="s">
        <v>10</v>
      </c>
      <c r="D51" s="12" t="s">
        <v>11</v>
      </c>
      <c r="E51" s="13" t="s">
        <v>12</v>
      </c>
      <c r="F51" s="14" t="s">
        <v>13</v>
      </c>
      <c r="G51" s="14" t="s">
        <v>14</v>
      </c>
      <c r="H51" s="14" t="s">
        <v>15</v>
      </c>
      <c r="I51" s="15" t="s">
        <v>16</v>
      </c>
    </row>
    <row r="52" spans="1:9" x14ac:dyDescent="0.3">
      <c r="A52" s="16" t="s">
        <v>17</v>
      </c>
      <c r="B52" s="17">
        <f>I47</f>
        <v>10000</v>
      </c>
      <c r="C52" s="17">
        <f>I47/I50</f>
        <v>833.33333333333337</v>
      </c>
      <c r="D52" s="17">
        <f>(B52*0.015)</f>
        <v>150</v>
      </c>
      <c r="E52" s="17">
        <f ca="1">$C$7+D52</f>
        <v>983.33333333333337</v>
      </c>
      <c r="F52" s="17"/>
      <c r="G52" s="17"/>
      <c r="H52" s="18"/>
      <c r="I52" s="19"/>
    </row>
    <row r="53" spans="1:9" x14ac:dyDescent="0.3">
      <c r="A53" s="20" t="s">
        <v>18</v>
      </c>
      <c r="B53" s="8">
        <v>9163</v>
      </c>
      <c r="C53" s="8">
        <f ca="1">$C$7</f>
        <v>833.33333333333337</v>
      </c>
      <c r="D53" s="8">
        <f t="shared" ref="D53:D63" si="6">(B53*0.015)</f>
        <v>137.44499999999999</v>
      </c>
      <c r="E53" s="8">
        <f t="shared" ref="E53:E63" ca="1" si="7">$C$7+D53</f>
        <v>970.77833333333342</v>
      </c>
      <c r="F53" s="8"/>
      <c r="G53" s="8"/>
      <c r="H53" s="10"/>
      <c r="I53" s="21"/>
    </row>
    <row r="54" spans="1:9" x14ac:dyDescent="0.3">
      <c r="A54" s="20" t="s">
        <v>19</v>
      </c>
      <c r="B54" s="8">
        <v>8330</v>
      </c>
      <c r="C54" s="8">
        <f t="shared" ref="C54:C63" ca="1" si="8">$C$7</f>
        <v>833.33333333333337</v>
      </c>
      <c r="D54" s="8">
        <f t="shared" si="6"/>
        <v>124.94999999999999</v>
      </c>
      <c r="E54" s="8">
        <f t="shared" ca="1" si="7"/>
        <v>958.2833333333333</v>
      </c>
      <c r="F54" s="8"/>
      <c r="G54" s="8"/>
      <c r="H54" s="10"/>
      <c r="I54" s="21"/>
    </row>
    <row r="55" spans="1:9" x14ac:dyDescent="0.3">
      <c r="A55" s="20" t="s">
        <v>20</v>
      </c>
      <c r="B55" s="8">
        <v>7497</v>
      </c>
      <c r="C55" s="8">
        <f t="shared" ca="1" si="8"/>
        <v>833.33333333333337</v>
      </c>
      <c r="D55" s="8">
        <f t="shared" si="6"/>
        <v>112.455</v>
      </c>
      <c r="E55" s="8">
        <f t="shared" ca="1" si="7"/>
        <v>945.78833333333341</v>
      </c>
      <c r="F55" s="8"/>
      <c r="G55" s="8"/>
      <c r="H55" s="10"/>
      <c r="I55" s="21"/>
    </row>
    <row r="56" spans="1:9" x14ac:dyDescent="0.3">
      <c r="A56" s="20" t="s">
        <v>21</v>
      </c>
      <c r="B56" s="8">
        <v>6664</v>
      </c>
      <c r="C56" s="8">
        <f t="shared" ca="1" si="8"/>
        <v>833.33333333333337</v>
      </c>
      <c r="D56" s="8">
        <f t="shared" si="6"/>
        <v>99.96</v>
      </c>
      <c r="E56" s="8">
        <f t="shared" ca="1" si="7"/>
        <v>933.29333333333341</v>
      </c>
      <c r="F56" s="8"/>
      <c r="G56" s="8"/>
      <c r="H56" s="10"/>
      <c r="I56" s="21"/>
    </row>
    <row r="57" spans="1:9" x14ac:dyDescent="0.3">
      <c r="A57" s="20" t="s">
        <v>23</v>
      </c>
      <c r="B57" s="8">
        <v>5831</v>
      </c>
      <c r="C57" s="8">
        <f t="shared" ca="1" si="8"/>
        <v>833.33333333333337</v>
      </c>
      <c r="D57" s="8">
        <f t="shared" si="6"/>
        <v>87.465000000000003</v>
      </c>
      <c r="E57" s="8">
        <f t="shared" ca="1" si="7"/>
        <v>920.7983333333334</v>
      </c>
      <c r="F57" s="8"/>
      <c r="G57" s="8"/>
      <c r="H57" s="10"/>
      <c r="I57" s="21"/>
    </row>
    <row r="58" spans="1:9" x14ac:dyDescent="0.3">
      <c r="A58" s="20" t="s">
        <v>24</v>
      </c>
      <c r="B58" s="8">
        <v>4998</v>
      </c>
      <c r="C58" s="8">
        <f t="shared" ca="1" si="8"/>
        <v>833.33333333333337</v>
      </c>
      <c r="D58" s="8">
        <f t="shared" si="6"/>
        <v>74.97</v>
      </c>
      <c r="E58" s="8">
        <f t="shared" ca="1" si="7"/>
        <v>908.3033333333334</v>
      </c>
      <c r="F58" s="8"/>
      <c r="G58" s="8"/>
      <c r="H58" s="10"/>
      <c r="I58" s="21"/>
    </row>
    <row r="59" spans="1:9" x14ac:dyDescent="0.3">
      <c r="A59" s="20" t="s">
        <v>25</v>
      </c>
      <c r="B59" s="8">
        <v>4165</v>
      </c>
      <c r="C59" s="8">
        <f t="shared" ca="1" si="8"/>
        <v>833.33333333333337</v>
      </c>
      <c r="D59" s="8">
        <f t="shared" si="6"/>
        <v>62.474999999999994</v>
      </c>
      <c r="E59" s="8">
        <f t="shared" ca="1" si="7"/>
        <v>895.80833333333339</v>
      </c>
      <c r="F59" s="8"/>
      <c r="G59" s="8"/>
      <c r="H59" s="10"/>
      <c r="I59" s="21"/>
    </row>
    <row r="60" spans="1:9" x14ac:dyDescent="0.3">
      <c r="A60" s="20" t="s">
        <v>26</v>
      </c>
      <c r="B60" s="8">
        <v>3332</v>
      </c>
      <c r="C60" s="8">
        <f t="shared" ca="1" si="8"/>
        <v>833.33333333333337</v>
      </c>
      <c r="D60" s="8">
        <f t="shared" si="6"/>
        <v>49.98</v>
      </c>
      <c r="E60" s="8">
        <f t="shared" ca="1" si="7"/>
        <v>883.31333333333339</v>
      </c>
      <c r="F60" s="8"/>
      <c r="G60" s="8"/>
      <c r="H60" s="10"/>
      <c r="I60" s="21"/>
    </row>
    <row r="61" spans="1:9" x14ac:dyDescent="0.3">
      <c r="A61" s="20" t="s">
        <v>27</v>
      </c>
      <c r="B61" s="8">
        <v>2499</v>
      </c>
      <c r="C61" s="8">
        <f t="shared" ca="1" si="8"/>
        <v>833.33333333333337</v>
      </c>
      <c r="D61" s="8">
        <f t="shared" si="6"/>
        <v>37.484999999999999</v>
      </c>
      <c r="E61" s="8">
        <f t="shared" ca="1" si="7"/>
        <v>870.81833333333338</v>
      </c>
      <c r="F61" s="8"/>
      <c r="G61" s="8"/>
      <c r="H61" s="10"/>
      <c r="I61" s="21"/>
    </row>
    <row r="62" spans="1:9" x14ac:dyDescent="0.3">
      <c r="A62" s="20" t="s">
        <v>28</v>
      </c>
      <c r="B62" s="8">
        <v>1666</v>
      </c>
      <c r="C62" s="8">
        <f t="shared" ca="1" si="8"/>
        <v>833.33333333333337</v>
      </c>
      <c r="D62" s="8">
        <f t="shared" si="6"/>
        <v>24.99</v>
      </c>
      <c r="E62" s="8">
        <f t="shared" ca="1" si="7"/>
        <v>858.32333333333338</v>
      </c>
      <c r="F62" s="8"/>
      <c r="G62" s="8"/>
      <c r="H62" s="10"/>
      <c r="I62" s="21"/>
    </row>
    <row r="63" spans="1:9" x14ac:dyDescent="0.3">
      <c r="A63" s="20" t="s">
        <v>29</v>
      </c>
      <c r="B63" s="8">
        <v>833</v>
      </c>
      <c r="C63" s="8">
        <f t="shared" ca="1" si="8"/>
        <v>833.33333333333337</v>
      </c>
      <c r="D63" s="8">
        <f t="shared" si="6"/>
        <v>12.494999999999999</v>
      </c>
      <c r="E63" s="8">
        <f t="shared" ca="1" si="7"/>
        <v>845.82833333333338</v>
      </c>
      <c r="F63" s="8"/>
      <c r="G63" s="8"/>
      <c r="H63" s="10"/>
      <c r="I63" s="21" t="s">
        <v>42</v>
      </c>
    </row>
  </sheetData>
  <mergeCells count="5">
    <mergeCell ref="B1:D1"/>
    <mergeCell ref="G1:H1"/>
    <mergeCell ref="E3:H3"/>
    <mergeCell ref="B4:C4"/>
    <mergeCell ref="D4:H4"/>
  </mergeCells>
  <pageMargins left="0.25" right="0.25" top="0.75" bottom="0.75" header="0.3" footer="0.3"/>
  <pageSetup paperSize="256" orientation="portrait" horizontalDpi="4294967293" verticalDpi="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17E0-2C75-4C7D-BEA9-F866AF7A92D1}">
  <dimension ref="A1:I18"/>
  <sheetViews>
    <sheetView workbookViewId="0">
      <selection sqref="A1:I17"/>
    </sheetView>
  </sheetViews>
  <sheetFormatPr defaultRowHeight="14.4" x14ac:dyDescent="0.3"/>
  <cols>
    <col min="1" max="1" width="20.44140625" customWidth="1"/>
  </cols>
  <sheetData>
    <row r="1" spans="1:9" x14ac:dyDescent="0.3">
      <c r="A1" s="40" t="s">
        <v>0</v>
      </c>
      <c r="B1" s="41" t="s">
        <v>82</v>
      </c>
      <c r="C1" s="41"/>
      <c r="D1" s="41"/>
      <c r="G1" s="2"/>
      <c r="H1" s="1" t="s">
        <v>1</v>
      </c>
      <c r="I1" s="3">
        <v>15000</v>
      </c>
    </row>
    <row r="2" spans="1:9" x14ac:dyDescent="0.3">
      <c r="A2" s="40" t="s">
        <v>2</v>
      </c>
      <c r="B2" s="4"/>
      <c r="D2" s="4"/>
      <c r="E2" s="1"/>
      <c r="F2" s="1"/>
      <c r="G2" s="5"/>
      <c r="H2" s="1" t="s">
        <v>3</v>
      </c>
      <c r="I2" s="9" t="s">
        <v>22</v>
      </c>
    </row>
    <row r="3" spans="1:9" x14ac:dyDescent="0.3">
      <c r="A3" s="40" t="s">
        <v>4</v>
      </c>
      <c r="B3" s="6"/>
      <c r="D3" s="6"/>
      <c r="F3" s="1"/>
      <c r="G3" s="1"/>
      <c r="H3" s="1" t="s">
        <v>5</v>
      </c>
      <c r="I3" s="7">
        <v>1.4999999999999999E-2</v>
      </c>
    </row>
    <row r="4" spans="1:9" ht="15" thickBot="1" x14ac:dyDescent="0.35">
      <c r="A4" s="40" t="s">
        <v>6</v>
      </c>
      <c r="B4" s="26"/>
      <c r="C4" s="26"/>
      <c r="E4" s="27" t="s">
        <v>7</v>
      </c>
      <c r="F4" s="27"/>
      <c r="G4" s="27"/>
      <c r="H4" s="27"/>
      <c r="I4" s="6">
        <v>12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15000</v>
      </c>
      <c r="C6" s="17">
        <f>I1/I4</f>
        <v>1250</v>
      </c>
      <c r="D6" s="17">
        <f>(B6*0.015)</f>
        <v>225</v>
      </c>
      <c r="E6" s="17">
        <f>$C$7+D6</f>
        <v>1475</v>
      </c>
      <c r="F6" s="17"/>
      <c r="G6" s="17"/>
      <c r="H6" s="18"/>
      <c r="I6" s="19"/>
    </row>
    <row r="7" spans="1:9" x14ac:dyDescent="0.3">
      <c r="A7" s="20" t="s">
        <v>18</v>
      </c>
      <c r="B7" s="8">
        <v>17500</v>
      </c>
      <c r="C7" s="8">
        <v>1250</v>
      </c>
      <c r="D7" s="8">
        <f t="shared" ref="D7:D17" si="0">(B7*0.015)</f>
        <v>262.5</v>
      </c>
      <c r="E7" s="8">
        <f t="shared" ref="E7:E17" si="1">$C$7+D7</f>
        <v>1512.5</v>
      </c>
      <c r="F7" s="8"/>
      <c r="G7" s="8"/>
      <c r="H7" s="10"/>
      <c r="I7" s="21"/>
    </row>
    <row r="8" spans="1:9" x14ac:dyDescent="0.3">
      <c r="A8" s="20" t="s">
        <v>19</v>
      </c>
      <c r="B8" s="8">
        <v>15000</v>
      </c>
      <c r="C8" s="8">
        <f t="shared" ref="C8:C17" si="2">$C$7</f>
        <v>1250</v>
      </c>
      <c r="D8" s="8">
        <f t="shared" si="0"/>
        <v>225</v>
      </c>
      <c r="E8" s="8">
        <f t="shared" si="1"/>
        <v>1475</v>
      </c>
      <c r="F8" s="8"/>
      <c r="G8" s="8"/>
      <c r="H8" s="10"/>
      <c r="I8" s="21"/>
    </row>
    <row r="9" spans="1:9" x14ac:dyDescent="0.3">
      <c r="A9" s="20" t="s">
        <v>20</v>
      </c>
      <c r="B9" s="8">
        <v>10250</v>
      </c>
      <c r="C9" s="8">
        <f t="shared" si="2"/>
        <v>1250</v>
      </c>
      <c r="D9" s="8">
        <f t="shared" si="0"/>
        <v>153.75</v>
      </c>
      <c r="E9" s="8">
        <f t="shared" si="1"/>
        <v>1403.75</v>
      </c>
      <c r="F9" s="8"/>
      <c r="G9" s="8"/>
      <c r="H9" s="10"/>
      <c r="I9" s="21"/>
    </row>
    <row r="10" spans="1:9" x14ac:dyDescent="0.3">
      <c r="A10" s="20" t="s">
        <v>21</v>
      </c>
      <c r="B10" s="8">
        <v>10000</v>
      </c>
      <c r="C10" s="8">
        <f t="shared" si="2"/>
        <v>1250</v>
      </c>
      <c r="D10" s="8">
        <f t="shared" si="0"/>
        <v>150</v>
      </c>
      <c r="E10" s="8">
        <f t="shared" si="1"/>
        <v>1400</v>
      </c>
      <c r="F10" s="8"/>
      <c r="G10" s="8"/>
      <c r="H10" s="10"/>
      <c r="I10" s="21"/>
    </row>
    <row r="11" spans="1:9" x14ac:dyDescent="0.3">
      <c r="A11" s="20" t="s">
        <v>23</v>
      </c>
      <c r="B11" s="8">
        <v>8750</v>
      </c>
      <c r="C11" s="8">
        <f t="shared" si="2"/>
        <v>1250</v>
      </c>
      <c r="D11" s="8">
        <f t="shared" si="0"/>
        <v>131.25</v>
      </c>
      <c r="E11" s="8">
        <f t="shared" si="1"/>
        <v>1381.25</v>
      </c>
      <c r="F11" s="8"/>
      <c r="G11" s="8"/>
      <c r="H11" s="10"/>
      <c r="I11" s="21"/>
    </row>
    <row r="12" spans="1:9" x14ac:dyDescent="0.3">
      <c r="A12" s="20" t="s">
        <v>24</v>
      </c>
      <c r="B12" s="8">
        <v>7500</v>
      </c>
      <c r="C12" s="8">
        <f t="shared" si="2"/>
        <v>1250</v>
      </c>
      <c r="D12" s="8">
        <f t="shared" si="0"/>
        <v>112.5</v>
      </c>
      <c r="E12" s="8">
        <f t="shared" si="1"/>
        <v>1362.5</v>
      </c>
      <c r="F12" s="8"/>
      <c r="G12" s="8"/>
      <c r="H12" s="10"/>
      <c r="I12" s="21"/>
    </row>
    <row r="13" spans="1:9" x14ac:dyDescent="0.3">
      <c r="A13" s="20" t="s">
        <v>25</v>
      </c>
      <c r="B13" s="8">
        <v>6250</v>
      </c>
      <c r="C13" s="8">
        <f t="shared" si="2"/>
        <v>1250</v>
      </c>
      <c r="D13" s="8">
        <f t="shared" si="0"/>
        <v>93.75</v>
      </c>
      <c r="E13" s="8">
        <f t="shared" si="1"/>
        <v>1343.75</v>
      </c>
      <c r="F13" s="8"/>
      <c r="G13" s="8"/>
      <c r="H13" s="10"/>
      <c r="I13" s="21"/>
    </row>
    <row r="14" spans="1:9" x14ac:dyDescent="0.3">
      <c r="A14" s="20" t="s">
        <v>26</v>
      </c>
      <c r="B14" s="8">
        <v>5000</v>
      </c>
      <c r="C14" s="8">
        <f t="shared" si="2"/>
        <v>1250</v>
      </c>
      <c r="D14" s="8">
        <f t="shared" si="0"/>
        <v>75</v>
      </c>
      <c r="E14" s="8">
        <f t="shared" si="1"/>
        <v>1325</v>
      </c>
      <c r="F14" s="8"/>
      <c r="G14" s="8"/>
      <c r="H14" s="10"/>
      <c r="I14" s="21"/>
    </row>
    <row r="15" spans="1:9" x14ac:dyDescent="0.3">
      <c r="A15" s="20" t="s">
        <v>27</v>
      </c>
      <c r="B15" s="8">
        <v>3750</v>
      </c>
      <c r="C15" s="8">
        <f t="shared" si="2"/>
        <v>1250</v>
      </c>
      <c r="D15" s="8">
        <f t="shared" si="0"/>
        <v>56.25</v>
      </c>
      <c r="E15" s="8">
        <f t="shared" si="1"/>
        <v>1306.25</v>
      </c>
      <c r="F15" s="8"/>
      <c r="G15" s="8"/>
      <c r="H15" s="10"/>
      <c r="I15" s="21"/>
    </row>
    <row r="16" spans="1:9" x14ac:dyDescent="0.3">
      <c r="A16" s="20" t="s">
        <v>28</v>
      </c>
      <c r="B16" s="8">
        <v>2500</v>
      </c>
      <c r="C16" s="8">
        <f t="shared" si="2"/>
        <v>1250</v>
      </c>
      <c r="D16" s="8">
        <f t="shared" si="0"/>
        <v>37.5</v>
      </c>
      <c r="E16" s="8">
        <f t="shared" si="1"/>
        <v>1287.5</v>
      </c>
      <c r="F16" s="8"/>
      <c r="G16" s="8"/>
      <c r="H16" s="10"/>
      <c r="I16" s="21"/>
    </row>
    <row r="17" spans="1:9" x14ac:dyDescent="0.3">
      <c r="A17" s="20" t="s">
        <v>29</v>
      </c>
      <c r="B17" s="8">
        <v>1250</v>
      </c>
      <c r="C17" s="8">
        <f t="shared" si="2"/>
        <v>1250</v>
      </c>
      <c r="D17" s="8">
        <f t="shared" si="0"/>
        <v>18.75</v>
      </c>
      <c r="E17" s="8">
        <f t="shared" si="1"/>
        <v>1268.75</v>
      </c>
      <c r="F17" s="8"/>
      <c r="G17" s="8"/>
      <c r="H17" s="10"/>
      <c r="I17" s="21" t="s">
        <v>42</v>
      </c>
    </row>
    <row r="18" spans="1:9" x14ac:dyDescent="0.3">
      <c r="E18" s="38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26DC-094B-4260-99B1-B84977C08729}">
  <dimension ref="A1:I35"/>
  <sheetViews>
    <sheetView topLeftCell="A71" workbookViewId="0">
      <selection activeCell="A20" sqref="A20:I34"/>
    </sheetView>
  </sheetViews>
  <sheetFormatPr defaultRowHeight="14.4" x14ac:dyDescent="0.3"/>
  <cols>
    <col min="1" max="1" width="20.33203125" customWidth="1"/>
    <col min="2" max="2" width="10.77734375" customWidth="1"/>
    <col min="3" max="3" width="9.88671875" customWidth="1"/>
    <col min="4" max="4" width="9.77734375" customWidth="1"/>
    <col min="5" max="5" width="9.88671875" customWidth="1"/>
  </cols>
  <sheetData>
    <row r="1" spans="1:9" x14ac:dyDescent="0.3">
      <c r="A1" s="40" t="s">
        <v>0</v>
      </c>
      <c r="B1" s="234" t="s">
        <v>130</v>
      </c>
      <c r="C1" s="234"/>
      <c r="D1" s="234"/>
      <c r="F1" s="2"/>
      <c r="G1" s="235" t="s">
        <v>1</v>
      </c>
      <c r="H1" s="235"/>
      <c r="I1" s="3">
        <v>25000</v>
      </c>
    </row>
    <row r="2" spans="1:9" x14ac:dyDescent="0.3">
      <c r="A2" s="40" t="s">
        <v>2</v>
      </c>
      <c r="B2" s="4"/>
      <c r="D2" s="4"/>
      <c r="E2" s="1"/>
      <c r="F2" s="1"/>
      <c r="G2" s="5"/>
      <c r="H2" s="1" t="s">
        <v>3</v>
      </c>
      <c r="I2" s="9" t="s">
        <v>131</v>
      </c>
    </row>
    <row r="3" spans="1:9" x14ac:dyDescent="0.3">
      <c r="A3" s="40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9" ht="15" thickBot="1" x14ac:dyDescent="0.35">
      <c r="A4" s="40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10</v>
      </c>
    </row>
    <row r="5" spans="1:9" ht="72.599999999999994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25000</v>
      </c>
      <c r="C6" s="17">
        <v>2083</v>
      </c>
      <c r="D6" s="17">
        <f>(B6*0.015)</f>
        <v>375</v>
      </c>
      <c r="E6" s="17">
        <f ca="1">$C$7+D6</f>
        <v>2458.3333333333335</v>
      </c>
      <c r="F6" s="17"/>
      <c r="G6" s="17"/>
      <c r="H6" s="18"/>
      <c r="I6" s="19"/>
    </row>
    <row r="7" spans="1:9" x14ac:dyDescent="0.3">
      <c r="A7" s="20" t="s">
        <v>18</v>
      </c>
      <c r="B7" s="35">
        <v>22500</v>
      </c>
      <c r="C7" s="8">
        <f ca="1">$C$7</f>
        <v>2083.3333333333335</v>
      </c>
      <c r="D7" s="8">
        <f t="shared" ref="D7:D15" si="0">(B7*0.015)</f>
        <v>337.5</v>
      </c>
      <c r="E7" s="8">
        <f t="shared" ref="E7:E15" ca="1" si="1">$C$7+D7</f>
        <v>2427.0883333333336</v>
      </c>
      <c r="F7" s="8"/>
      <c r="G7" s="8"/>
      <c r="H7" s="10"/>
      <c r="I7" s="21"/>
    </row>
    <row r="8" spans="1:9" x14ac:dyDescent="0.3">
      <c r="A8" s="20" t="s">
        <v>19</v>
      </c>
      <c r="B8" s="35">
        <v>20000</v>
      </c>
      <c r="C8" s="8">
        <f t="shared" ref="C8:C15" ca="1" si="2">$C$7</f>
        <v>2083.3333333333335</v>
      </c>
      <c r="D8" s="8">
        <f t="shared" si="0"/>
        <v>300</v>
      </c>
      <c r="E8" s="8">
        <f t="shared" ca="1" si="1"/>
        <v>2395.8383833333337</v>
      </c>
      <c r="F8" s="8"/>
      <c r="G8" s="8"/>
      <c r="H8" s="10"/>
      <c r="I8" s="21"/>
    </row>
    <row r="9" spans="1:9" x14ac:dyDescent="0.3">
      <c r="A9" s="20" t="s">
        <v>20</v>
      </c>
      <c r="B9" s="35">
        <v>17750</v>
      </c>
      <c r="C9" s="8">
        <f t="shared" ca="1" si="2"/>
        <v>2083.3333333333335</v>
      </c>
      <c r="D9" s="8">
        <f t="shared" si="0"/>
        <v>266.25</v>
      </c>
      <c r="E9" s="8">
        <f t="shared" ca="1" si="1"/>
        <v>2364.5884333333333</v>
      </c>
      <c r="F9" s="8"/>
      <c r="G9" s="8"/>
      <c r="H9" s="10"/>
      <c r="I9" s="21"/>
    </row>
    <row r="10" spans="1:9" x14ac:dyDescent="0.3">
      <c r="A10" s="20" t="s">
        <v>21</v>
      </c>
      <c r="B10" s="36">
        <v>15000</v>
      </c>
      <c r="C10" s="8">
        <f t="shared" ca="1" si="2"/>
        <v>2083.3333333333335</v>
      </c>
      <c r="D10" s="8">
        <f t="shared" si="0"/>
        <v>225</v>
      </c>
      <c r="E10" s="8">
        <f t="shared" ca="1" si="1"/>
        <v>2333.3384833333334</v>
      </c>
      <c r="F10" s="8"/>
      <c r="G10" s="8"/>
      <c r="H10" s="10"/>
      <c r="I10" s="21"/>
    </row>
    <row r="11" spans="1:9" x14ac:dyDescent="0.3">
      <c r="A11" s="20" t="s">
        <v>23</v>
      </c>
      <c r="B11" s="35">
        <v>12500</v>
      </c>
      <c r="C11" s="8">
        <f t="shared" ca="1" si="2"/>
        <v>2083.3333333333335</v>
      </c>
      <c r="D11" s="8">
        <f t="shared" si="0"/>
        <v>187.5</v>
      </c>
      <c r="E11" s="8">
        <f t="shared" ca="1" si="1"/>
        <v>2302.0885333333335</v>
      </c>
      <c r="F11" s="8"/>
      <c r="G11" s="8"/>
      <c r="H11" s="10"/>
      <c r="I11" s="21"/>
    </row>
    <row r="12" spans="1:9" x14ac:dyDescent="0.3">
      <c r="A12" s="20" t="s">
        <v>24</v>
      </c>
      <c r="B12" s="35">
        <v>10000</v>
      </c>
      <c r="C12" s="8">
        <f t="shared" ca="1" si="2"/>
        <v>2083.3333333333335</v>
      </c>
      <c r="D12" s="8">
        <f t="shared" si="0"/>
        <v>150</v>
      </c>
      <c r="E12" s="8">
        <f t="shared" ca="1" si="1"/>
        <v>2270.8385833333336</v>
      </c>
      <c r="F12" s="8"/>
      <c r="G12" s="8"/>
      <c r="H12" s="10"/>
      <c r="I12" s="21"/>
    </row>
    <row r="13" spans="1:9" x14ac:dyDescent="0.3">
      <c r="A13" s="20" t="s">
        <v>25</v>
      </c>
      <c r="B13" s="35">
        <v>7500</v>
      </c>
      <c r="C13" s="8">
        <f t="shared" ca="1" si="2"/>
        <v>2083.3333333333335</v>
      </c>
      <c r="D13" s="8">
        <f t="shared" si="0"/>
        <v>112.5</v>
      </c>
      <c r="E13" s="8">
        <f t="shared" ca="1" si="1"/>
        <v>2239.5886333333333</v>
      </c>
      <c r="F13" s="8"/>
      <c r="G13" s="8"/>
      <c r="H13" s="10"/>
      <c r="I13" s="21"/>
    </row>
    <row r="14" spans="1:9" x14ac:dyDescent="0.3">
      <c r="A14" s="20" t="s">
        <v>26</v>
      </c>
      <c r="B14" s="35">
        <v>5000</v>
      </c>
      <c r="C14" s="8">
        <f t="shared" ca="1" si="2"/>
        <v>2083.3333333333335</v>
      </c>
      <c r="D14" s="8">
        <f t="shared" si="0"/>
        <v>75</v>
      </c>
      <c r="E14" s="8">
        <f t="shared" ca="1" si="1"/>
        <v>2208.3386833333334</v>
      </c>
      <c r="F14" s="8"/>
      <c r="G14" s="8"/>
      <c r="H14" s="10"/>
      <c r="I14" s="21"/>
    </row>
    <row r="15" spans="1:9" x14ac:dyDescent="0.3">
      <c r="A15" s="20" t="s">
        <v>27</v>
      </c>
      <c r="B15" s="35">
        <v>2500</v>
      </c>
      <c r="C15" s="8">
        <f t="shared" ca="1" si="2"/>
        <v>2083.3333333333335</v>
      </c>
      <c r="D15" s="8">
        <f t="shared" si="0"/>
        <v>37.5</v>
      </c>
      <c r="E15" s="8">
        <f t="shared" ca="1" si="1"/>
        <v>2177.0887333333335</v>
      </c>
      <c r="F15" s="8"/>
      <c r="G15" s="8"/>
      <c r="H15" s="10"/>
      <c r="I15" s="21" t="s">
        <v>44</v>
      </c>
    </row>
    <row r="16" spans="1:9" x14ac:dyDescent="0.3">
      <c r="B16" s="33"/>
    </row>
    <row r="20" spans="1:9" x14ac:dyDescent="0.3">
      <c r="A20" s="40" t="s">
        <v>0</v>
      </c>
      <c r="B20" s="234" t="s">
        <v>99</v>
      </c>
      <c r="C20" s="234"/>
      <c r="D20" s="234"/>
      <c r="F20" s="2"/>
      <c r="G20" s="235" t="s">
        <v>1</v>
      </c>
      <c r="H20" s="235"/>
      <c r="I20" s="3">
        <v>25000</v>
      </c>
    </row>
    <row r="21" spans="1:9" x14ac:dyDescent="0.3">
      <c r="A21" s="40" t="s">
        <v>2</v>
      </c>
      <c r="B21" s="4"/>
      <c r="D21" s="4"/>
      <c r="E21" s="1"/>
      <c r="F21" s="1"/>
      <c r="G21" s="5"/>
      <c r="H21" s="1" t="s">
        <v>3</v>
      </c>
      <c r="I21" s="9" t="s">
        <v>66</v>
      </c>
    </row>
    <row r="22" spans="1:9" x14ac:dyDescent="0.3">
      <c r="A22" s="40" t="s">
        <v>4</v>
      </c>
      <c r="B22" s="6"/>
      <c r="D22" s="6"/>
      <c r="E22" s="235" t="s">
        <v>5</v>
      </c>
      <c r="F22" s="235"/>
      <c r="G22" s="235"/>
      <c r="H22" s="235"/>
      <c r="I22" s="7">
        <v>1.4999999999999999E-2</v>
      </c>
    </row>
    <row r="23" spans="1:9" ht="15" thickBot="1" x14ac:dyDescent="0.35">
      <c r="A23" s="40" t="s">
        <v>6</v>
      </c>
      <c r="B23" s="236"/>
      <c r="C23" s="236"/>
      <c r="D23" s="237" t="s">
        <v>7</v>
      </c>
      <c r="E23" s="237"/>
      <c r="F23" s="237"/>
      <c r="G23" s="237"/>
      <c r="H23" s="237"/>
      <c r="I23" s="6">
        <v>10</v>
      </c>
    </row>
    <row r="24" spans="1:9" ht="72.599999999999994" thickBot="1" x14ac:dyDescent="0.35">
      <c r="A24" s="11" t="s">
        <v>8</v>
      </c>
      <c r="B24" s="11" t="s">
        <v>9</v>
      </c>
      <c r="C24" s="11" t="s">
        <v>10</v>
      </c>
      <c r="D24" s="12" t="s">
        <v>11</v>
      </c>
      <c r="E24" s="13" t="s">
        <v>12</v>
      </c>
      <c r="F24" s="14" t="s">
        <v>13</v>
      </c>
      <c r="G24" s="14" t="s">
        <v>14</v>
      </c>
      <c r="H24" s="14" t="s">
        <v>15</v>
      </c>
      <c r="I24" s="15" t="s">
        <v>16</v>
      </c>
    </row>
    <row r="25" spans="1:9" x14ac:dyDescent="0.3">
      <c r="A25" s="16" t="s">
        <v>17</v>
      </c>
      <c r="B25" s="17">
        <f>I20</f>
        <v>25000</v>
      </c>
      <c r="C25" s="17">
        <v>2083</v>
      </c>
      <c r="D25" s="17">
        <f>(B25*0.015)</f>
        <v>375</v>
      </c>
      <c r="E25" s="17">
        <f ca="1">$C$7+D25</f>
        <v>2458.3333333333335</v>
      </c>
      <c r="F25" s="17"/>
      <c r="G25" s="17"/>
      <c r="H25" s="18"/>
      <c r="I25" s="19"/>
    </row>
    <row r="26" spans="1:9" x14ac:dyDescent="0.3">
      <c r="A26" s="20" t="s">
        <v>18</v>
      </c>
      <c r="B26" s="35">
        <v>22500</v>
      </c>
      <c r="C26" s="8">
        <f ca="1">$C$7</f>
        <v>2083.3333333333335</v>
      </c>
      <c r="D26" s="8">
        <f t="shared" ref="D26:D34" si="3">(B26*0.015)</f>
        <v>337.5</v>
      </c>
      <c r="E26" s="8">
        <f t="shared" ref="E26:E34" ca="1" si="4">$C$7+D26</f>
        <v>2427.0883333333336</v>
      </c>
      <c r="F26" s="8"/>
      <c r="G26" s="8"/>
      <c r="H26" s="10"/>
      <c r="I26" s="21"/>
    </row>
    <row r="27" spans="1:9" x14ac:dyDescent="0.3">
      <c r="A27" s="20" t="s">
        <v>19</v>
      </c>
      <c r="B27" s="35">
        <v>20000</v>
      </c>
      <c r="C27" s="8">
        <f t="shared" ref="C27:C34" ca="1" si="5">$C$7</f>
        <v>2083.3333333333335</v>
      </c>
      <c r="D27" s="8">
        <f t="shared" si="3"/>
        <v>300</v>
      </c>
      <c r="E27" s="8">
        <f t="shared" ca="1" si="4"/>
        <v>2395.8383833333337</v>
      </c>
      <c r="F27" s="8"/>
      <c r="G27" s="8"/>
      <c r="H27" s="10"/>
      <c r="I27" s="21"/>
    </row>
    <row r="28" spans="1:9" x14ac:dyDescent="0.3">
      <c r="A28" s="20" t="s">
        <v>20</v>
      </c>
      <c r="B28" s="35">
        <v>17750</v>
      </c>
      <c r="C28" s="8">
        <f t="shared" ca="1" si="5"/>
        <v>2083.3333333333335</v>
      </c>
      <c r="D28" s="8">
        <f t="shared" si="3"/>
        <v>266.25</v>
      </c>
      <c r="E28" s="8">
        <f t="shared" ca="1" si="4"/>
        <v>2364.5884333333333</v>
      </c>
      <c r="F28" s="8"/>
      <c r="G28" s="8"/>
      <c r="H28" s="10"/>
      <c r="I28" s="21"/>
    </row>
    <row r="29" spans="1:9" x14ac:dyDescent="0.3">
      <c r="A29" s="20" t="s">
        <v>21</v>
      </c>
      <c r="B29" s="36">
        <v>15000</v>
      </c>
      <c r="C29" s="8">
        <f t="shared" ca="1" si="5"/>
        <v>2083.3333333333335</v>
      </c>
      <c r="D29" s="8">
        <f t="shared" si="3"/>
        <v>225</v>
      </c>
      <c r="E29" s="8">
        <f t="shared" ca="1" si="4"/>
        <v>2333.3384833333334</v>
      </c>
      <c r="F29" s="8"/>
      <c r="G29" s="8"/>
      <c r="H29" s="10"/>
      <c r="I29" s="21"/>
    </row>
    <row r="30" spans="1:9" x14ac:dyDescent="0.3">
      <c r="A30" s="20" t="s">
        <v>23</v>
      </c>
      <c r="B30" s="35">
        <v>12500</v>
      </c>
      <c r="C30" s="8">
        <f t="shared" ca="1" si="5"/>
        <v>2083.3333333333335</v>
      </c>
      <c r="D30" s="8">
        <f t="shared" si="3"/>
        <v>187.5</v>
      </c>
      <c r="E30" s="8">
        <f t="shared" ca="1" si="4"/>
        <v>2302.0885333333335</v>
      </c>
      <c r="F30" s="8"/>
      <c r="G30" s="8"/>
      <c r="H30" s="10"/>
      <c r="I30" s="21"/>
    </row>
    <row r="31" spans="1:9" x14ac:dyDescent="0.3">
      <c r="A31" s="20" t="s">
        <v>24</v>
      </c>
      <c r="B31" s="35">
        <v>10000</v>
      </c>
      <c r="C31" s="8">
        <f t="shared" ca="1" si="5"/>
        <v>2083.3333333333335</v>
      </c>
      <c r="D31" s="8">
        <f t="shared" si="3"/>
        <v>150</v>
      </c>
      <c r="E31" s="8">
        <f t="shared" ca="1" si="4"/>
        <v>2270.8385833333336</v>
      </c>
      <c r="F31" s="8"/>
      <c r="G31" s="8"/>
      <c r="H31" s="10"/>
      <c r="I31" s="21"/>
    </row>
    <row r="32" spans="1:9" x14ac:dyDescent="0.3">
      <c r="A32" s="20" t="s">
        <v>25</v>
      </c>
      <c r="B32" s="35">
        <v>7500</v>
      </c>
      <c r="C32" s="8">
        <f t="shared" ca="1" si="5"/>
        <v>2083.3333333333335</v>
      </c>
      <c r="D32" s="8">
        <f t="shared" si="3"/>
        <v>112.5</v>
      </c>
      <c r="E32" s="8">
        <f t="shared" ca="1" si="4"/>
        <v>2239.5886333333333</v>
      </c>
      <c r="F32" s="8"/>
      <c r="G32" s="8"/>
      <c r="H32" s="10"/>
      <c r="I32" s="21"/>
    </row>
    <row r="33" spans="1:9" x14ac:dyDescent="0.3">
      <c r="A33" s="20" t="s">
        <v>26</v>
      </c>
      <c r="B33" s="35">
        <v>5000</v>
      </c>
      <c r="C33" s="8">
        <f t="shared" ca="1" si="5"/>
        <v>2083.3333333333335</v>
      </c>
      <c r="D33" s="8">
        <f t="shared" si="3"/>
        <v>75</v>
      </c>
      <c r="E33" s="8">
        <f t="shared" ca="1" si="4"/>
        <v>2208.3386833333334</v>
      </c>
      <c r="F33" s="8"/>
      <c r="G33" s="8"/>
      <c r="H33" s="10"/>
      <c r="I33" s="21"/>
    </row>
    <row r="34" spans="1:9" x14ac:dyDescent="0.3">
      <c r="A34" s="20" t="s">
        <v>27</v>
      </c>
      <c r="B34" s="35">
        <v>2500</v>
      </c>
      <c r="C34" s="8">
        <f t="shared" ca="1" si="5"/>
        <v>2083.3333333333335</v>
      </c>
      <c r="D34" s="8">
        <f t="shared" si="3"/>
        <v>37.5</v>
      </c>
      <c r="E34" s="8">
        <f t="shared" ca="1" si="4"/>
        <v>2177.0887333333335</v>
      </c>
      <c r="F34" s="8"/>
      <c r="G34" s="8"/>
      <c r="H34" s="10"/>
      <c r="I34" s="21" t="s">
        <v>44</v>
      </c>
    </row>
    <row r="35" spans="1:9" x14ac:dyDescent="0.3">
      <c r="B35" s="33"/>
    </row>
  </sheetData>
  <mergeCells count="10">
    <mergeCell ref="B20:D20"/>
    <mergeCell ref="G20:H20"/>
    <mergeCell ref="E22:H22"/>
    <mergeCell ref="B23:C23"/>
    <mergeCell ref="D23:H23"/>
    <mergeCell ref="B1:D1"/>
    <mergeCell ref="G1:H1"/>
    <mergeCell ref="E3:H3"/>
    <mergeCell ref="B4:C4"/>
    <mergeCell ref="D4:H4"/>
  </mergeCells>
  <pageMargins left="0.25" right="0.25" top="0.75" bottom="0.75" header="0.3" footer="0.3"/>
  <pageSetup paperSize="256" orientation="portrait" horizontalDpi="4294967293" verticalDpi="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1C87-4D0C-4241-B1B0-76E01BD7AED1}">
  <dimension ref="A1:I15"/>
  <sheetViews>
    <sheetView workbookViewId="0">
      <selection sqref="A1:I15"/>
    </sheetView>
  </sheetViews>
  <sheetFormatPr defaultRowHeight="14.4" x14ac:dyDescent="0.3"/>
  <cols>
    <col min="1" max="1" width="21.21875" customWidth="1"/>
    <col min="2" max="2" width="10.109375" bestFit="1" customWidth="1"/>
  </cols>
  <sheetData>
    <row r="1" spans="1:9" x14ac:dyDescent="0.3">
      <c r="A1" s="40" t="s">
        <v>0</v>
      </c>
      <c r="B1" s="234" t="s">
        <v>71</v>
      </c>
      <c r="C1" s="234"/>
      <c r="D1" s="234"/>
      <c r="F1" s="2"/>
      <c r="G1" s="235" t="s">
        <v>1</v>
      </c>
      <c r="H1" s="235"/>
      <c r="I1" s="3">
        <v>35000</v>
      </c>
    </row>
    <row r="2" spans="1:9" x14ac:dyDescent="0.3">
      <c r="A2" s="40" t="s">
        <v>2</v>
      </c>
      <c r="B2" s="4"/>
      <c r="D2" s="4"/>
      <c r="E2" s="1"/>
      <c r="F2" s="1"/>
      <c r="G2" s="5"/>
      <c r="H2" s="1" t="s">
        <v>3</v>
      </c>
      <c r="I2" s="9" t="s">
        <v>72</v>
      </c>
    </row>
    <row r="3" spans="1:9" x14ac:dyDescent="0.3">
      <c r="A3" s="40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9" ht="15" thickBot="1" x14ac:dyDescent="0.35">
      <c r="A4" s="40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10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35000</v>
      </c>
      <c r="C6" s="17">
        <v>2083</v>
      </c>
      <c r="D6" s="17">
        <f>(B6*0.015)</f>
        <v>525</v>
      </c>
      <c r="E6" s="17">
        <f ca="1">$C$7+D6</f>
        <v>2458.3333333333335</v>
      </c>
      <c r="F6" s="17"/>
      <c r="G6" s="17"/>
      <c r="H6" s="18"/>
      <c r="I6" s="19"/>
    </row>
    <row r="7" spans="1:9" x14ac:dyDescent="0.3">
      <c r="A7" s="20" t="s">
        <v>18</v>
      </c>
      <c r="B7" s="35">
        <v>17747</v>
      </c>
      <c r="C7" s="8">
        <f ca="1">$C$7</f>
        <v>2083.3333333333335</v>
      </c>
      <c r="D7" s="8">
        <f t="shared" ref="D7:D15" si="0">(B7*0.015)</f>
        <v>266.20499999999998</v>
      </c>
      <c r="E7" s="8">
        <f t="shared" ref="E7:E15" ca="1" si="1">$C$7+D7</f>
        <v>2427.0883333333336</v>
      </c>
      <c r="F7" s="8"/>
      <c r="G7" s="8"/>
      <c r="H7" s="10"/>
      <c r="I7" s="21"/>
    </row>
    <row r="8" spans="1:9" x14ac:dyDescent="0.3">
      <c r="A8" s="20" t="s">
        <v>19</v>
      </c>
      <c r="B8" s="35">
        <v>16664</v>
      </c>
      <c r="C8" s="8">
        <f t="shared" ref="C8:C15" ca="1" si="2">$C$7</f>
        <v>2083.3333333333335</v>
      </c>
      <c r="D8" s="8">
        <f t="shared" si="0"/>
        <v>249.95999999999998</v>
      </c>
      <c r="E8" s="8">
        <f t="shared" ca="1" si="1"/>
        <v>2395.8383833333337</v>
      </c>
      <c r="F8" s="8"/>
      <c r="G8" s="8"/>
      <c r="H8" s="10"/>
      <c r="I8" s="21"/>
    </row>
    <row r="9" spans="1:9" x14ac:dyDescent="0.3">
      <c r="A9" s="20" t="s">
        <v>20</v>
      </c>
      <c r="B9" s="35">
        <v>14581</v>
      </c>
      <c r="C9" s="8">
        <f t="shared" ca="1" si="2"/>
        <v>2083.3333333333335</v>
      </c>
      <c r="D9" s="8">
        <f t="shared" si="0"/>
        <v>218.715</v>
      </c>
      <c r="E9" s="8">
        <f t="shared" ca="1" si="1"/>
        <v>2364.5884333333333</v>
      </c>
      <c r="F9" s="8"/>
      <c r="G9" s="8"/>
      <c r="H9" s="10"/>
      <c r="I9" s="21"/>
    </row>
    <row r="10" spans="1:9" x14ac:dyDescent="0.3">
      <c r="A10" s="20" t="s">
        <v>21</v>
      </c>
      <c r="B10" s="36">
        <v>12498</v>
      </c>
      <c r="C10" s="8">
        <f t="shared" ca="1" si="2"/>
        <v>2083.3333333333335</v>
      </c>
      <c r="D10" s="8">
        <f t="shared" si="0"/>
        <v>187.47</v>
      </c>
      <c r="E10" s="8">
        <f t="shared" ca="1" si="1"/>
        <v>2333.3384833333334</v>
      </c>
      <c r="F10" s="8"/>
      <c r="G10" s="8"/>
      <c r="H10" s="10"/>
      <c r="I10" s="21"/>
    </row>
    <row r="11" spans="1:9" x14ac:dyDescent="0.3">
      <c r="A11" s="20" t="s">
        <v>23</v>
      </c>
      <c r="B11" s="35">
        <v>10415</v>
      </c>
      <c r="C11" s="8">
        <f t="shared" ca="1" si="2"/>
        <v>2083.3333333333335</v>
      </c>
      <c r="D11" s="8">
        <f t="shared" si="0"/>
        <v>156.22499999999999</v>
      </c>
      <c r="E11" s="8">
        <f t="shared" ca="1" si="1"/>
        <v>2302.0885333333335</v>
      </c>
      <c r="F11" s="8"/>
      <c r="G11" s="8"/>
      <c r="H11" s="10"/>
      <c r="I11" s="21"/>
    </row>
    <row r="12" spans="1:9" x14ac:dyDescent="0.3">
      <c r="A12" s="20" t="s">
        <v>24</v>
      </c>
      <c r="B12" s="35">
        <v>8332</v>
      </c>
      <c r="C12" s="8">
        <f t="shared" ca="1" si="2"/>
        <v>2083.3333333333335</v>
      </c>
      <c r="D12" s="8">
        <f t="shared" si="0"/>
        <v>124.97999999999999</v>
      </c>
      <c r="E12" s="8">
        <f t="shared" ca="1" si="1"/>
        <v>2270.8385833333336</v>
      </c>
      <c r="F12" s="8"/>
      <c r="G12" s="8"/>
      <c r="H12" s="10"/>
      <c r="I12" s="21"/>
    </row>
    <row r="13" spans="1:9" x14ac:dyDescent="0.3">
      <c r="A13" s="20" t="s">
        <v>25</v>
      </c>
      <c r="B13" s="35">
        <v>6249</v>
      </c>
      <c r="C13" s="8">
        <f t="shared" ca="1" si="2"/>
        <v>2083.3333333333335</v>
      </c>
      <c r="D13" s="8">
        <f t="shared" si="0"/>
        <v>93.734999999999999</v>
      </c>
      <c r="E13" s="8">
        <f t="shared" ca="1" si="1"/>
        <v>2239.5886333333333</v>
      </c>
      <c r="F13" s="8"/>
      <c r="G13" s="8"/>
      <c r="H13" s="10"/>
      <c r="I13" s="21"/>
    </row>
    <row r="14" spans="1:9" x14ac:dyDescent="0.3">
      <c r="A14" s="20" t="s">
        <v>26</v>
      </c>
      <c r="B14" s="35">
        <v>4166</v>
      </c>
      <c r="C14" s="8">
        <f t="shared" ca="1" si="2"/>
        <v>2083.3333333333335</v>
      </c>
      <c r="D14" s="8">
        <f t="shared" si="0"/>
        <v>62.489999999999995</v>
      </c>
      <c r="E14" s="8">
        <f t="shared" ca="1" si="1"/>
        <v>2208.3386833333334</v>
      </c>
      <c r="F14" s="8"/>
      <c r="G14" s="8"/>
      <c r="H14" s="10"/>
      <c r="I14" s="21"/>
    </row>
    <row r="15" spans="1:9" x14ac:dyDescent="0.3">
      <c r="A15" s="20" t="s">
        <v>27</v>
      </c>
      <c r="B15" s="35">
        <v>2083</v>
      </c>
      <c r="C15" s="8">
        <f t="shared" ca="1" si="2"/>
        <v>2083.3333333333335</v>
      </c>
      <c r="D15" s="8">
        <f t="shared" si="0"/>
        <v>31.244999999999997</v>
      </c>
      <c r="E15" s="8">
        <f t="shared" ca="1" si="1"/>
        <v>2177.0887333333335</v>
      </c>
      <c r="F15" s="8"/>
      <c r="G15" s="8"/>
      <c r="H15" s="10"/>
      <c r="I15" s="21" t="s">
        <v>44</v>
      </c>
    </row>
  </sheetData>
  <mergeCells count="5">
    <mergeCell ref="B1:D1"/>
    <mergeCell ref="G1:H1"/>
    <mergeCell ref="E3:H3"/>
    <mergeCell ref="B4:C4"/>
    <mergeCell ref="D4:H4"/>
  </mergeCells>
  <pageMargins left="0.25" right="0.25" top="0.75" bottom="0.75" header="0.3" footer="0.3"/>
  <pageSetup paperSize="256" orientation="portrait" horizontalDpi="4294967293" verticalDpi="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9CC6-6A3C-4B23-A090-D9326CE37E89}">
  <dimension ref="A1:I35"/>
  <sheetViews>
    <sheetView topLeftCell="A17" workbookViewId="0">
      <selection activeCell="A21" sqref="A21:I35"/>
    </sheetView>
  </sheetViews>
  <sheetFormatPr defaultRowHeight="14.4" x14ac:dyDescent="0.3"/>
  <cols>
    <col min="1" max="1" width="20.5546875" customWidth="1"/>
    <col min="2" max="2" width="10.109375" bestFit="1" customWidth="1"/>
  </cols>
  <sheetData>
    <row r="1" spans="1:9" x14ac:dyDescent="0.3">
      <c r="A1" s="40" t="s">
        <v>0</v>
      </c>
      <c r="B1" s="234" t="s">
        <v>90</v>
      </c>
      <c r="C1" s="234"/>
      <c r="D1" s="234"/>
      <c r="F1" s="2"/>
      <c r="G1" s="235" t="s">
        <v>1</v>
      </c>
      <c r="H1" s="235"/>
      <c r="I1" s="3">
        <v>50000</v>
      </c>
    </row>
    <row r="2" spans="1:9" x14ac:dyDescent="0.3">
      <c r="A2" s="40" t="s">
        <v>2</v>
      </c>
      <c r="B2" s="4"/>
      <c r="D2" s="4"/>
      <c r="E2" s="1"/>
      <c r="F2" s="1"/>
      <c r="G2" s="5"/>
      <c r="H2" s="1" t="s">
        <v>3</v>
      </c>
      <c r="I2" s="9" t="s">
        <v>62</v>
      </c>
    </row>
    <row r="3" spans="1:9" x14ac:dyDescent="0.3">
      <c r="A3" s="40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9" ht="15" thickBot="1" x14ac:dyDescent="0.35">
      <c r="A4" s="40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10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50000</v>
      </c>
      <c r="C6" s="17">
        <v>2083</v>
      </c>
      <c r="D6" s="17">
        <f>(B6*0.015)</f>
        <v>750</v>
      </c>
      <c r="E6" s="17">
        <f ca="1">$C$7+D6</f>
        <v>2458.3333333333335</v>
      </c>
      <c r="F6" s="17"/>
      <c r="G6" s="17"/>
      <c r="H6" s="18"/>
      <c r="I6" s="19"/>
    </row>
    <row r="7" spans="1:9" x14ac:dyDescent="0.3">
      <c r="A7" s="20" t="s">
        <v>18</v>
      </c>
      <c r="B7" s="35">
        <v>22500</v>
      </c>
      <c r="C7" s="8">
        <f ca="1">$C$7</f>
        <v>2083.3333333333335</v>
      </c>
      <c r="D7" s="8">
        <f t="shared" ref="D7:D15" si="0">(B7*0.015)</f>
        <v>337.5</v>
      </c>
      <c r="E7" s="8">
        <f t="shared" ref="E7:E15" ca="1" si="1">$C$7+D7</f>
        <v>2427.0883333333336</v>
      </c>
      <c r="F7" s="8"/>
      <c r="G7" s="8"/>
      <c r="H7" s="10"/>
      <c r="I7" s="21"/>
    </row>
    <row r="8" spans="1:9" x14ac:dyDescent="0.3">
      <c r="A8" s="20" t="s">
        <v>19</v>
      </c>
      <c r="B8" s="35">
        <v>20000</v>
      </c>
      <c r="C8" s="8">
        <f t="shared" ref="C8:C15" ca="1" si="2">$C$7</f>
        <v>2083.3333333333335</v>
      </c>
      <c r="D8" s="8">
        <f t="shared" si="0"/>
        <v>300</v>
      </c>
      <c r="E8" s="8">
        <f t="shared" ca="1" si="1"/>
        <v>2395.8383833333337</v>
      </c>
      <c r="F8" s="8"/>
      <c r="G8" s="8"/>
      <c r="H8" s="10"/>
      <c r="I8" s="21"/>
    </row>
    <row r="9" spans="1:9" x14ac:dyDescent="0.3">
      <c r="A9" s="20" t="s">
        <v>20</v>
      </c>
      <c r="B9" s="35">
        <v>17750</v>
      </c>
      <c r="C9" s="8">
        <f t="shared" ca="1" si="2"/>
        <v>2083.3333333333335</v>
      </c>
      <c r="D9" s="8">
        <f t="shared" si="0"/>
        <v>266.25</v>
      </c>
      <c r="E9" s="8">
        <f t="shared" ca="1" si="1"/>
        <v>2364.5884333333333</v>
      </c>
      <c r="F9" s="8"/>
      <c r="G9" s="8"/>
      <c r="H9" s="10"/>
      <c r="I9" s="21"/>
    </row>
    <row r="10" spans="1:9" x14ac:dyDescent="0.3">
      <c r="A10" s="20" t="s">
        <v>21</v>
      </c>
      <c r="B10" s="36">
        <v>15000</v>
      </c>
      <c r="C10" s="8">
        <f t="shared" ca="1" si="2"/>
        <v>2083.3333333333335</v>
      </c>
      <c r="D10" s="8">
        <f t="shared" si="0"/>
        <v>225</v>
      </c>
      <c r="E10" s="8">
        <f t="shared" ca="1" si="1"/>
        <v>2333.3384833333334</v>
      </c>
      <c r="F10" s="8"/>
      <c r="G10" s="8"/>
      <c r="H10" s="10"/>
      <c r="I10" s="21"/>
    </row>
    <row r="11" spans="1:9" x14ac:dyDescent="0.3">
      <c r="A11" s="20" t="s">
        <v>23</v>
      </c>
      <c r="B11" s="35">
        <v>12500</v>
      </c>
      <c r="C11" s="8">
        <f t="shared" ca="1" si="2"/>
        <v>2083.3333333333335</v>
      </c>
      <c r="D11" s="8">
        <f t="shared" si="0"/>
        <v>187.5</v>
      </c>
      <c r="E11" s="8">
        <f t="shared" ca="1" si="1"/>
        <v>2302.0885333333335</v>
      </c>
      <c r="F11" s="8"/>
      <c r="G11" s="8"/>
      <c r="H11" s="10"/>
      <c r="I11" s="21"/>
    </row>
    <row r="12" spans="1:9" x14ac:dyDescent="0.3">
      <c r="A12" s="20" t="s">
        <v>24</v>
      </c>
      <c r="B12" s="35">
        <v>10000</v>
      </c>
      <c r="C12" s="8">
        <f t="shared" ca="1" si="2"/>
        <v>2083.3333333333335</v>
      </c>
      <c r="D12" s="8">
        <f t="shared" si="0"/>
        <v>150</v>
      </c>
      <c r="E12" s="8">
        <f t="shared" ca="1" si="1"/>
        <v>2270.8385833333336</v>
      </c>
      <c r="F12" s="8"/>
      <c r="G12" s="8"/>
      <c r="H12" s="10"/>
      <c r="I12" s="21"/>
    </row>
    <row r="13" spans="1:9" x14ac:dyDescent="0.3">
      <c r="A13" s="20" t="s">
        <v>25</v>
      </c>
      <c r="B13" s="35">
        <v>7500</v>
      </c>
      <c r="C13" s="8">
        <f t="shared" ca="1" si="2"/>
        <v>2083.3333333333335</v>
      </c>
      <c r="D13" s="8">
        <f t="shared" si="0"/>
        <v>112.5</v>
      </c>
      <c r="E13" s="8">
        <f t="shared" ca="1" si="1"/>
        <v>2239.5886333333333</v>
      </c>
      <c r="F13" s="8"/>
      <c r="G13" s="8"/>
      <c r="H13" s="10"/>
      <c r="I13" s="21"/>
    </row>
    <row r="14" spans="1:9" x14ac:dyDescent="0.3">
      <c r="A14" s="20" t="s">
        <v>26</v>
      </c>
      <c r="B14" s="35">
        <v>5000</v>
      </c>
      <c r="C14" s="8">
        <f t="shared" ca="1" si="2"/>
        <v>2083.3333333333335</v>
      </c>
      <c r="D14" s="8">
        <f t="shared" si="0"/>
        <v>75</v>
      </c>
      <c r="E14" s="8">
        <f t="shared" ca="1" si="1"/>
        <v>2208.3386833333334</v>
      </c>
      <c r="F14" s="8"/>
      <c r="G14" s="8"/>
      <c r="H14" s="10"/>
      <c r="I14" s="21"/>
    </row>
    <row r="15" spans="1:9" x14ac:dyDescent="0.3">
      <c r="A15" s="20" t="s">
        <v>27</v>
      </c>
      <c r="B15" s="35">
        <v>2500</v>
      </c>
      <c r="C15" s="8">
        <f t="shared" ca="1" si="2"/>
        <v>2083.3333333333335</v>
      </c>
      <c r="D15" s="8">
        <f t="shared" si="0"/>
        <v>37.5</v>
      </c>
      <c r="E15" s="8">
        <f t="shared" ca="1" si="1"/>
        <v>2177.0887333333335</v>
      </c>
      <c r="F15" s="8"/>
      <c r="G15" s="8"/>
      <c r="H15" s="10"/>
      <c r="I15" s="21" t="s">
        <v>44</v>
      </c>
    </row>
    <row r="21" spans="1:9" x14ac:dyDescent="0.3">
      <c r="A21" s="40" t="s">
        <v>0</v>
      </c>
      <c r="B21" s="234" t="s">
        <v>91</v>
      </c>
      <c r="C21" s="234"/>
      <c r="D21" s="234"/>
      <c r="F21" s="2"/>
      <c r="G21" s="235" t="s">
        <v>1</v>
      </c>
      <c r="H21" s="235"/>
      <c r="I21" s="3">
        <v>50000</v>
      </c>
    </row>
    <row r="22" spans="1:9" x14ac:dyDescent="0.3">
      <c r="A22" s="40" t="s">
        <v>2</v>
      </c>
      <c r="B22" s="4"/>
      <c r="D22" s="4"/>
      <c r="E22" s="1"/>
      <c r="F22" s="1"/>
      <c r="G22" s="5"/>
      <c r="H22" s="1" t="s">
        <v>3</v>
      </c>
      <c r="I22" s="9" t="s">
        <v>92</v>
      </c>
    </row>
    <row r="23" spans="1:9" x14ac:dyDescent="0.3">
      <c r="A23" s="40" t="s">
        <v>4</v>
      </c>
      <c r="B23" s="6"/>
      <c r="D23" s="6"/>
      <c r="E23" s="235" t="s">
        <v>5</v>
      </c>
      <c r="F23" s="235"/>
      <c r="G23" s="235"/>
      <c r="H23" s="235"/>
      <c r="I23" s="7">
        <v>1.4999999999999999E-2</v>
      </c>
    </row>
    <row r="24" spans="1:9" ht="15" thickBot="1" x14ac:dyDescent="0.35">
      <c r="A24" s="40" t="s">
        <v>6</v>
      </c>
      <c r="B24" s="236"/>
      <c r="C24" s="236"/>
      <c r="D24" s="237" t="s">
        <v>7</v>
      </c>
      <c r="E24" s="237"/>
      <c r="F24" s="237"/>
      <c r="G24" s="237"/>
      <c r="H24" s="237"/>
      <c r="I24" s="6">
        <v>10</v>
      </c>
    </row>
    <row r="25" spans="1:9" ht="87" thickBot="1" x14ac:dyDescent="0.35">
      <c r="A25" s="11" t="s">
        <v>8</v>
      </c>
      <c r="B25" s="11" t="s">
        <v>9</v>
      </c>
      <c r="C25" s="11" t="s">
        <v>10</v>
      </c>
      <c r="D25" s="12" t="s">
        <v>11</v>
      </c>
      <c r="E25" s="13" t="s">
        <v>12</v>
      </c>
      <c r="F25" s="14" t="s">
        <v>13</v>
      </c>
      <c r="G25" s="14" t="s">
        <v>14</v>
      </c>
      <c r="H25" s="14" t="s">
        <v>15</v>
      </c>
      <c r="I25" s="15" t="s">
        <v>16</v>
      </c>
    </row>
    <row r="26" spans="1:9" x14ac:dyDescent="0.3">
      <c r="A26" s="16" t="s">
        <v>17</v>
      </c>
      <c r="B26" s="17">
        <f>I21</f>
        <v>50000</v>
      </c>
      <c r="C26" s="17">
        <v>2083</v>
      </c>
      <c r="D26" s="17">
        <f>(B26*0.015)</f>
        <v>750</v>
      </c>
      <c r="E26" s="17">
        <f ca="1">$C$7+D26</f>
        <v>2458.3333333333335</v>
      </c>
      <c r="F26" s="17"/>
      <c r="G26" s="17"/>
      <c r="H26" s="18"/>
      <c r="I26" s="19"/>
    </row>
    <row r="27" spans="1:9" x14ac:dyDescent="0.3">
      <c r="A27" s="20" t="s">
        <v>18</v>
      </c>
      <c r="B27" s="35">
        <v>22500</v>
      </c>
      <c r="C27" s="8">
        <f ca="1">$C$7</f>
        <v>2083.3333333333335</v>
      </c>
      <c r="D27" s="8">
        <f t="shared" ref="D27:D35" si="3">(B27*0.015)</f>
        <v>337.5</v>
      </c>
      <c r="E27" s="8">
        <f t="shared" ref="E27:E35" ca="1" si="4">$C$7+D27</f>
        <v>2427.0883333333336</v>
      </c>
      <c r="F27" s="8"/>
      <c r="G27" s="8"/>
      <c r="H27" s="10"/>
      <c r="I27" s="21"/>
    </row>
    <row r="28" spans="1:9" x14ac:dyDescent="0.3">
      <c r="A28" s="20" t="s">
        <v>19</v>
      </c>
      <c r="B28" s="35">
        <v>20000</v>
      </c>
      <c r="C28" s="8">
        <f t="shared" ref="C28:C35" ca="1" si="5">$C$7</f>
        <v>2083.3333333333335</v>
      </c>
      <c r="D28" s="8">
        <f t="shared" si="3"/>
        <v>300</v>
      </c>
      <c r="E28" s="8">
        <f t="shared" ca="1" si="4"/>
        <v>2395.8383833333337</v>
      </c>
      <c r="F28" s="8"/>
      <c r="G28" s="8"/>
      <c r="H28" s="10"/>
      <c r="I28" s="21"/>
    </row>
    <row r="29" spans="1:9" x14ac:dyDescent="0.3">
      <c r="A29" s="20" t="s">
        <v>20</v>
      </c>
      <c r="B29" s="35">
        <v>17750</v>
      </c>
      <c r="C29" s="8">
        <f t="shared" ca="1" si="5"/>
        <v>2083.3333333333335</v>
      </c>
      <c r="D29" s="8">
        <f t="shared" si="3"/>
        <v>266.25</v>
      </c>
      <c r="E29" s="8">
        <f t="shared" ca="1" si="4"/>
        <v>2364.5884333333333</v>
      </c>
      <c r="F29" s="8"/>
      <c r="G29" s="8"/>
      <c r="H29" s="10"/>
      <c r="I29" s="21"/>
    </row>
    <row r="30" spans="1:9" x14ac:dyDescent="0.3">
      <c r="A30" s="20" t="s">
        <v>21</v>
      </c>
      <c r="B30" s="36">
        <v>15000</v>
      </c>
      <c r="C30" s="8">
        <f t="shared" ca="1" si="5"/>
        <v>2083.3333333333335</v>
      </c>
      <c r="D30" s="8">
        <f t="shared" si="3"/>
        <v>225</v>
      </c>
      <c r="E30" s="8">
        <f t="shared" ca="1" si="4"/>
        <v>2333.3384833333334</v>
      </c>
      <c r="F30" s="8"/>
      <c r="G30" s="8"/>
      <c r="H30" s="10"/>
      <c r="I30" s="21"/>
    </row>
    <row r="31" spans="1:9" x14ac:dyDescent="0.3">
      <c r="A31" s="20" t="s">
        <v>23</v>
      </c>
      <c r="B31" s="35">
        <v>12500</v>
      </c>
      <c r="C31" s="8">
        <f t="shared" ca="1" si="5"/>
        <v>2083.3333333333335</v>
      </c>
      <c r="D31" s="8">
        <f t="shared" si="3"/>
        <v>187.5</v>
      </c>
      <c r="E31" s="8">
        <f t="shared" ca="1" si="4"/>
        <v>2302.0885333333335</v>
      </c>
      <c r="F31" s="8"/>
      <c r="G31" s="8"/>
      <c r="H31" s="10"/>
      <c r="I31" s="21"/>
    </row>
    <row r="32" spans="1:9" x14ac:dyDescent="0.3">
      <c r="A32" s="20" t="s">
        <v>24</v>
      </c>
      <c r="B32" s="35">
        <v>10000</v>
      </c>
      <c r="C32" s="8">
        <f t="shared" ca="1" si="5"/>
        <v>2083.3333333333335</v>
      </c>
      <c r="D32" s="8">
        <f t="shared" si="3"/>
        <v>150</v>
      </c>
      <c r="E32" s="8">
        <f t="shared" ca="1" si="4"/>
        <v>2270.8385833333336</v>
      </c>
      <c r="F32" s="8"/>
      <c r="G32" s="8"/>
      <c r="H32" s="10"/>
      <c r="I32" s="21"/>
    </row>
    <row r="33" spans="1:9" x14ac:dyDescent="0.3">
      <c r="A33" s="20" t="s">
        <v>25</v>
      </c>
      <c r="B33" s="35">
        <v>7500</v>
      </c>
      <c r="C33" s="8">
        <f t="shared" ca="1" si="5"/>
        <v>2083.3333333333335</v>
      </c>
      <c r="D33" s="8">
        <f t="shared" si="3"/>
        <v>112.5</v>
      </c>
      <c r="E33" s="8">
        <f t="shared" ca="1" si="4"/>
        <v>2239.5886333333333</v>
      </c>
      <c r="F33" s="8"/>
      <c r="G33" s="8"/>
      <c r="H33" s="10"/>
      <c r="I33" s="21"/>
    </row>
    <row r="34" spans="1:9" x14ac:dyDescent="0.3">
      <c r="A34" s="20" t="s">
        <v>26</v>
      </c>
      <c r="B34" s="35">
        <v>5000</v>
      </c>
      <c r="C34" s="8">
        <f t="shared" ca="1" si="5"/>
        <v>2083.3333333333335</v>
      </c>
      <c r="D34" s="8">
        <f t="shared" si="3"/>
        <v>75</v>
      </c>
      <c r="E34" s="8">
        <f t="shared" ca="1" si="4"/>
        <v>2208.3386833333334</v>
      </c>
      <c r="F34" s="8"/>
      <c r="G34" s="8"/>
      <c r="H34" s="10"/>
      <c r="I34" s="21"/>
    </row>
    <row r="35" spans="1:9" x14ac:dyDescent="0.3">
      <c r="A35" s="20" t="s">
        <v>27</v>
      </c>
      <c r="B35" s="35">
        <v>2500</v>
      </c>
      <c r="C35" s="8">
        <f t="shared" ca="1" si="5"/>
        <v>2083.3333333333335</v>
      </c>
      <c r="D35" s="8">
        <f t="shared" si="3"/>
        <v>37.5</v>
      </c>
      <c r="E35" s="8">
        <f t="shared" ca="1" si="4"/>
        <v>2177.0887333333335</v>
      </c>
      <c r="F35" s="8"/>
      <c r="G35" s="8"/>
      <c r="H35" s="10"/>
      <c r="I35" s="21" t="s">
        <v>42</v>
      </c>
    </row>
  </sheetData>
  <mergeCells count="10">
    <mergeCell ref="E23:H23"/>
    <mergeCell ref="B24:C24"/>
    <mergeCell ref="D24:H24"/>
    <mergeCell ref="B1:D1"/>
    <mergeCell ref="G1:H1"/>
    <mergeCell ref="E3:H3"/>
    <mergeCell ref="B4:C4"/>
    <mergeCell ref="D4:H4"/>
    <mergeCell ref="B21:D21"/>
    <mergeCell ref="G21:H21"/>
  </mergeCells>
  <pageMargins left="0.25" right="0.25" top="0.75" bottom="0.75" header="0.3" footer="0.3"/>
  <pageSetup paperSize="256" orientation="portrait" horizontalDpi="4294967293" verticalDpi="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A1F1-8B2B-4374-ACBD-D010E8D61196}">
  <dimension ref="A1:R12"/>
  <sheetViews>
    <sheetView workbookViewId="0">
      <selection sqref="A1:I11"/>
    </sheetView>
  </sheetViews>
  <sheetFormatPr defaultRowHeight="14.4" x14ac:dyDescent="0.3"/>
  <cols>
    <col min="1" max="1" width="20.44140625" customWidth="1"/>
    <col min="2" max="2" width="10.109375" bestFit="1" customWidth="1"/>
    <col min="12" max="12" width="10.109375" bestFit="1" customWidth="1"/>
    <col min="14" max="18" width="10.109375" bestFit="1" customWidth="1"/>
  </cols>
  <sheetData>
    <row r="1" spans="1:18" x14ac:dyDescent="0.3">
      <c r="A1" s="40" t="s">
        <v>0</v>
      </c>
      <c r="B1" s="234" t="s">
        <v>63</v>
      </c>
      <c r="C1" s="234"/>
      <c r="D1" s="234"/>
      <c r="F1" s="2"/>
      <c r="G1" s="235" t="s">
        <v>1</v>
      </c>
      <c r="H1" s="235"/>
      <c r="I1" s="3">
        <v>80000</v>
      </c>
    </row>
    <row r="2" spans="1:18" x14ac:dyDescent="0.3">
      <c r="A2" s="40" t="s">
        <v>2</v>
      </c>
      <c r="B2" s="4"/>
      <c r="D2" s="4"/>
      <c r="E2" s="1"/>
      <c r="F2" s="1"/>
      <c r="G2" s="5"/>
      <c r="H2" s="1" t="s">
        <v>3</v>
      </c>
      <c r="I2" s="9" t="s">
        <v>64</v>
      </c>
    </row>
    <row r="3" spans="1:18" x14ac:dyDescent="0.3">
      <c r="A3" s="40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18" ht="15" thickBot="1" x14ac:dyDescent="0.35">
      <c r="A4" s="40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6</v>
      </c>
    </row>
    <row r="5" spans="1:18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18" x14ac:dyDescent="0.3">
      <c r="A6" s="16" t="s">
        <v>17</v>
      </c>
      <c r="B6" s="17">
        <f>I1</f>
        <v>80000</v>
      </c>
      <c r="C6" s="17">
        <f>I1/I4</f>
        <v>13333.333333333334</v>
      </c>
      <c r="D6" s="17">
        <f>(B6*0.015)</f>
        <v>1200</v>
      </c>
      <c r="E6" s="17">
        <f>$C$7+D6</f>
        <v>14533</v>
      </c>
      <c r="F6" s="17"/>
      <c r="G6" s="17"/>
      <c r="H6" s="18"/>
      <c r="I6" s="19"/>
      <c r="L6" s="37"/>
      <c r="M6" s="28"/>
      <c r="N6" s="37"/>
      <c r="O6" s="34"/>
      <c r="P6" s="34"/>
      <c r="Q6" s="34"/>
      <c r="R6" s="34"/>
    </row>
    <row r="7" spans="1:18" x14ac:dyDescent="0.3">
      <c r="A7" s="20" t="s">
        <v>18</v>
      </c>
      <c r="B7" s="35">
        <v>66667</v>
      </c>
      <c r="C7" s="8">
        <v>13333</v>
      </c>
      <c r="D7" s="8">
        <f t="shared" ref="D7:D11" si="0">(B7*0.015)</f>
        <v>1000.005</v>
      </c>
      <c r="E7" s="8">
        <f t="shared" ref="E7:E11" si="1">$C$7+D7</f>
        <v>14333.004999999999</v>
      </c>
      <c r="F7" s="8"/>
      <c r="G7" s="8"/>
      <c r="H7" s="10"/>
      <c r="I7" s="21"/>
      <c r="L7" s="37"/>
      <c r="M7" s="28"/>
      <c r="N7" s="37"/>
    </row>
    <row r="8" spans="1:18" x14ac:dyDescent="0.3">
      <c r="A8" s="20" t="s">
        <v>19</v>
      </c>
      <c r="B8" s="35">
        <v>53334</v>
      </c>
      <c r="C8" s="8">
        <f t="shared" ref="C8:C11" si="2">$C$7</f>
        <v>13333</v>
      </c>
      <c r="D8" s="8">
        <f t="shared" si="0"/>
        <v>800.01</v>
      </c>
      <c r="E8" s="8">
        <f t="shared" si="1"/>
        <v>14133.01</v>
      </c>
      <c r="F8" s="8"/>
      <c r="G8" s="8"/>
      <c r="H8" s="10"/>
      <c r="I8" s="21"/>
      <c r="L8" s="37"/>
      <c r="M8" s="28"/>
      <c r="N8" s="37"/>
    </row>
    <row r="9" spans="1:18" x14ac:dyDescent="0.3">
      <c r="A9" s="20" t="s">
        <v>20</v>
      </c>
      <c r="B9" s="35">
        <v>40001</v>
      </c>
      <c r="C9" s="8">
        <f t="shared" si="2"/>
        <v>13333</v>
      </c>
      <c r="D9" s="8">
        <f t="shared" si="0"/>
        <v>600.01499999999999</v>
      </c>
      <c r="E9" s="8">
        <f t="shared" si="1"/>
        <v>13933.014999999999</v>
      </c>
      <c r="F9" s="8"/>
      <c r="G9" s="8"/>
      <c r="H9" s="10"/>
      <c r="I9" s="21"/>
      <c r="L9" s="37"/>
      <c r="M9" s="28"/>
      <c r="N9" s="37"/>
    </row>
    <row r="10" spans="1:18" x14ac:dyDescent="0.3">
      <c r="A10" s="20" t="s">
        <v>21</v>
      </c>
      <c r="B10" s="36">
        <v>26668</v>
      </c>
      <c r="C10" s="8">
        <f t="shared" si="2"/>
        <v>13333</v>
      </c>
      <c r="D10" s="8">
        <f t="shared" si="0"/>
        <v>400.02</v>
      </c>
      <c r="E10" s="8">
        <f t="shared" si="1"/>
        <v>13733.02</v>
      </c>
      <c r="F10" s="8"/>
      <c r="G10" s="8"/>
      <c r="H10" s="10"/>
      <c r="I10" s="21"/>
      <c r="L10" s="37"/>
      <c r="M10" s="28"/>
      <c r="N10" s="37"/>
    </row>
    <row r="11" spans="1:18" x14ac:dyDescent="0.3">
      <c r="A11" s="20" t="s">
        <v>23</v>
      </c>
      <c r="B11" s="35">
        <v>13333</v>
      </c>
      <c r="C11" s="8">
        <f t="shared" si="2"/>
        <v>13333</v>
      </c>
      <c r="D11" s="8">
        <f t="shared" si="0"/>
        <v>199.995</v>
      </c>
      <c r="E11" s="8">
        <f t="shared" si="1"/>
        <v>13532.995000000001</v>
      </c>
      <c r="F11" s="8"/>
      <c r="G11" s="8"/>
      <c r="H11" s="10"/>
      <c r="I11" s="21" t="s">
        <v>42</v>
      </c>
      <c r="L11" s="37"/>
      <c r="M11" s="28"/>
      <c r="N11" s="37"/>
    </row>
    <row r="12" spans="1:18" x14ac:dyDescent="0.3">
      <c r="E12" s="38"/>
    </row>
  </sheetData>
  <mergeCells count="5">
    <mergeCell ref="B1:D1"/>
    <mergeCell ref="G1:H1"/>
    <mergeCell ref="E3:H3"/>
    <mergeCell ref="B4:C4"/>
    <mergeCell ref="D4:H4"/>
  </mergeCells>
  <pageMargins left="0.25" right="0.25" top="0.75" bottom="0.75" header="0.3" footer="0.3"/>
  <pageSetup paperSize="256" orientation="portrait" horizontalDpi="4294967293" verticalDpi="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B409-9A70-4480-AF1E-4FBD73A69EA5}">
  <dimension ref="A1:I11"/>
  <sheetViews>
    <sheetView workbookViewId="0">
      <selection activeCell="I11" sqref="A1:I11"/>
    </sheetView>
  </sheetViews>
  <sheetFormatPr defaultRowHeight="14.4" x14ac:dyDescent="0.3"/>
  <cols>
    <col min="1" max="1" width="19.5546875" customWidth="1"/>
    <col min="2" max="2" width="9.109375" bestFit="1" customWidth="1"/>
  </cols>
  <sheetData>
    <row r="1" spans="1:9" x14ac:dyDescent="0.3">
      <c r="A1" s="40" t="s">
        <v>0</v>
      </c>
      <c r="B1" s="234" t="s">
        <v>48</v>
      </c>
      <c r="C1" s="234"/>
      <c r="D1" s="234"/>
      <c r="F1" s="2"/>
      <c r="G1" s="235" t="s">
        <v>1</v>
      </c>
      <c r="H1" s="235"/>
      <c r="I1" s="3">
        <v>5000</v>
      </c>
    </row>
    <row r="2" spans="1:9" x14ac:dyDescent="0.3">
      <c r="A2" s="40" t="s">
        <v>2</v>
      </c>
      <c r="B2" s="4"/>
      <c r="D2" s="4"/>
      <c r="E2" s="1"/>
      <c r="F2" s="1"/>
      <c r="G2" s="5"/>
      <c r="H2" s="1" t="s">
        <v>3</v>
      </c>
      <c r="I2" s="9" t="s">
        <v>47</v>
      </c>
    </row>
    <row r="3" spans="1:9" x14ac:dyDescent="0.3">
      <c r="A3" s="40" t="s">
        <v>4</v>
      </c>
      <c r="B3" s="6"/>
      <c r="D3" s="6"/>
      <c r="E3" s="235" t="s">
        <v>5</v>
      </c>
      <c r="F3" s="235"/>
      <c r="G3" s="235"/>
      <c r="H3" s="235"/>
      <c r="I3" s="7">
        <v>1.4999999999999999E-2</v>
      </c>
    </row>
    <row r="4" spans="1:9" ht="15" thickBot="1" x14ac:dyDescent="0.35">
      <c r="A4" s="40" t="s">
        <v>6</v>
      </c>
      <c r="B4" s="236"/>
      <c r="C4" s="236"/>
      <c r="D4" s="237" t="s">
        <v>7</v>
      </c>
      <c r="E4" s="237"/>
      <c r="F4" s="237"/>
      <c r="G4" s="237"/>
      <c r="H4" s="237"/>
      <c r="I4" s="6">
        <v>6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5000</v>
      </c>
      <c r="C6" s="17">
        <f>I1/I4</f>
        <v>833.33333333333337</v>
      </c>
      <c r="D6" s="17">
        <f>(B6*0.015)</f>
        <v>75</v>
      </c>
      <c r="E6" s="17">
        <f>$C$7+D6</f>
        <v>908</v>
      </c>
      <c r="F6" s="17"/>
      <c r="G6" s="17"/>
      <c r="H6" s="18"/>
      <c r="I6" s="19"/>
    </row>
    <row r="7" spans="1:9" x14ac:dyDescent="0.3">
      <c r="A7" s="20" t="s">
        <v>18</v>
      </c>
      <c r="B7" s="35">
        <v>4167</v>
      </c>
      <c r="C7" s="8">
        <v>833</v>
      </c>
      <c r="D7" s="8">
        <f t="shared" ref="D7:D11" si="0">(B7*0.015)</f>
        <v>62.504999999999995</v>
      </c>
      <c r="E7" s="8">
        <f t="shared" ref="E7:E11" si="1">$C$7+D7</f>
        <v>895.505</v>
      </c>
      <c r="F7" s="8"/>
      <c r="G7" s="8"/>
      <c r="H7" s="10"/>
      <c r="I7" s="21"/>
    </row>
    <row r="8" spans="1:9" x14ac:dyDescent="0.3">
      <c r="A8" s="20" t="s">
        <v>19</v>
      </c>
      <c r="B8" s="35">
        <v>3334</v>
      </c>
      <c r="C8" s="8">
        <f t="shared" ref="C8:C11" si="2">$C$7</f>
        <v>833</v>
      </c>
      <c r="D8" s="8">
        <f t="shared" si="0"/>
        <v>50.01</v>
      </c>
      <c r="E8" s="8">
        <f t="shared" si="1"/>
        <v>883.01</v>
      </c>
      <c r="F8" s="8"/>
      <c r="G8" s="8"/>
      <c r="H8" s="10"/>
      <c r="I8" s="21"/>
    </row>
    <row r="9" spans="1:9" x14ac:dyDescent="0.3">
      <c r="A9" s="20" t="s">
        <v>20</v>
      </c>
      <c r="B9" s="35">
        <v>2499</v>
      </c>
      <c r="C9" s="8">
        <f t="shared" si="2"/>
        <v>833</v>
      </c>
      <c r="D9" s="8">
        <f t="shared" si="0"/>
        <v>37.484999999999999</v>
      </c>
      <c r="E9" s="8">
        <f t="shared" si="1"/>
        <v>870.48500000000001</v>
      </c>
      <c r="F9" s="8"/>
      <c r="G9" s="8"/>
      <c r="H9" s="10"/>
      <c r="I9" s="21"/>
    </row>
    <row r="10" spans="1:9" x14ac:dyDescent="0.3">
      <c r="A10" s="20" t="s">
        <v>21</v>
      </c>
      <c r="B10" s="36">
        <v>1666</v>
      </c>
      <c r="C10" s="8">
        <f t="shared" si="2"/>
        <v>833</v>
      </c>
      <c r="D10" s="8">
        <f t="shared" si="0"/>
        <v>24.99</v>
      </c>
      <c r="E10" s="8">
        <f t="shared" si="1"/>
        <v>857.99</v>
      </c>
      <c r="F10" s="8"/>
      <c r="G10" s="8"/>
      <c r="H10" s="10"/>
      <c r="I10" s="21"/>
    </row>
    <row r="11" spans="1:9" x14ac:dyDescent="0.3">
      <c r="A11" s="20" t="s">
        <v>23</v>
      </c>
      <c r="B11" s="35">
        <v>833</v>
      </c>
      <c r="C11" s="8">
        <f t="shared" si="2"/>
        <v>833</v>
      </c>
      <c r="D11" s="8">
        <f t="shared" si="0"/>
        <v>12.494999999999999</v>
      </c>
      <c r="E11" s="8">
        <f t="shared" si="1"/>
        <v>845.495</v>
      </c>
      <c r="F11" s="8"/>
      <c r="G11" s="8"/>
      <c r="H11" s="10"/>
      <c r="I11" s="21" t="s">
        <v>42</v>
      </c>
    </row>
  </sheetData>
  <mergeCells count="5">
    <mergeCell ref="B1:D1"/>
    <mergeCell ref="G1:H1"/>
    <mergeCell ref="E3:H3"/>
    <mergeCell ref="B4:C4"/>
    <mergeCell ref="D4:H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9FA0-969B-42A0-B284-0CB973DA1EF0}">
  <dimension ref="A2:P19"/>
  <sheetViews>
    <sheetView topLeftCell="A2" workbookViewId="0">
      <selection activeCell="A2" sqref="A2:I18"/>
    </sheetView>
  </sheetViews>
  <sheetFormatPr defaultRowHeight="14.4" x14ac:dyDescent="0.3"/>
  <cols>
    <col min="1" max="1" width="19.44140625" customWidth="1"/>
    <col min="2" max="2" width="10.109375" customWidth="1"/>
    <col min="13" max="13" width="5.33203125" customWidth="1"/>
    <col min="14" max="14" width="11.33203125" customWidth="1"/>
    <col min="16" max="16" width="11.21875" customWidth="1"/>
  </cols>
  <sheetData>
    <row r="2" spans="1:16" x14ac:dyDescent="0.3">
      <c r="A2" s="40" t="s">
        <v>0</v>
      </c>
      <c r="B2" s="234" t="s">
        <v>74</v>
      </c>
      <c r="C2" s="234"/>
      <c r="D2" s="234"/>
      <c r="F2" s="2"/>
      <c r="G2" s="235" t="s">
        <v>1</v>
      </c>
      <c r="H2" s="235"/>
      <c r="I2" s="3">
        <v>25000</v>
      </c>
    </row>
    <row r="3" spans="1:16" x14ac:dyDescent="0.3">
      <c r="A3" s="40" t="s">
        <v>2</v>
      </c>
      <c r="B3" s="4"/>
      <c r="D3" s="4"/>
      <c r="E3" s="1"/>
      <c r="F3" s="1"/>
      <c r="G3" s="5"/>
      <c r="H3" s="1" t="s">
        <v>3</v>
      </c>
      <c r="I3" s="9" t="s">
        <v>75</v>
      </c>
    </row>
    <row r="4" spans="1:16" x14ac:dyDescent="0.3">
      <c r="A4" s="40" t="s">
        <v>4</v>
      </c>
      <c r="B4" s="6"/>
      <c r="D4" s="6"/>
      <c r="E4" s="235" t="s">
        <v>5</v>
      </c>
      <c r="F4" s="235"/>
      <c r="G4" s="235"/>
      <c r="H4" s="235"/>
      <c r="I4" s="7">
        <v>1.4999999999999999E-2</v>
      </c>
    </row>
    <row r="5" spans="1:16" ht="15" thickBot="1" x14ac:dyDescent="0.35">
      <c r="A5" s="40" t="s">
        <v>6</v>
      </c>
      <c r="B5" s="236"/>
      <c r="C5" s="236"/>
      <c r="D5" s="237" t="s">
        <v>7</v>
      </c>
      <c r="E5" s="237"/>
      <c r="F5" s="237"/>
      <c r="G5" s="237"/>
      <c r="H5" s="237"/>
      <c r="I5" s="6">
        <v>12</v>
      </c>
    </row>
    <row r="6" spans="1:16" ht="87" thickBot="1" x14ac:dyDescent="0.35">
      <c r="A6" s="11" t="s">
        <v>8</v>
      </c>
      <c r="B6" s="11" t="s">
        <v>9</v>
      </c>
      <c r="C6" s="11" t="s">
        <v>10</v>
      </c>
      <c r="D6" s="12" t="s">
        <v>11</v>
      </c>
      <c r="E6" s="13" t="s">
        <v>12</v>
      </c>
      <c r="F6" s="14" t="s">
        <v>13</v>
      </c>
      <c r="G6" s="14" t="s">
        <v>14</v>
      </c>
      <c r="H6" s="14" t="s">
        <v>15</v>
      </c>
      <c r="I6" s="15" t="s">
        <v>16</v>
      </c>
    </row>
    <row r="7" spans="1:16" x14ac:dyDescent="0.3">
      <c r="A7" s="16" t="s">
        <v>17</v>
      </c>
      <c r="B7" s="17">
        <f>I2</f>
        <v>25000</v>
      </c>
      <c r="C7" s="17">
        <f>I2/I5</f>
        <v>2083.3333333333335</v>
      </c>
      <c r="D7" s="17">
        <f>(B7*0.015)</f>
        <v>375</v>
      </c>
      <c r="E7" s="17">
        <f>$C$7+D7</f>
        <v>2458.3333333333335</v>
      </c>
      <c r="F7" s="17"/>
      <c r="G7" s="17"/>
      <c r="H7" s="18"/>
      <c r="I7" s="19"/>
      <c r="N7" s="37"/>
      <c r="O7" s="28"/>
      <c r="P7" s="34"/>
    </row>
    <row r="8" spans="1:16" x14ac:dyDescent="0.3">
      <c r="A8" s="20" t="s">
        <v>18</v>
      </c>
      <c r="B8" s="35">
        <v>22917</v>
      </c>
      <c r="C8" s="8">
        <f>$C$7</f>
        <v>2083.3333333333335</v>
      </c>
      <c r="D8" s="8">
        <f t="shared" ref="D8:D18" si="0">(B8*0.015)</f>
        <v>343.755</v>
      </c>
      <c r="E8" s="8">
        <f t="shared" ref="E8:E18" si="1">$C$7+D8</f>
        <v>2427.0883333333336</v>
      </c>
      <c r="F8" s="8"/>
      <c r="G8" s="8"/>
      <c r="H8" s="10"/>
      <c r="I8" s="21"/>
      <c r="N8" s="37"/>
      <c r="O8" s="28"/>
      <c r="P8" s="34"/>
    </row>
    <row r="9" spans="1:16" x14ac:dyDescent="0.3">
      <c r="A9" s="20" t="s">
        <v>19</v>
      </c>
      <c r="B9" s="35">
        <v>20833.669999999998</v>
      </c>
      <c r="C9" s="8">
        <f t="shared" ref="C9:C18" si="2">$C$7</f>
        <v>2083.3333333333335</v>
      </c>
      <c r="D9" s="8">
        <f t="shared" si="0"/>
        <v>312.50504999999998</v>
      </c>
      <c r="E9" s="8">
        <f t="shared" si="1"/>
        <v>2395.8383833333337</v>
      </c>
      <c r="F9" s="8"/>
      <c r="G9" s="8"/>
      <c r="H9" s="10"/>
      <c r="I9" s="21"/>
      <c r="N9" s="37"/>
      <c r="O9" s="28"/>
      <c r="P9" s="34"/>
    </row>
    <row r="10" spans="1:16" x14ac:dyDescent="0.3">
      <c r="A10" s="20" t="s">
        <v>20</v>
      </c>
      <c r="B10" s="35">
        <v>18750.34</v>
      </c>
      <c r="C10" s="8">
        <f t="shared" si="2"/>
        <v>2083.3333333333335</v>
      </c>
      <c r="D10" s="8">
        <f t="shared" si="0"/>
        <v>281.25509999999997</v>
      </c>
      <c r="E10" s="8">
        <f t="shared" si="1"/>
        <v>2364.5884333333333</v>
      </c>
      <c r="F10" s="8"/>
      <c r="G10" s="8"/>
      <c r="H10" s="10"/>
      <c r="I10" s="21"/>
      <c r="N10" s="37"/>
      <c r="O10" s="28"/>
      <c r="P10" s="34"/>
    </row>
    <row r="11" spans="1:16" x14ac:dyDescent="0.3">
      <c r="A11" s="20" t="s">
        <v>21</v>
      </c>
      <c r="B11" s="36">
        <v>16667.009999999998</v>
      </c>
      <c r="C11" s="8">
        <f t="shared" si="2"/>
        <v>2083.3333333333335</v>
      </c>
      <c r="D11" s="8">
        <f t="shared" si="0"/>
        <v>250.00514999999996</v>
      </c>
      <c r="E11" s="8">
        <f t="shared" si="1"/>
        <v>2333.3384833333334</v>
      </c>
      <c r="F11" s="8"/>
      <c r="G11" s="8"/>
      <c r="H11" s="10"/>
      <c r="I11" s="21"/>
      <c r="N11" s="34"/>
      <c r="O11" s="28"/>
      <c r="P11" s="34"/>
    </row>
    <row r="12" spans="1:16" x14ac:dyDescent="0.3">
      <c r="A12" s="20" t="s">
        <v>23</v>
      </c>
      <c r="B12" s="35">
        <v>14583.68</v>
      </c>
      <c r="C12" s="8">
        <f t="shared" si="2"/>
        <v>2083.3333333333335</v>
      </c>
      <c r="D12" s="8">
        <f t="shared" si="0"/>
        <v>218.7552</v>
      </c>
      <c r="E12" s="8">
        <f t="shared" si="1"/>
        <v>2302.0885333333335</v>
      </c>
      <c r="F12" s="8"/>
      <c r="G12" s="8"/>
      <c r="H12" s="10"/>
      <c r="I12" s="21"/>
      <c r="N12" s="37"/>
      <c r="O12" s="28"/>
      <c r="P12" s="34"/>
    </row>
    <row r="13" spans="1:16" x14ac:dyDescent="0.3">
      <c r="A13" s="20" t="s">
        <v>24</v>
      </c>
      <c r="B13" s="35">
        <v>12500.35</v>
      </c>
      <c r="C13" s="8">
        <f t="shared" si="2"/>
        <v>2083.3333333333335</v>
      </c>
      <c r="D13" s="8">
        <f t="shared" si="0"/>
        <v>187.50524999999999</v>
      </c>
      <c r="E13" s="8">
        <f t="shared" si="1"/>
        <v>2270.8385833333336</v>
      </c>
      <c r="F13" s="8"/>
      <c r="G13" s="8"/>
      <c r="H13" s="10"/>
      <c r="I13" s="21"/>
      <c r="N13" s="37"/>
      <c r="O13" s="28"/>
      <c r="P13" s="34"/>
    </row>
    <row r="14" spans="1:16" x14ac:dyDescent="0.3">
      <c r="A14" s="20" t="s">
        <v>25</v>
      </c>
      <c r="B14" s="35">
        <v>10417.02</v>
      </c>
      <c r="C14" s="8">
        <f t="shared" si="2"/>
        <v>2083.3333333333335</v>
      </c>
      <c r="D14" s="8">
        <f t="shared" si="0"/>
        <v>156.25530000000001</v>
      </c>
      <c r="E14" s="8">
        <f t="shared" si="1"/>
        <v>2239.5886333333333</v>
      </c>
      <c r="F14" s="8"/>
      <c r="G14" s="8"/>
      <c r="H14" s="10"/>
      <c r="I14" s="21"/>
      <c r="N14" s="37"/>
      <c r="O14" s="28"/>
      <c r="P14" s="34"/>
    </row>
    <row r="15" spans="1:16" x14ac:dyDescent="0.3">
      <c r="A15" s="20" t="s">
        <v>26</v>
      </c>
      <c r="B15" s="35">
        <v>8333.69</v>
      </c>
      <c r="C15" s="8">
        <f t="shared" si="2"/>
        <v>2083.3333333333335</v>
      </c>
      <c r="D15" s="8">
        <f t="shared" si="0"/>
        <v>125.00535000000001</v>
      </c>
      <c r="E15" s="8">
        <f t="shared" si="1"/>
        <v>2208.3386833333334</v>
      </c>
      <c r="F15" s="8"/>
      <c r="G15" s="8"/>
      <c r="H15" s="10"/>
      <c r="I15" s="21"/>
      <c r="N15" s="37"/>
      <c r="O15" s="28"/>
      <c r="P15" s="34"/>
    </row>
    <row r="16" spans="1:16" x14ac:dyDescent="0.3">
      <c r="A16" s="20" t="s">
        <v>27</v>
      </c>
      <c r="B16" s="35">
        <v>6250.36</v>
      </c>
      <c r="C16" s="8">
        <f t="shared" si="2"/>
        <v>2083.3333333333335</v>
      </c>
      <c r="D16" s="8">
        <f t="shared" si="0"/>
        <v>93.755399999999995</v>
      </c>
      <c r="E16" s="8">
        <f t="shared" si="1"/>
        <v>2177.0887333333335</v>
      </c>
      <c r="F16" s="8"/>
      <c r="G16" s="8"/>
      <c r="H16" s="10"/>
      <c r="I16" s="21"/>
      <c r="N16" s="37"/>
      <c r="O16" s="28"/>
      <c r="P16" s="34"/>
    </row>
    <row r="17" spans="1:16" x14ac:dyDescent="0.3">
      <c r="A17" s="20" t="s">
        <v>28</v>
      </c>
      <c r="B17" s="35">
        <v>4167.3599999999997</v>
      </c>
      <c r="C17" s="8">
        <f t="shared" si="2"/>
        <v>2083.3333333333335</v>
      </c>
      <c r="D17" s="8">
        <f t="shared" si="0"/>
        <v>62.51039999999999</v>
      </c>
      <c r="E17" s="8">
        <f t="shared" si="1"/>
        <v>2145.8437333333336</v>
      </c>
      <c r="F17" s="8"/>
      <c r="G17" s="8"/>
      <c r="H17" s="10"/>
      <c r="I17" s="21"/>
      <c r="N17" s="37"/>
      <c r="O17" s="28"/>
      <c r="P17" s="34"/>
    </row>
    <row r="18" spans="1:16" x14ac:dyDescent="0.3">
      <c r="A18" s="20" t="s">
        <v>29</v>
      </c>
      <c r="B18" s="35">
        <v>2083</v>
      </c>
      <c r="C18" s="8">
        <f t="shared" si="2"/>
        <v>2083.3333333333335</v>
      </c>
      <c r="D18" s="8">
        <f t="shared" si="0"/>
        <v>31.244999999999997</v>
      </c>
      <c r="E18" s="8">
        <f t="shared" si="1"/>
        <v>2114.5783333333334</v>
      </c>
      <c r="F18" s="8"/>
      <c r="G18" s="8"/>
      <c r="H18" s="10"/>
      <c r="I18" s="21" t="s">
        <v>42</v>
      </c>
      <c r="N18" s="37"/>
      <c r="O18" s="28"/>
      <c r="P18" s="34"/>
    </row>
    <row r="19" spans="1:16" x14ac:dyDescent="0.3">
      <c r="B19" s="33"/>
      <c r="E19" s="38"/>
      <c r="N19" s="37"/>
    </row>
  </sheetData>
  <mergeCells count="5">
    <mergeCell ref="B2:D2"/>
    <mergeCell ref="G2:H2"/>
    <mergeCell ref="E4:H4"/>
    <mergeCell ref="B5:C5"/>
    <mergeCell ref="D5:H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DB66-78D7-488A-9E6C-0796223450FD}">
  <dimension ref="A1:T72"/>
  <sheetViews>
    <sheetView workbookViewId="0">
      <selection activeCell="K1" sqref="K1:S15"/>
    </sheetView>
  </sheetViews>
  <sheetFormatPr defaultRowHeight="14.4" x14ac:dyDescent="0.3"/>
  <cols>
    <col min="1" max="1" width="19.5546875" customWidth="1"/>
    <col min="2" max="3" width="9.88671875" customWidth="1"/>
    <col min="4" max="4" width="10" customWidth="1"/>
    <col min="5" max="5" width="9.44140625" customWidth="1"/>
    <col min="10" max="10" width="4.88671875" customWidth="1"/>
    <col min="11" max="11" width="11.6640625" customWidth="1"/>
    <col min="19" max="19" width="8.21875" customWidth="1"/>
  </cols>
  <sheetData>
    <row r="1" spans="1:20" x14ac:dyDescent="0.3">
      <c r="A1" s="53" t="s">
        <v>0</v>
      </c>
      <c r="B1" s="39" t="s">
        <v>45</v>
      </c>
      <c r="C1" s="39"/>
      <c r="D1" s="39"/>
      <c r="E1" s="54"/>
      <c r="F1" s="55"/>
      <c r="H1" s="58" t="s">
        <v>1</v>
      </c>
      <c r="I1" s="56">
        <v>30000</v>
      </c>
      <c r="J1" s="54"/>
      <c r="K1" s="53" t="s">
        <v>0</v>
      </c>
      <c r="M1" s="39" t="s">
        <v>73</v>
      </c>
      <c r="N1" s="39"/>
      <c r="O1" s="54"/>
      <c r="P1" s="55"/>
      <c r="R1" s="58" t="s">
        <v>1</v>
      </c>
      <c r="S1" s="56">
        <v>30000</v>
      </c>
      <c r="T1" s="54"/>
    </row>
    <row r="2" spans="1:20" x14ac:dyDescent="0.3">
      <c r="A2" s="53" t="s">
        <v>2</v>
      </c>
      <c r="B2" s="57"/>
      <c r="C2" s="54"/>
      <c r="D2" s="57"/>
      <c r="E2" s="58"/>
      <c r="F2" s="58"/>
      <c r="G2" s="59"/>
      <c r="H2" s="58" t="s">
        <v>3</v>
      </c>
      <c r="I2" s="60" t="s">
        <v>46</v>
      </c>
      <c r="J2" s="54"/>
      <c r="K2" s="53" t="s">
        <v>2</v>
      </c>
      <c r="L2" s="57"/>
      <c r="M2" s="54"/>
      <c r="N2" s="57"/>
      <c r="O2" s="58"/>
      <c r="P2" s="58"/>
      <c r="Q2" s="59"/>
      <c r="R2" s="58" t="s">
        <v>3</v>
      </c>
      <c r="S2" s="60" t="s">
        <v>72</v>
      </c>
      <c r="T2" s="54"/>
    </row>
    <row r="3" spans="1:20" x14ac:dyDescent="0.3">
      <c r="A3" s="53" t="s">
        <v>4</v>
      </c>
      <c r="B3" s="39"/>
      <c r="C3" s="54"/>
      <c r="D3" s="39"/>
      <c r="F3" s="58"/>
      <c r="G3" s="58"/>
      <c r="H3" s="58" t="s">
        <v>5</v>
      </c>
      <c r="I3" s="61">
        <v>1.4999999999999999E-2</v>
      </c>
      <c r="J3" s="54"/>
      <c r="K3" s="53" t="s">
        <v>4</v>
      </c>
      <c r="L3" s="39"/>
      <c r="M3" s="54"/>
      <c r="N3" s="39"/>
      <c r="O3" s="58"/>
      <c r="P3" s="58"/>
      <c r="Q3" s="58"/>
      <c r="R3" s="58" t="s">
        <v>5</v>
      </c>
      <c r="S3" s="61">
        <v>1.4999999999999999E-2</v>
      </c>
      <c r="T3" s="54"/>
    </row>
    <row r="4" spans="1:20" ht="15" thickBot="1" x14ac:dyDescent="0.35">
      <c r="A4" s="53" t="s">
        <v>6</v>
      </c>
      <c r="B4" s="75"/>
      <c r="E4" s="76"/>
      <c r="F4" s="76"/>
      <c r="G4" s="75"/>
      <c r="H4" s="76" t="s">
        <v>7</v>
      </c>
      <c r="I4" s="39">
        <v>10</v>
      </c>
      <c r="J4" s="54"/>
      <c r="K4" s="53" t="s">
        <v>6</v>
      </c>
      <c r="L4" s="75"/>
      <c r="M4" s="75"/>
      <c r="N4" s="76"/>
      <c r="O4" s="76"/>
      <c r="P4" s="76"/>
      <c r="Q4" s="75"/>
      <c r="R4" s="76" t="s">
        <v>7</v>
      </c>
      <c r="S4" s="39">
        <v>10</v>
      </c>
      <c r="T4" s="54"/>
    </row>
    <row r="5" spans="1:20" ht="60.6" thickBot="1" x14ac:dyDescent="0.35">
      <c r="A5" s="62" t="s">
        <v>8</v>
      </c>
      <c r="B5" s="62" t="s">
        <v>9</v>
      </c>
      <c r="C5" s="62" t="s">
        <v>10</v>
      </c>
      <c r="D5" s="63" t="s">
        <v>11</v>
      </c>
      <c r="E5" s="64" t="s">
        <v>12</v>
      </c>
      <c r="F5" s="65" t="s">
        <v>13</v>
      </c>
      <c r="G5" s="65" t="s">
        <v>14</v>
      </c>
      <c r="H5" s="65" t="s">
        <v>15</v>
      </c>
      <c r="I5" s="66" t="s">
        <v>16</v>
      </c>
      <c r="J5" s="54"/>
      <c r="K5" s="62" t="s">
        <v>8</v>
      </c>
      <c r="L5" s="62" t="s">
        <v>9</v>
      </c>
      <c r="M5" s="62" t="s">
        <v>10</v>
      </c>
      <c r="N5" s="63" t="s">
        <v>11</v>
      </c>
      <c r="O5" s="64" t="s">
        <v>12</v>
      </c>
      <c r="P5" s="65" t="s">
        <v>13</v>
      </c>
      <c r="Q5" s="65" t="s">
        <v>14</v>
      </c>
      <c r="R5" s="65" t="s">
        <v>15</v>
      </c>
      <c r="S5" s="66" t="s">
        <v>16</v>
      </c>
      <c r="T5" s="54"/>
    </row>
    <row r="6" spans="1:20" x14ac:dyDescent="0.3">
      <c r="A6" s="67" t="s">
        <v>17</v>
      </c>
      <c r="B6" s="68">
        <f>I1</f>
        <v>30000</v>
      </c>
      <c r="C6" s="68">
        <f>I1/I4</f>
        <v>3000</v>
      </c>
      <c r="D6" s="68">
        <f t="shared" ref="D6:D15" si="0">(B6*0.015)</f>
        <v>450</v>
      </c>
      <c r="E6" s="68">
        <f t="shared" ref="E6:E15" si="1">$C$6+D6</f>
        <v>3450</v>
      </c>
      <c r="F6" s="68"/>
      <c r="G6" s="68"/>
      <c r="H6" s="69"/>
      <c r="I6" s="70"/>
      <c r="J6" s="54"/>
      <c r="K6" s="67" t="s">
        <v>17</v>
      </c>
      <c r="L6" s="68">
        <f>S1</f>
        <v>30000</v>
      </c>
      <c r="M6" s="68">
        <f>S1/S4</f>
        <v>3000</v>
      </c>
      <c r="N6" s="68">
        <f t="shared" ref="N6:N15" si="2">(L6*0.015)</f>
        <v>450</v>
      </c>
      <c r="O6" s="68">
        <f t="shared" ref="O6:O15" si="3">$C$6+N6</f>
        <v>3450</v>
      </c>
      <c r="P6" s="68"/>
      <c r="Q6" s="68"/>
      <c r="R6" s="69"/>
      <c r="S6" s="70"/>
      <c r="T6" s="54"/>
    </row>
    <row r="7" spans="1:20" x14ac:dyDescent="0.3">
      <c r="A7" s="71" t="s">
        <v>18</v>
      </c>
      <c r="B7" s="72">
        <v>27000</v>
      </c>
      <c r="C7" s="72">
        <f t="shared" ref="C7:C15" si="4">$C$6</f>
        <v>3000</v>
      </c>
      <c r="D7" s="72">
        <f t="shared" si="0"/>
        <v>405</v>
      </c>
      <c r="E7" s="72">
        <f t="shared" si="1"/>
        <v>3405</v>
      </c>
      <c r="F7" s="72"/>
      <c r="G7" s="72"/>
      <c r="H7" s="73"/>
      <c r="I7" s="74"/>
      <c r="J7" s="54"/>
      <c r="K7" s="71" t="s">
        <v>18</v>
      </c>
      <c r="L7" s="72">
        <v>27000</v>
      </c>
      <c r="M7" s="72">
        <f t="shared" ref="M7:M15" si="5">$C$6</f>
        <v>3000</v>
      </c>
      <c r="N7" s="72">
        <f t="shared" si="2"/>
        <v>405</v>
      </c>
      <c r="O7" s="72">
        <f t="shared" si="3"/>
        <v>3405</v>
      </c>
      <c r="P7" s="72"/>
      <c r="Q7" s="72"/>
      <c r="R7" s="73"/>
      <c r="S7" s="74"/>
      <c r="T7" s="54"/>
    </row>
    <row r="8" spans="1:20" x14ac:dyDescent="0.3">
      <c r="A8" s="71" t="s">
        <v>19</v>
      </c>
      <c r="B8" s="72">
        <v>24000</v>
      </c>
      <c r="C8" s="72">
        <f t="shared" si="4"/>
        <v>3000</v>
      </c>
      <c r="D8" s="72">
        <f t="shared" si="0"/>
        <v>360</v>
      </c>
      <c r="E8" s="72">
        <f t="shared" si="1"/>
        <v>3360</v>
      </c>
      <c r="F8" s="72"/>
      <c r="G8" s="72"/>
      <c r="H8" s="73"/>
      <c r="I8" s="74"/>
      <c r="J8" s="54"/>
      <c r="K8" s="71" t="s">
        <v>19</v>
      </c>
      <c r="L8" s="72">
        <v>24000</v>
      </c>
      <c r="M8" s="72">
        <f t="shared" si="5"/>
        <v>3000</v>
      </c>
      <c r="N8" s="72">
        <f t="shared" si="2"/>
        <v>360</v>
      </c>
      <c r="O8" s="72">
        <f t="shared" si="3"/>
        <v>3360</v>
      </c>
      <c r="P8" s="72"/>
      <c r="Q8" s="72"/>
      <c r="R8" s="73"/>
      <c r="S8" s="74"/>
      <c r="T8" s="54"/>
    </row>
    <row r="9" spans="1:20" x14ac:dyDescent="0.3">
      <c r="A9" s="71" t="s">
        <v>20</v>
      </c>
      <c r="B9" s="72">
        <v>21000</v>
      </c>
      <c r="C9" s="72">
        <f t="shared" si="4"/>
        <v>3000</v>
      </c>
      <c r="D9" s="72">
        <f t="shared" si="0"/>
        <v>315</v>
      </c>
      <c r="E9" s="72">
        <f t="shared" si="1"/>
        <v>3315</v>
      </c>
      <c r="F9" s="72"/>
      <c r="G9" s="72"/>
      <c r="H9" s="73"/>
      <c r="I9" s="74"/>
      <c r="J9" s="54"/>
      <c r="K9" s="71" t="s">
        <v>20</v>
      </c>
      <c r="L9" s="72">
        <v>21000</v>
      </c>
      <c r="M9" s="72">
        <f t="shared" si="5"/>
        <v>3000</v>
      </c>
      <c r="N9" s="72">
        <f t="shared" si="2"/>
        <v>315</v>
      </c>
      <c r="O9" s="72">
        <f t="shared" si="3"/>
        <v>3315</v>
      </c>
      <c r="P9" s="72"/>
      <c r="Q9" s="72"/>
      <c r="R9" s="73"/>
      <c r="S9" s="74"/>
      <c r="T9" s="54"/>
    </row>
    <row r="10" spans="1:20" x14ac:dyDescent="0.3">
      <c r="A10" s="71" t="s">
        <v>21</v>
      </c>
      <c r="B10" s="72">
        <v>18000</v>
      </c>
      <c r="C10" s="72">
        <f t="shared" si="4"/>
        <v>3000</v>
      </c>
      <c r="D10" s="72">
        <f t="shared" si="0"/>
        <v>270</v>
      </c>
      <c r="E10" s="72">
        <f t="shared" si="1"/>
        <v>3270</v>
      </c>
      <c r="F10" s="72"/>
      <c r="G10" s="72"/>
      <c r="H10" s="73"/>
      <c r="I10" s="74"/>
      <c r="J10" s="54"/>
      <c r="K10" s="71" t="s">
        <v>21</v>
      </c>
      <c r="L10" s="72">
        <v>18000</v>
      </c>
      <c r="M10" s="72">
        <f t="shared" si="5"/>
        <v>3000</v>
      </c>
      <c r="N10" s="72">
        <f t="shared" si="2"/>
        <v>270</v>
      </c>
      <c r="O10" s="72">
        <f t="shared" si="3"/>
        <v>3270</v>
      </c>
      <c r="P10" s="72"/>
      <c r="Q10" s="72"/>
      <c r="R10" s="73"/>
      <c r="S10" s="74"/>
      <c r="T10" s="54"/>
    </row>
    <row r="11" spans="1:20" x14ac:dyDescent="0.3">
      <c r="A11" s="71" t="s">
        <v>23</v>
      </c>
      <c r="B11" s="72">
        <v>15000</v>
      </c>
      <c r="C11" s="72">
        <f t="shared" si="4"/>
        <v>3000</v>
      </c>
      <c r="D11" s="72">
        <f t="shared" si="0"/>
        <v>225</v>
      </c>
      <c r="E11" s="72">
        <f t="shared" si="1"/>
        <v>3225</v>
      </c>
      <c r="F11" s="72"/>
      <c r="G11" s="72"/>
      <c r="H11" s="73"/>
      <c r="I11" s="74"/>
      <c r="J11" s="54"/>
      <c r="K11" s="71" t="s">
        <v>23</v>
      </c>
      <c r="L11" s="72">
        <v>15000</v>
      </c>
      <c r="M11" s="72">
        <f t="shared" si="5"/>
        <v>3000</v>
      </c>
      <c r="N11" s="72">
        <f t="shared" si="2"/>
        <v>225</v>
      </c>
      <c r="O11" s="72">
        <f t="shared" si="3"/>
        <v>3225</v>
      </c>
      <c r="P11" s="72"/>
      <c r="Q11" s="72"/>
      <c r="R11" s="73"/>
      <c r="S11" s="74"/>
      <c r="T11" s="54"/>
    </row>
    <row r="12" spans="1:20" x14ac:dyDescent="0.3">
      <c r="A12" s="71" t="s">
        <v>24</v>
      </c>
      <c r="B12" s="72">
        <v>12000</v>
      </c>
      <c r="C12" s="72">
        <f t="shared" si="4"/>
        <v>3000</v>
      </c>
      <c r="D12" s="72">
        <f t="shared" si="0"/>
        <v>180</v>
      </c>
      <c r="E12" s="72">
        <f t="shared" si="1"/>
        <v>3180</v>
      </c>
      <c r="F12" s="72"/>
      <c r="G12" s="72"/>
      <c r="H12" s="73"/>
      <c r="I12" s="74"/>
      <c r="J12" s="54"/>
      <c r="K12" s="71" t="s">
        <v>24</v>
      </c>
      <c r="L12" s="72">
        <v>12000</v>
      </c>
      <c r="M12" s="72">
        <f t="shared" si="5"/>
        <v>3000</v>
      </c>
      <c r="N12" s="72">
        <f t="shared" si="2"/>
        <v>180</v>
      </c>
      <c r="O12" s="72">
        <f t="shared" si="3"/>
        <v>3180</v>
      </c>
      <c r="P12" s="72"/>
      <c r="Q12" s="72"/>
      <c r="R12" s="73"/>
      <c r="S12" s="74"/>
      <c r="T12" s="54"/>
    </row>
    <row r="13" spans="1:20" x14ac:dyDescent="0.3">
      <c r="A13" s="71" t="s">
        <v>25</v>
      </c>
      <c r="B13" s="72">
        <v>9000</v>
      </c>
      <c r="C13" s="72">
        <f t="shared" si="4"/>
        <v>3000</v>
      </c>
      <c r="D13" s="72">
        <f t="shared" si="0"/>
        <v>135</v>
      </c>
      <c r="E13" s="72">
        <f t="shared" si="1"/>
        <v>3135</v>
      </c>
      <c r="F13" s="72"/>
      <c r="G13" s="72"/>
      <c r="H13" s="73"/>
      <c r="I13" s="74"/>
      <c r="J13" s="54"/>
      <c r="K13" s="71" t="s">
        <v>25</v>
      </c>
      <c r="L13" s="72">
        <v>9000</v>
      </c>
      <c r="M13" s="72">
        <f t="shared" si="5"/>
        <v>3000</v>
      </c>
      <c r="N13" s="72">
        <f t="shared" si="2"/>
        <v>135</v>
      </c>
      <c r="O13" s="72">
        <f t="shared" si="3"/>
        <v>3135</v>
      </c>
      <c r="P13" s="72"/>
      <c r="Q13" s="72"/>
      <c r="R13" s="73"/>
      <c r="S13" s="74"/>
      <c r="T13" s="54"/>
    </row>
    <row r="14" spans="1:20" x14ac:dyDescent="0.3">
      <c r="A14" s="71" t="s">
        <v>26</v>
      </c>
      <c r="B14" s="72">
        <v>6000</v>
      </c>
      <c r="C14" s="72">
        <f t="shared" si="4"/>
        <v>3000</v>
      </c>
      <c r="D14" s="72">
        <f t="shared" si="0"/>
        <v>90</v>
      </c>
      <c r="E14" s="72">
        <f t="shared" si="1"/>
        <v>3090</v>
      </c>
      <c r="F14" s="72"/>
      <c r="G14" s="72"/>
      <c r="H14" s="73"/>
      <c r="I14" s="74"/>
      <c r="J14" s="54"/>
      <c r="K14" s="71" t="s">
        <v>26</v>
      </c>
      <c r="L14" s="72">
        <v>6000</v>
      </c>
      <c r="M14" s="72">
        <f t="shared" si="5"/>
        <v>3000</v>
      </c>
      <c r="N14" s="72">
        <f t="shared" si="2"/>
        <v>90</v>
      </c>
      <c r="O14" s="72">
        <f t="shared" si="3"/>
        <v>3090</v>
      </c>
      <c r="P14" s="72"/>
      <c r="Q14" s="72"/>
      <c r="R14" s="73"/>
      <c r="S14" s="74"/>
      <c r="T14" s="54"/>
    </row>
    <row r="15" spans="1:20" x14ac:dyDescent="0.3">
      <c r="A15" s="107" t="s">
        <v>27</v>
      </c>
      <c r="B15" s="72">
        <v>3000</v>
      </c>
      <c r="C15" s="72">
        <f t="shared" si="4"/>
        <v>3000</v>
      </c>
      <c r="D15" s="72">
        <f t="shared" si="0"/>
        <v>45</v>
      </c>
      <c r="E15" s="72">
        <f t="shared" si="1"/>
        <v>3045</v>
      </c>
      <c r="F15" s="72"/>
      <c r="G15" s="72"/>
      <c r="H15" s="73"/>
      <c r="I15" s="108" t="s">
        <v>42</v>
      </c>
      <c r="J15" s="54"/>
      <c r="K15" s="107" t="s">
        <v>27</v>
      </c>
      <c r="L15" s="72">
        <v>3000</v>
      </c>
      <c r="M15" s="72">
        <f t="shared" si="5"/>
        <v>3000</v>
      </c>
      <c r="N15" s="72">
        <f t="shared" si="2"/>
        <v>45</v>
      </c>
      <c r="O15" s="72">
        <f t="shared" si="3"/>
        <v>3045</v>
      </c>
      <c r="P15" s="72"/>
      <c r="Q15" s="72"/>
      <c r="R15" s="73"/>
      <c r="S15" s="108" t="s">
        <v>42</v>
      </c>
      <c r="T15" s="54"/>
    </row>
    <row r="16" spans="1:20" x14ac:dyDescent="0.3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</row>
    <row r="17" spans="1:20" x14ac:dyDescent="0.3">
      <c r="A17" s="58"/>
      <c r="B17" s="109"/>
      <c r="C17" s="109"/>
      <c r="D17" s="109"/>
      <c r="E17" s="109"/>
      <c r="F17" s="109"/>
      <c r="G17" s="109"/>
      <c r="H17" s="110"/>
      <c r="I17" s="111"/>
      <c r="J17" s="54"/>
      <c r="K17" s="58"/>
      <c r="L17" s="109"/>
      <c r="M17" s="109"/>
      <c r="N17" s="109"/>
      <c r="O17" s="109"/>
      <c r="P17" s="109"/>
      <c r="Q17" s="109"/>
      <c r="R17" s="110"/>
      <c r="S17" s="111"/>
      <c r="T17" s="54"/>
    </row>
    <row r="18" spans="1:20" x14ac:dyDescent="0.3">
      <c r="A18" s="1"/>
      <c r="B18" s="28"/>
      <c r="C18" s="28"/>
      <c r="D18" s="28"/>
      <c r="E18" s="28"/>
      <c r="F18" s="28"/>
      <c r="G18" s="28"/>
      <c r="H18" s="29"/>
      <c r="I18" s="30"/>
      <c r="K18" s="1"/>
      <c r="L18" s="28"/>
      <c r="M18" s="28"/>
      <c r="N18" s="28"/>
      <c r="O18" s="28"/>
      <c r="P18" s="28"/>
      <c r="Q18" s="28"/>
      <c r="R18" s="29"/>
      <c r="S18" s="30"/>
    </row>
    <row r="19" spans="1:20" x14ac:dyDescent="0.3">
      <c r="K19" s="1"/>
      <c r="L19" s="28"/>
      <c r="M19" s="28"/>
      <c r="N19" s="28"/>
      <c r="O19" s="28"/>
      <c r="P19" s="28"/>
      <c r="Q19" s="28"/>
      <c r="R19" s="29"/>
      <c r="S19" s="30"/>
    </row>
    <row r="36" spans="1:19" x14ac:dyDescent="0.3">
      <c r="A36" s="53" t="s">
        <v>0</v>
      </c>
      <c r="B36" s="39" t="s">
        <v>103</v>
      </c>
      <c r="C36" s="39"/>
      <c r="D36" s="39"/>
      <c r="E36" s="54"/>
      <c r="F36" s="55"/>
      <c r="H36" s="58" t="s">
        <v>1</v>
      </c>
      <c r="I36" s="56">
        <v>30000</v>
      </c>
      <c r="K36" s="40" t="s">
        <v>0</v>
      </c>
      <c r="L36" s="39" t="s">
        <v>56</v>
      </c>
      <c r="M36" s="6"/>
      <c r="N36" s="6"/>
      <c r="R36" s="58" t="s">
        <v>1</v>
      </c>
      <c r="S36" s="3">
        <v>30000</v>
      </c>
    </row>
    <row r="37" spans="1:19" x14ac:dyDescent="0.3">
      <c r="A37" s="53" t="s">
        <v>2</v>
      </c>
      <c r="B37" s="57"/>
      <c r="C37" s="54"/>
      <c r="D37" s="57"/>
      <c r="E37" s="58"/>
      <c r="F37" s="58"/>
      <c r="G37" s="59"/>
      <c r="H37" s="58" t="s">
        <v>3</v>
      </c>
      <c r="I37" s="60" t="s">
        <v>79</v>
      </c>
      <c r="K37" s="40" t="s">
        <v>2</v>
      </c>
      <c r="L37" s="4"/>
      <c r="N37" s="4"/>
      <c r="O37" s="1"/>
      <c r="P37" s="1"/>
      <c r="R37" s="58" t="s">
        <v>3</v>
      </c>
      <c r="S37" s="9" t="s">
        <v>80</v>
      </c>
    </row>
    <row r="38" spans="1:19" x14ac:dyDescent="0.3">
      <c r="A38" s="53" t="s">
        <v>4</v>
      </c>
      <c r="B38" s="39"/>
      <c r="C38" s="54"/>
      <c r="D38" s="39"/>
      <c r="E38" s="58"/>
      <c r="F38" s="58"/>
      <c r="G38" s="58"/>
      <c r="H38" s="58" t="s">
        <v>5</v>
      </c>
      <c r="I38" s="61">
        <v>1.4999999999999999E-2</v>
      </c>
      <c r="J38" s="54"/>
      <c r="K38" s="53" t="s">
        <v>4</v>
      </c>
      <c r="L38" s="39"/>
      <c r="M38" s="54"/>
      <c r="N38" s="39"/>
      <c r="O38" s="58"/>
      <c r="P38" s="58"/>
      <c r="Q38" s="54"/>
      <c r="R38" s="58" t="s">
        <v>5</v>
      </c>
      <c r="S38" s="61">
        <v>1.4999999999999999E-2</v>
      </c>
    </row>
    <row r="39" spans="1:19" ht="15" thickBot="1" x14ac:dyDescent="0.35">
      <c r="A39" s="53" t="s">
        <v>6</v>
      </c>
      <c r="B39" s="75"/>
      <c r="C39" s="75"/>
      <c r="D39" s="76"/>
      <c r="E39" s="76"/>
      <c r="F39" s="76"/>
      <c r="G39" s="75"/>
      <c r="H39" s="76" t="s">
        <v>7</v>
      </c>
      <c r="I39" s="39">
        <v>10</v>
      </c>
      <c r="J39" s="54"/>
      <c r="K39" s="53" t="s">
        <v>6</v>
      </c>
      <c r="L39" s="75"/>
      <c r="M39" s="75"/>
      <c r="N39" s="76"/>
      <c r="O39" s="76"/>
      <c r="P39" s="76"/>
      <c r="Q39" s="54"/>
      <c r="R39" s="76" t="s">
        <v>7</v>
      </c>
      <c r="S39" s="39">
        <v>10</v>
      </c>
    </row>
    <row r="40" spans="1:19" ht="60.6" thickBot="1" x14ac:dyDescent="0.35">
      <c r="A40" s="62" t="s">
        <v>8</v>
      </c>
      <c r="B40" s="62" t="s">
        <v>9</v>
      </c>
      <c r="C40" s="62" t="s">
        <v>10</v>
      </c>
      <c r="D40" s="63" t="s">
        <v>11</v>
      </c>
      <c r="E40" s="64" t="s">
        <v>12</v>
      </c>
      <c r="F40" s="65" t="s">
        <v>13</v>
      </c>
      <c r="G40" s="65" t="s">
        <v>14</v>
      </c>
      <c r="H40" s="65" t="s">
        <v>15</v>
      </c>
      <c r="I40" s="66" t="s">
        <v>16</v>
      </c>
      <c r="J40" s="54"/>
      <c r="K40" s="62" t="s">
        <v>8</v>
      </c>
      <c r="L40" s="62" t="s">
        <v>9</v>
      </c>
      <c r="M40" s="62" t="s">
        <v>10</v>
      </c>
      <c r="N40" s="63" t="s">
        <v>11</v>
      </c>
      <c r="O40" s="64" t="s">
        <v>12</v>
      </c>
      <c r="P40" s="65" t="s">
        <v>13</v>
      </c>
      <c r="Q40" s="65" t="s">
        <v>14</v>
      </c>
      <c r="R40" s="65" t="s">
        <v>15</v>
      </c>
      <c r="S40" s="66" t="s">
        <v>16</v>
      </c>
    </row>
    <row r="41" spans="1:19" x14ac:dyDescent="0.3">
      <c r="A41" s="67" t="s">
        <v>17</v>
      </c>
      <c r="B41" s="68">
        <f>I36</f>
        <v>30000</v>
      </c>
      <c r="C41" s="68">
        <f>I36/I39</f>
        <v>3000</v>
      </c>
      <c r="D41" s="68">
        <f t="shared" ref="D41:D50" si="6">(B41*0.015)</f>
        <v>450</v>
      </c>
      <c r="E41" s="68">
        <f t="shared" ref="E41:E50" si="7">$C$6+D41</f>
        <v>3450</v>
      </c>
      <c r="F41" s="68"/>
      <c r="G41" s="68"/>
      <c r="H41" s="69"/>
      <c r="I41" s="70"/>
      <c r="J41" s="54"/>
      <c r="K41" s="67" t="s">
        <v>17</v>
      </c>
      <c r="L41" s="68">
        <f>S36</f>
        <v>30000</v>
      </c>
      <c r="M41" s="68">
        <f>S36/S39</f>
        <v>3000</v>
      </c>
      <c r="N41" s="68">
        <f t="shared" ref="N41:N50" si="8">(L41*0.015)</f>
        <v>450</v>
      </c>
      <c r="O41" s="68">
        <f t="shared" ref="O41:O50" si="9">$C$6+N41</f>
        <v>3450</v>
      </c>
      <c r="P41" s="68"/>
      <c r="Q41" s="68"/>
      <c r="R41" s="69"/>
      <c r="S41" s="70"/>
    </row>
    <row r="42" spans="1:19" x14ac:dyDescent="0.3">
      <c r="A42" s="71" t="s">
        <v>18</v>
      </c>
      <c r="B42" s="72">
        <v>27000</v>
      </c>
      <c r="C42" s="72">
        <f t="shared" ref="C42:C50" si="10">$C$6</f>
        <v>3000</v>
      </c>
      <c r="D42" s="72">
        <f t="shared" si="6"/>
        <v>405</v>
      </c>
      <c r="E42" s="72">
        <f t="shared" si="7"/>
        <v>3405</v>
      </c>
      <c r="F42" s="72"/>
      <c r="G42" s="72"/>
      <c r="H42" s="73"/>
      <c r="I42" s="74"/>
      <c r="J42" s="54"/>
      <c r="K42" s="71" t="s">
        <v>18</v>
      </c>
      <c r="L42" s="72">
        <v>27000</v>
      </c>
      <c r="M42" s="72">
        <f t="shared" ref="M42:M50" si="11">$C$6</f>
        <v>3000</v>
      </c>
      <c r="N42" s="72">
        <f t="shared" si="8"/>
        <v>405</v>
      </c>
      <c r="O42" s="72">
        <f t="shared" si="9"/>
        <v>3405</v>
      </c>
      <c r="P42" s="72"/>
      <c r="Q42" s="72"/>
      <c r="R42" s="73"/>
      <c r="S42" s="74"/>
    </row>
    <row r="43" spans="1:19" x14ac:dyDescent="0.3">
      <c r="A43" s="71" t="s">
        <v>19</v>
      </c>
      <c r="B43" s="72">
        <v>24000</v>
      </c>
      <c r="C43" s="72">
        <f t="shared" si="10"/>
        <v>3000</v>
      </c>
      <c r="D43" s="72">
        <f t="shared" si="6"/>
        <v>360</v>
      </c>
      <c r="E43" s="72">
        <f t="shared" si="7"/>
        <v>3360</v>
      </c>
      <c r="F43" s="72"/>
      <c r="G43" s="72"/>
      <c r="H43" s="73"/>
      <c r="I43" s="74"/>
      <c r="J43" s="54"/>
      <c r="K43" s="71" t="s">
        <v>19</v>
      </c>
      <c r="L43" s="72">
        <v>24000</v>
      </c>
      <c r="M43" s="72">
        <f t="shared" si="11"/>
        <v>3000</v>
      </c>
      <c r="N43" s="72">
        <f t="shared" si="8"/>
        <v>360</v>
      </c>
      <c r="O43" s="72">
        <f t="shared" si="9"/>
        <v>3360</v>
      </c>
      <c r="P43" s="72"/>
      <c r="Q43" s="72"/>
      <c r="R43" s="73"/>
      <c r="S43" s="74"/>
    </row>
    <row r="44" spans="1:19" x14ac:dyDescent="0.3">
      <c r="A44" s="71" t="s">
        <v>20</v>
      </c>
      <c r="B44" s="72">
        <v>21000</v>
      </c>
      <c r="C44" s="72">
        <f t="shared" si="10"/>
        <v>3000</v>
      </c>
      <c r="D44" s="72">
        <f t="shared" si="6"/>
        <v>315</v>
      </c>
      <c r="E44" s="72">
        <f t="shared" si="7"/>
        <v>3315</v>
      </c>
      <c r="F44" s="72"/>
      <c r="G44" s="72"/>
      <c r="H44" s="73"/>
      <c r="I44" s="74"/>
      <c r="J44" s="54"/>
      <c r="K44" s="71" t="s">
        <v>20</v>
      </c>
      <c r="L44" s="72">
        <v>21000</v>
      </c>
      <c r="M44" s="72">
        <f t="shared" si="11"/>
        <v>3000</v>
      </c>
      <c r="N44" s="72">
        <f t="shared" si="8"/>
        <v>315</v>
      </c>
      <c r="O44" s="72">
        <f t="shared" si="9"/>
        <v>3315</v>
      </c>
      <c r="P44" s="72"/>
      <c r="Q44" s="72"/>
      <c r="R44" s="73"/>
      <c r="S44" s="74"/>
    </row>
    <row r="45" spans="1:19" x14ac:dyDescent="0.3">
      <c r="A45" s="71" t="s">
        <v>21</v>
      </c>
      <c r="B45" s="72">
        <v>18000</v>
      </c>
      <c r="C45" s="72">
        <f t="shared" si="10"/>
        <v>3000</v>
      </c>
      <c r="D45" s="72">
        <f t="shared" si="6"/>
        <v>270</v>
      </c>
      <c r="E45" s="72">
        <f t="shared" si="7"/>
        <v>3270</v>
      </c>
      <c r="F45" s="72"/>
      <c r="G45" s="72"/>
      <c r="H45" s="73"/>
      <c r="I45" s="74"/>
      <c r="J45" s="54"/>
      <c r="K45" s="71" t="s">
        <v>21</v>
      </c>
      <c r="L45" s="72">
        <v>18000</v>
      </c>
      <c r="M45" s="72">
        <f t="shared" si="11"/>
        <v>3000</v>
      </c>
      <c r="N45" s="72">
        <f t="shared" si="8"/>
        <v>270</v>
      </c>
      <c r="O45" s="72">
        <f t="shared" si="9"/>
        <v>3270</v>
      </c>
      <c r="P45" s="72"/>
      <c r="Q45" s="72"/>
      <c r="R45" s="73"/>
      <c r="S45" s="74"/>
    </row>
    <row r="46" spans="1:19" x14ac:dyDescent="0.3">
      <c r="A46" s="71" t="s">
        <v>23</v>
      </c>
      <c r="B46" s="72">
        <v>15000</v>
      </c>
      <c r="C46" s="72">
        <f t="shared" si="10"/>
        <v>3000</v>
      </c>
      <c r="D46" s="72">
        <f t="shared" si="6"/>
        <v>225</v>
      </c>
      <c r="E46" s="72">
        <f t="shared" si="7"/>
        <v>3225</v>
      </c>
      <c r="F46" s="72"/>
      <c r="G46" s="72"/>
      <c r="H46" s="73"/>
      <c r="I46" s="74"/>
      <c r="J46" s="54"/>
      <c r="K46" s="71" t="s">
        <v>23</v>
      </c>
      <c r="L46" s="72">
        <v>15000</v>
      </c>
      <c r="M46" s="72">
        <f t="shared" si="11"/>
        <v>3000</v>
      </c>
      <c r="N46" s="72">
        <f t="shared" si="8"/>
        <v>225</v>
      </c>
      <c r="O46" s="72">
        <f t="shared" si="9"/>
        <v>3225</v>
      </c>
      <c r="P46" s="72"/>
      <c r="Q46" s="72"/>
      <c r="R46" s="73"/>
      <c r="S46" s="74"/>
    </row>
    <row r="47" spans="1:19" x14ac:dyDescent="0.3">
      <c r="A47" s="71" t="s">
        <v>24</v>
      </c>
      <c r="B47" s="72">
        <v>12000</v>
      </c>
      <c r="C47" s="72">
        <f t="shared" si="10"/>
        <v>3000</v>
      </c>
      <c r="D47" s="72">
        <f t="shared" si="6"/>
        <v>180</v>
      </c>
      <c r="E47" s="72">
        <f t="shared" si="7"/>
        <v>3180</v>
      </c>
      <c r="F47" s="72"/>
      <c r="G47" s="72"/>
      <c r="H47" s="73"/>
      <c r="I47" s="74"/>
      <c r="J47" s="54"/>
      <c r="K47" s="71" t="s">
        <v>24</v>
      </c>
      <c r="L47" s="72">
        <v>12000</v>
      </c>
      <c r="M47" s="72">
        <f t="shared" si="11"/>
        <v>3000</v>
      </c>
      <c r="N47" s="72">
        <f t="shared" si="8"/>
        <v>180</v>
      </c>
      <c r="O47" s="72">
        <f t="shared" si="9"/>
        <v>3180</v>
      </c>
      <c r="P47" s="72"/>
      <c r="Q47" s="72"/>
      <c r="R47" s="73"/>
      <c r="S47" s="74"/>
    </row>
    <row r="48" spans="1:19" x14ac:dyDescent="0.3">
      <c r="A48" s="71" t="s">
        <v>25</v>
      </c>
      <c r="B48" s="72">
        <v>9000</v>
      </c>
      <c r="C48" s="72">
        <f t="shared" si="10"/>
        <v>3000</v>
      </c>
      <c r="D48" s="72">
        <f t="shared" si="6"/>
        <v>135</v>
      </c>
      <c r="E48" s="72">
        <f t="shared" si="7"/>
        <v>3135</v>
      </c>
      <c r="F48" s="72"/>
      <c r="G48" s="72"/>
      <c r="H48" s="73"/>
      <c r="I48" s="74"/>
      <c r="J48" s="54"/>
      <c r="K48" s="71" t="s">
        <v>25</v>
      </c>
      <c r="L48" s="72">
        <v>9000</v>
      </c>
      <c r="M48" s="72">
        <f t="shared" si="11"/>
        <v>3000</v>
      </c>
      <c r="N48" s="72">
        <f t="shared" si="8"/>
        <v>135</v>
      </c>
      <c r="O48" s="72">
        <f t="shared" si="9"/>
        <v>3135</v>
      </c>
      <c r="P48" s="72"/>
      <c r="Q48" s="72"/>
      <c r="R48" s="73"/>
      <c r="S48" s="74"/>
    </row>
    <row r="49" spans="1:19" x14ac:dyDescent="0.3">
      <c r="A49" s="71" t="s">
        <v>26</v>
      </c>
      <c r="B49" s="72">
        <v>6000</v>
      </c>
      <c r="C49" s="72">
        <f t="shared" si="10"/>
        <v>3000</v>
      </c>
      <c r="D49" s="72">
        <f t="shared" si="6"/>
        <v>90</v>
      </c>
      <c r="E49" s="72">
        <f t="shared" si="7"/>
        <v>3090</v>
      </c>
      <c r="F49" s="72"/>
      <c r="G49" s="72"/>
      <c r="H49" s="73"/>
      <c r="I49" s="74"/>
      <c r="J49" s="54"/>
      <c r="K49" s="71" t="s">
        <v>26</v>
      </c>
      <c r="L49" s="72">
        <v>6000</v>
      </c>
      <c r="M49" s="72">
        <f t="shared" si="11"/>
        <v>3000</v>
      </c>
      <c r="N49" s="72">
        <f t="shared" si="8"/>
        <v>90</v>
      </c>
      <c r="O49" s="72">
        <f t="shared" si="9"/>
        <v>3090</v>
      </c>
      <c r="P49" s="72"/>
      <c r="Q49" s="72"/>
      <c r="R49" s="73"/>
      <c r="S49" s="74"/>
    </row>
    <row r="50" spans="1:19" x14ac:dyDescent="0.3">
      <c r="A50" s="107" t="s">
        <v>27</v>
      </c>
      <c r="B50" s="72">
        <v>3000</v>
      </c>
      <c r="C50" s="72">
        <f t="shared" si="10"/>
        <v>3000</v>
      </c>
      <c r="D50" s="72">
        <f t="shared" si="6"/>
        <v>45</v>
      </c>
      <c r="E50" s="72">
        <f t="shared" si="7"/>
        <v>3045</v>
      </c>
      <c r="F50" s="72"/>
      <c r="G50" s="72"/>
      <c r="H50" s="73"/>
      <c r="I50" s="108" t="s">
        <v>42</v>
      </c>
      <c r="J50" s="54"/>
      <c r="K50" s="107" t="s">
        <v>27</v>
      </c>
      <c r="L50" s="72">
        <v>3000</v>
      </c>
      <c r="M50" s="72">
        <f t="shared" si="11"/>
        <v>3000</v>
      </c>
      <c r="N50" s="72">
        <f t="shared" si="8"/>
        <v>45</v>
      </c>
      <c r="O50" s="72">
        <f t="shared" si="9"/>
        <v>3045</v>
      </c>
      <c r="P50" s="72"/>
      <c r="Q50" s="72"/>
      <c r="R50" s="73"/>
      <c r="S50" s="108" t="s">
        <v>42</v>
      </c>
    </row>
    <row r="51" spans="1:19" x14ac:dyDescent="0.3">
      <c r="A51" s="54"/>
      <c r="B51" s="54"/>
      <c r="C51" s="54"/>
      <c r="D51" s="54"/>
      <c r="E51" s="54"/>
      <c r="F51" s="54"/>
      <c r="G51" s="54"/>
      <c r="H51" s="54"/>
      <c r="I51" s="54"/>
    </row>
    <row r="52" spans="1:19" x14ac:dyDescent="0.3">
      <c r="A52" s="58"/>
      <c r="B52" s="109"/>
      <c r="C52" s="109"/>
      <c r="D52" s="109"/>
      <c r="E52" s="109"/>
      <c r="F52" s="109"/>
      <c r="G52" s="109"/>
      <c r="H52" s="110"/>
      <c r="I52" s="111"/>
    </row>
    <row r="53" spans="1:19" x14ac:dyDescent="0.3">
      <c r="A53" s="1"/>
      <c r="B53" s="28"/>
      <c r="C53" s="28"/>
      <c r="D53" s="28"/>
      <c r="E53" s="28"/>
      <c r="F53" s="28"/>
      <c r="G53" s="28"/>
      <c r="H53" s="29"/>
      <c r="I53" s="30"/>
    </row>
    <row r="54" spans="1:19" x14ac:dyDescent="0.3">
      <c r="A54" s="1"/>
      <c r="B54" s="28"/>
      <c r="C54" s="28"/>
      <c r="D54" s="28"/>
      <c r="E54" s="28"/>
      <c r="F54" s="28"/>
      <c r="G54" s="28"/>
      <c r="H54" s="29"/>
      <c r="I54" s="30"/>
    </row>
    <row r="55" spans="1:19" x14ac:dyDescent="0.3">
      <c r="A55" s="40"/>
      <c r="B55" s="39"/>
      <c r="C55" s="6"/>
      <c r="D55" s="6"/>
      <c r="F55" s="2"/>
      <c r="G55" s="1"/>
      <c r="H55" s="1"/>
      <c r="I55" s="3"/>
    </row>
    <row r="56" spans="1:19" x14ac:dyDescent="0.3">
      <c r="A56" s="40"/>
      <c r="B56" s="4"/>
      <c r="D56" s="4"/>
      <c r="E56" s="1"/>
      <c r="F56" s="1"/>
      <c r="G56" s="5"/>
      <c r="H56" s="1"/>
      <c r="I56" s="9"/>
    </row>
    <row r="57" spans="1:19" x14ac:dyDescent="0.3">
      <c r="A57" s="40"/>
      <c r="B57" s="6"/>
      <c r="D57" s="6"/>
      <c r="E57" s="1"/>
      <c r="F57" s="1"/>
      <c r="G57" s="1"/>
      <c r="H57" s="1"/>
      <c r="I57" s="7"/>
    </row>
    <row r="58" spans="1:19" x14ac:dyDescent="0.3">
      <c r="A58" s="40"/>
      <c r="B58" s="6"/>
      <c r="C58" s="6"/>
      <c r="D58" s="1"/>
      <c r="E58" s="1"/>
      <c r="F58" s="1"/>
      <c r="G58" s="1"/>
      <c r="H58" s="1"/>
      <c r="I58" s="6"/>
    </row>
    <row r="59" spans="1:19" x14ac:dyDescent="0.3">
      <c r="A59" s="44"/>
      <c r="B59" s="44"/>
      <c r="C59" s="44"/>
      <c r="D59" s="45"/>
      <c r="E59" s="45"/>
      <c r="F59" s="45"/>
      <c r="G59" s="45"/>
      <c r="H59" s="45"/>
      <c r="I59" s="46"/>
    </row>
    <row r="60" spans="1:19" x14ac:dyDescent="0.3">
      <c r="A60" s="1"/>
      <c r="B60" s="28"/>
      <c r="C60" s="28"/>
      <c r="D60" s="28"/>
      <c r="E60" s="28"/>
      <c r="F60" s="28"/>
      <c r="G60" s="28"/>
      <c r="H60" s="29"/>
      <c r="I60" s="30"/>
    </row>
    <row r="61" spans="1:19" x14ac:dyDescent="0.3">
      <c r="A61" s="1"/>
      <c r="B61" s="28"/>
      <c r="C61" s="28"/>
      <c r="D61" s="28"/>
      <c r="E61" s="28"/>
      <c r="F61" s="28"/>
      <c r="G61" s="28"/>
      <c r="H61" s="29"/>
      <c r="I61" s="30"/>
    </row>
    <row r="62" spans="1:19" x14ac:dyDescent="0.3">
      <c r="A62" s="1"/>
      <c r="B62" s="28"/>
      <c r="C62" s="28"/>
      <c r="D62" s="28"/>
      <c r="E62" s="28"/>
      <c r="F62" s="28"/>
      <c r="G62" s="28"/>
      <c r="H62" s="29"/>
      <c r="I62" s="30"/>
    </row>
    <row r="63" spans="1:19" x14ac:dyDescent="0.3">
      <c r="A63" s="1"/>
      <c r="B63" s="28"/>
      <c r="C63" s="28"/>
      <c r="D63" s="28"/>
      <c r="E63" s="28"/>
      <c r="F63" s="28"/>
      <c r="G63" s="28"/>
      <c r="H63" s="29"/>
      <c r="I63" s="30"/>
    </row>
    <row r="64" spans="1:19" x14ac:dyDescent="0.3">
      <c r="A64" s="1"/>
      <c r="B64" s="28"/>
      <c r="C64" s="28"/>
      <c r="D64" s="28"/>
      <c r="E64" s="28"/>
      <c r="F64" s="28"/>
      <c r="G64" s="28"/>
      <c r="H64" s="29"/>
      <c r="I64" s="30"/>
    </row>
    <row r="65" spans="1:9" x14ac:dyDescent="0.3">
      <c r="A65" s="1"/>
      <c r="B65" s="28"/>
      <c r="C65" s="28"/>
      <c r="D65" s="28"/>
      <c r="E65" s="28"/>
      <c r="F65" s="28"/>
      <c r="G65" s="28"/>
      <c r="H65" s="29"/>
      <c r="I65" s="30"/>
    </row>
    <row r="66" spans="1:9" x14ac:dyDescent="0.3">
      <c r="A66" s="1"/>
      <c r="B66" s="28"/>
      <c r="C66" s="28"/>
      <c r="D66" s="28"/>
      <c r="E66" s="28"/>
      <c r="F66" s="28"/>
      <c r="G66" s="28"/>
      <c r="H66" s="29"/>
      <c r="I66" s="30"/>
    </row>
    <row r="67" spans="1:9" x14ac:dyDescent="0.3">
      <c r="A67" s="1"/>
      <c r="B67" s="28"/>
      <c r="C67" s="28"/>
      <c r="D67" s="28"/>
      <c r="E67" s="28"/>
      <c r="F67" s="28"/>
      <c r="G67" s="28"/>
      <c r="H67" s="29"/>
      <c r="I67" s="30"/>
    </row>
    <row r="68" spans="1:9" x14ac:dyDescent="0.3">
      <c r="A68" s="1"/>
      <c r="B68" s="28"/>
      <c r="C68" s="28"/>
      <c r="D68" s="28"/>
      <c r="E68" s="28"/>
      <c r="F68" s="28"/>
      <c r="G68" s="28"/>
      <c r="H68" s="29"/>
      <c r="I68" s="30"/>
    </row>
    <row r="69" spans="1:9" x14ac:dyDescent="0.3">
      <c r="A69" s="1"/>
      <c r="B69" s="28"/>
      <c r="C69" s="28"/>
      <c r="D69" s="28"/>
      <c r="E69" s="28"/>
      <c r="F69" s="28"/>
      <c r="G69" s="28"/>
      <c r="H69" s="29"/>
      <c r="I69" s="30"/>
    </row>
    <row r="70" spans="1:9" x14ac:dyDescent="0.3">
      <c r="E70" s="38"/>
    </row>
    <row r="71" spans="1:9" x14ac:dyDescent="0.3">
      <c r="A71" s="1"/>
      <c r="B71" s="28"/>
      <c r="C71" s="28"/>
      <c r="D71" s="28"/>
      <c r="E71" s="28"/>
      <c r="F71" s="28"/>
      <c r="G71" s="28"/>
      <c r="H71" s="29"/>
      <c r="I71" s="30"/>
    </row>
    <row r="72" spans="1:9" x14ac:dyDescent="0.3">
      <c r="A72" s="1"/>
      <c r="B72" s="28"/>
      <c r="C72" s="28"/>
      <c r="D72" s="28"/>
      <c r="E72" s="28"/>
      <c r="F72" s="28"/>
      <c r="G72" s="28"/>
      <c r="H72" s="29"/>
      <c r="I72" s="30"/>
    </row>
  </sheetData>
  <pageMargins left="0.25" right="0.25" top="0.75" bottom="0.75" header="0.3" footer="0.3"/>
  <pageSetup paperSize="5" scale="90" orientation="landscape" horizontalDpi="4294967293" verticalDpi="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D4D90-17E9-409C-BCBE-A498A3B943C3}">
  <dimension ref="A1:I51"/>
  <sheetViews>
    <sheetView topLeftCell="A34" workbookViewId="0">
      <selection activeCell="A37" sqref="A37:I51"/>
    </sheetView>
  </sheetViews>
  <sheetFormatPr defaultRowHeight="14.4" x14ac:dyDescent="0.3"/>
  <cols>
    <col min="1" max="1" width="21.77734375" customWidth="1"/>
    <col min="9" max="9" width="13.44140625" customWidth="1"/>
  </cols>
  <sheetData>
    <row r="1" spans="1:9" x14ac:dyDescent="0.3">
      <c r="A1" s="1" t="s">
        <v>0</v>
      </c>
      <c r="B1" s="6"/>
      <c r="C1" s="6" t="s">
        <v>87</v>
      </c>
      <c r="D1" s="6"/>
      <c r="F1" s="2"/>
      <c r="G1" s="2"/>
      <c r="H1" s="1" t="s">
        <v>1</v>
      </c>
      <c r="I1" s="3">
        <v>20000</v>
      </c>
    </row>
    <row r="2" spans="1:9" x14ac:dyDescent="0.3">
      <c r="A2" s="1" t="s">
        <v>2</v>
      </c>
      <c r="B2" s="4"/>
      <c r="D2" s="4"/>
      <c r="E2" s="1"/>
      <c r="F2" s="1"/>
      <c r="G2" s="5"/>
      <c r="H2" s="1" t="s">
        <v>3</v>
      </c>
      <c r="I2" s="9" t="s">
        <v>58</v>
      </c>
    </row>
    <row r="3" spans="1:9" x14ac:dyDescent="0.3">
      <c r="A3" s="1" t="s">
        <v>4</v>
      </c>
      <c r="B3" s="6"/>
      <c r="D3" s="6"/>
      <c r="E3" s="1"/>
      <c r="F3" s="1"/>
      <c r="G3" s="6"/>
      <c r="H3" s="1" t="s">
        <v>5</v>
      </c>
      <c r="I3" s="7">
        <v>1.4999999999999999E-2</v>
      </c>
    </row>
    <row r="4" spans="1:9" ht="15" thickBot="1" x14ac:dyDescent="0.35">
      <c r="A4" s="1" t="s">
        <v>6</v>
      </c>
      <c r="B4" s="26"/>
      <c r="C4" s="26"/>
      <c r="D4" s="27"/>
      <c r="E4" s="27"/>
      <c r="F4" s="27"/>
      <c r="G4" s="26"/>
      <c r="H4" s="27" t="s">
        <v>7</v>
      </c>
      <c r="I4" s="6">
        <v>10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20000</v>
      </c>
      <c r="C6" s="17">
        <f>I1/I4</f>
        <v>2000</v>
      </c>
      <c r="D6" s="17">
        <f t="shared" ref="D6:D15" si="0">(B6*0.015)</f>
        <v>300</v>
      </c>
      <c r="E6" s="17">
        <f t="shared" ref="E6:E15" si="1">$C$6+D6</f>
        <v>2300</v>
      </c>
      <c r="F6" s="17"/>
      <c r="G6" s="17"/>
      <c r="H6" s="18"/>
      <c r="I6" s="19"/>
    </row>
    <row r="7" spans="1:9" x14ac:dyDescent="0.3">
      <c r="A7" s="20" t="s">
        <v>18</v>
      </c>
      <c r="B7" s="8">
        <v>18000</v>
      </c>
      <c r="C7" s="8">
        <f t="shared" ref="C7:C15" si="2">$C$6</f>
        <v>2000</v>
      </c>
      <c r="D7" s="8">
        <f t="shared" si="0"/>
        <v>270</v>
      </c>
      <c r="E7" s="8">
        <f t="shared" si="1"/>
        <v>2270</v>
      </c>
      <c r="F7" s="8"/>
      <c r="G7" s="8"/>
      <c r="H7" s="10"/>
      <c r="I7" s="21"/>
    </row>
    <row r="8" spans="1:9" x14ac:dyDescent="0.3">
      <c r="A8" s="20" t="s">
        <v>19</v>
      </c>
      <c r="B8" s="8">
        <v>16000</v>
      </c>
      <c r="C8" s="8">
        <f t="shared" si="2"/>
        <v>2000</v>
      </c>
      <c r="D8" s="8">
        <f t="shared" si="0"/>
        <v>240</v>
      </c>
      <c r="E8" s="8">
        <f t="shared" si="1"/>
        <v>2240</v>
      </c>
      <c r="F8" s="8"/>
      <c r="G8" s="8"/>
      <c r="H8" s="10"/>
      <c r="I8" s="21"/>
    </row>
    <row r="9" spans="1:9" x14ac:dyDescent="0.3">
      <c r="A9" s="20" t="s">
        <v>20</v>
      </c>
      <c r="B9" s="8">
        <v>14000</v>
      </c>
      <c r="C9" s="8">
        <f t="shared" si="2"/>
        <v>2000</v>
      </c>
      <c r="D9" s="8">
        <f t="shared" si="0"/>
        <v>210</v>
      </c>
      <c r="E9" s="8">
        <f t="shared" si="1"/>
        <v>2210</v>
      </c>
      <c r="F9" s="8"/>
      <c r="G9" s="8"/>
      <c r="H9" s="10"/>
      <c r="I9" s="21"/>
    </row>
    <row r="10" spans="1:9" x14ac:dyDescent="0.3">
      <c r="A10" s="20" t="s">
        <v>21</v>
      </c>
      <c r="B10" s="8">
        <v>12000</v>
      </c>
      <c r="C10" s="8">
        <f t="shared" si="2"/>
        <v>2000</v>
      </c>
      <c r="D10" s="8">
        <f t="shared" si="0"/>
        <v>180</v>
      </c>
      <c r="E10" s="8">
        <f t="shared" si="1"/>
        <v>2180</v>
      </c>
      <c r="F10" s="8"/>
      <c r="G10" s="8"/>
      <c r="H10" s="10"/>
      <c r="I10" s="21"/>
    </row>
    <row r="11" spans="1:9" x14ac:dyDescent="0.3">
      <c r="A11" s="20" t="s">
        <v>23</v>
      </c>
      <c r="B11" s="8">
        <v>10000</v>
      </c>
      <c r="C11" s="8">
        <f t="shared" si="2"/>
        <v>2000</v>
      </c>
      <c r="D11" s="8">
        <f t="shared" si="0"/>
        <v>150</v>
      </c>
      <c r="E11" s="8">
        <f t="shared" si="1"/>
        <v>2150</v>
      </c>
      <c r="F11" s="8"/>
      <c r="G11" s="8"/>
      <c r="H11" s="10"/>
      <c r="I11" s="21"/>
    </row>
    <row r="12" spans="1:9" x14ac:dyDescent="0.3">
      <c r="A12" s="20" t="s">
        <v>24</v>
      </c>
      <c r="B12" s="8">
        <v>8000</v>
      </c>
      <c r="C12" s="8">
        <f t="shared" si="2"/>
        <v>2000</v>
      </c>
      <c r="D12" s="8">
        <f t="shared" si="0"/>
        <v>120</v>
      </c>
      <c r="E12" s="8">
        <f t="shared" si="1"/>
        <v>2120</v>
      </c>
      <c r="F12" s="8"/>
      <c r="G12" s="8"/>
      <c r="H12" s="10"/>
      <c r="I12" s="21"/>
    </row>
    <row r="13" spans="1:9" x14ac:dyDescent="0.3">
      <c r="A13" s="20" t="s">
        <v>25</v>
      </c>
      <c r="B13" s="8">
        <v>6000</v>
      </c>
      <c r="C13" s="8">
        <f t="shared" si="2"/>
        <v>2000</v>
      </c>
      <c r="D13" s="8">
        <f t="shared" si="0"/>
        <v>90</v>
      </c>
      <c r="E13" s="8">
        <f t="shared" si="1"/>
        <v>2090</v>
      </c>
      <c r="F13" s="8"/>
      <c r="G13" s="8"/>
      <c r="H13" s="10"/>
      <c r="I13" s="21"/>
    </row>
    <row r="14" spans="1:9" x14ac:dyDescent="0.3">
      <c r="A14" s="20" t="s">
        <v>26</v>
      </c>
      <c r="B14" s="8">
        <v>4000</v>
      </c>
      <c r="C14" s="8">
        <f t="shared" si="2"/>
        <v>2000</v>
      </c>
      <c r="D14" s="8">
        <f t="shared" si="0"/>
        <v>60</v>
      </c>
      <c r="E14" s="8">
        <f t="shared" si="1"/>
        <v>2060</v>
      </c>
      <c r="F14" s="8"/>
      <c r="G14" s="8"/>
      <c r="H14" s="10"/>
      <c r="I14" s="21"/>
    </row>
    <row r="15" spans="1:9" x14ac:dyDescent="0.3">
      <c r="A15" s="31" t="s">
        <v>27</v>
      </c>
      <c r="B15" s="8">
        <v>2000</v>
      </c>
      <c r="C15" s="8">
        <f t="shared" si="2"/>
        <v>2000</v>
      </c>
      <c r="D15" s="8">
        <f t="shared" si="0"/>
        <v>30</v>
      </c>
      <c r="E15" s="8">
        <f t="shared" si="1"/>
        <v>2030</v>
      </c>
      <c r="F15" s="8"/>
      <c r="G15" s="8"/>
      <c r="H15" s="10"/>
      <c r="I15" s="32" t="s">
        <v>43</v>
      </c>
    </row>
    <row r="16" spans="1:9" x14ac:dyDescent="0.3">
      <c r="A16" s="1"/>
      <c r="B16" s="28"/>
      <c r="C16" s="28"/>
      <c r="D16" s="28"/>
      <c r="E16" s="28"/>
      <c r="F16" s="28"/>
      <c r="G16" s="28"/>
      <c r="H16" s="29"/>
      <c r="I16" s="30"/>
    </row>
    <row r="20" spans="1:9" x14ac:dyDescent="0.3">
      <c r="A20" s="1" t="s">
        <v>0</v>
      </c>
      <c r="B20" s="6"/>
      <c r="C20" s="6" t="s">
        <v>88</v>
      </c>
      <c r="D20" s="6"/>
      <c r="F20" s="2"/>
      <c r="G20" s="2"/>
      <c r="H20" s="1" t="s">
        <v>1</v>
      </c>
      <c r="I20" s="3">
        <v>20000</v>
      </c>
    </row>
    <row r="21" spans="1:9" x14ac:dyDescent="0.3">
      <c r="A21" s="1" t="s">
        <v>2</v>
      </c>
      <c r="B21" s="4"/>
      <c r="D21" s="4"/>
      <c r="E21" s="1"/>
      <c r="F21" s="1"/>
      <c r="G21" s="5"/>
      <c r="H21" s="1" t="s">
        <v>3</v>
      </c>
      <c r="I21" s="9" t="s">
        <v>89</v>
      </c>
    </row>
    <row r="22" spans="1:9" x14ac:dyDescent="0.3">
      <c r="A22" s="1" t="s">
        <v>4</v>
      </c>
      <c r="B22" s="6"/>
      <c r="D22" s="6"/>
      <c r="E22" s="1"/>
      <c r="F22" s="1"/>
      <c r="G22" s="6"/>
      <c r="H22" s="1" t="s">
        <v>5</v>
      </c>
      <c r="I22" s="7">
        <v>1.4999999999999999E-2</v>
      </c>
    </row>
    <row r="23" spans="1:9" ht="15" thickBot="1" x14ac:dyDescent="0.35">
      <c r="A23" s="1" t="s">
        <v>6</v>
      </c>
      <c r="B23" s="26"/>
      <c r="C23" s="26"/>
      <c r="D23" s="27"/>
      <c r="E23" s="27"/>
      <c r="F23" s="27"/>
      <c r="G23" s="26"/>
      <c r="H23" s="27" t="s">
        <v>7</v>
      </c>
      <c r="I23" s="6">
        <v>10</v>
      </c>
    </row>
    <row r="24" spans="1:9" ht="87" thickBot="1" x14ac:dyDescent="0.35">
      <c r="A24" s="11" t="s">
        <v>8</v>
      </c>
      <c r="B24" s="11" t="s">
        <v>9</v>
      </c>
      <c r="C24" s="11" t="s">
        <v>10</v>
      </c>
      <c r="D24" s="12" t="s">
        <v>11</v>
      </c>
      <c r="E24" s="13" t="s">
        <v>12</v>
      </c>
      <c r="F24" s="14" t="s">
        <v>13</v>
      </c>
      <c r="G24" s="14" t="s">
        <v>14</v>
      </c>
      <c r="H24" s="14" t="s">
        <v>15</v>
      </c>
      <c r="I24" s="15" t="s">
        <v>16</v>
      </c>
    </row>
    <row r="25" spans="1:9" x14ac:dyDescent="0.3">
      <c r="A25" s="16" t="s">
        <v>17</v>
      </c>
      <c r="B25" s="17">
        <f>I20</f>
        <v>20000</v>
      </c>
      <c r="C25" s="17">
        <f>I20/I23</f>
        <v>2000</v>
      </c>
      <c r="D25" s="17">
        <f t="shared" ref="D25:D34" si="3">(B25*0.015)</f>
        <v>300</v>
      </c>
      <c r="E25" s="17">
        <f t="shared" ref="E25:E34" si="4">$C$6+D25</f>
        <v>2300</v>
      </c>
      <c r="F25" s="17"/>
      <c r="G25" s="17"/>
      <c r="H25" s="18"/>
      <c r="I25" s="19"/>
    </row>
    <row r="26" spans="1:9" x14ac:dyDescent="0.3">
      <c r="A26" s="20" t="s">
        <v>18</v>
      </c>
      <c r="B26" s="8">
        <v>18000</v>
      </c>
      <c r="C26" s="8">
        <f t="shared" ref="C26:C34" si="5">$C$6</f>
        <v>2000</v>
      </c>
      <c r="D26" s="8">
        <f t="shared" si="3"/>
        <v>270</v>
      </c>
      <c r="E26" s="8">
        <f t="shared" si="4"/>
        <v>2270</v>
      </c>
      <c r="F26" s="8"/>
      <c r="G26" s="8"/>
      <c r="H26" s="10"/>
      <c r="I26" s="21"/>
    </row>
    <row r="27" spans="1:9" x14ac:dyDescent="0.3">
      <c r="A27" s="20" t="s">
        <v>19</v>
      </c>
      <c r="B27" s="8">
        <v>16000</v>
      </c>
      <c r="C27" s="8">
        <f t="shared" si="5"/>
        <v>2000</v>
      </c>
      <c r="D27" s="8">
        <f t="shared" si="3"/>
        <v>240</v>
      </c>
      <c r="E27" s="8">
        <f t="shared" si="4"/>
        <v>2240</v>
      </c>
      <c r="F27" s="8"/>
      <c r="G27" s="8"/>
      <c r="H27" s="10"/>
      <c r="I27" s="21"/>
    </row>
    <row r="28" spans="1:9" x14ac:dyDescent="0.3">
      <c r="A28" s="20" t="s">
        <v>20</v>
      </c>
      <c r="B28" s="8">
        <v>14000</v>
      </c>
      <c r="C28" s="8">
        <f t="shared" si="5"/>
        <v>2000</v>
      </c>
      <c r="D28" s="8">
        <f t="shared" si="3"/>
        <v>210</v>
      </c>
      <c r="E28" s="8">
        <f t="shared" si="4"/>
        <v>2210</v>
      </c>
      <c r="F28" s="8"/>
      <c r="G28" s="8"/>
      <c r="H28" s="10"/>
      <c r="I28" s="21"/>
    </row>
    <row r="29" spans="1:9" x14ac:dyDescent="0.3">
      <c r="A29" s="20" t="s">
        <v>21</v>
      </c>
      <c r="B29" s="8">
        <v>12000</v>
      </c>
      <c r="C29" s="8">
        <f t="shared" si="5"/>
        <v>2000</v>
      </c>
      <c r="D29" s="8">
        <f t="shared" si="3"/>
        <v>180</v>
      </c>
      <c r="E29" s="8">
        <f t="shared" si="4"/>
        <v>2180</v>
      </c>
      <c r="F29" s="8"/>
      <c r="G29" s="8"/>
      <c r="H29" s="10"/>
      <c r="I29" s="21"/>
    </row>
    <row r="30" spans="1:9" x14ac:dyDescent="0.3">
      <c r="A30" s="20" t="s">
        <v>23</v>
      </c>
      <c r="B30" s="8">
        <v>10000</v>
      </c>
      <c r="C30" s="8">
        <f t="shared" si="5"/>
        <v>2000</v>
      </c>
      <c r="D30" s="8">
        <f t="shared" si="3"/>
        <v>150</v>
      </c>
      <c r="E30" s="8">
        <f t="shared" si="4"/>
        <v>2150</v>
      </c>
      <c r="F30" s="8"/>
      <c r="G30" s="8"/>
      <c r="H30" s="10"/>
      <c r="I30" s="21"/>
    </row>
    <row r="31" spans="1:9" x14ac:dyDescent="0.3">
      <c r="A31" s="20" t="s">
        <v>24</v>
      </c>
      <c r="B31" s="8">
        <v>8000</v>
      </c>
      <c r="C31" s="8">
        <f t="shared" si="5"/>
        <v>2000</v>
      </c>
      <c r="D31" s="8">
        <f t="shared" si="3"/>
        <v>120</v>
      </c>
      <c r="E31" s="8">
        <f t="shared" si="4"/>
        <v>2120</v>
      </c>
      <c r="F31" s="8"/>
      <c r="G31" s="8"/>
      <c r="H31" s="10"/>
      <c r="I31" s="21"/>
    </row>
    <row r="32" spans="1:9" x14ac:dyDescent="0.3">
      <c r="A32" s="20" t="s">
        <v>25</v>
      </c>
      <c r="B32" s="8">
        <v>6000</v>
      </c>
      <c r="C32" s="8">
        <f t="shared" si="5"/>
        <v>2000</v>
      </c>
      <c r="D32" s="8">
        <f t="shared" si="3"/>
        <v>90</v>
      </c>
      <c r="E32" s="8">
        <f t="shared" si="4"/>
        <v>2090</v>
      </c>
      <c r="F32" s="8"/>
      <c r="G32" s="8"/>
      <c r="H32" s="10"/>
      <c r="I32" s="21"/>
    </row>
    <row r="33" spans="1:9" x14ac:dyDescent="0.3">
      <c r="A33" s="20" t="s">
        <v>26</v>
      </c>
      <c r="B33" s="8">
        <v>4000</v>
      </c>
      <c r="C33" s="8">
        <f t="shared" si="5"/>
        <v>2000</v>
      </c>
      <c r="D33" s="8">
        <f t="shared" si="3"/>
        <v>60</v>
      </c>
      <c r="E33" s="8">
        <f t="shared" si="4"/>
        <v>2060</v>
      </c>
      <c r="F33" s="8"/>
      <c r="G33" s="8"/>
      <c r="H33" s="10"/>
      <c r="I33" s="21"/>
    </row>
    <row r="34" spans="1:9" x14ac:dyDescent="0.3">
      <c r="A34" s="31" t="s">
        <v>27</v>
      </c>
      <c r="B34" s="8">
        <v>2000</v>
      </c>
      <c r="C34" s="8">
        <f t="shared" si="5"/>
        <v>2000</v>
      </c>
      <c r="D34" s="8">
        <f t="shared" si="3"/>
        <v>30</v>
      </c>
      <c r="E34" s="8">
        <f t="shared" si="4"/>
        <v>2030</v>
      </c>
      <c r="F34" s="8"/>
      <c r="G34" s="8"/>
      <c r="H34" s="10"/>
      <c r="I34" s="32" t="s">
        <v>42</v>
      </c>
    </row>
    <row r="37" spans="1:9" x14ac:dyDescent="0.3">
      <c r="A37" s="40" t="s">
        <v>0</v>
      </c>
      <c r="B37" s="6"/>
      <c r="C37" s="6" t="s">
        <v>83</v>
      </c>
      <c r="D37" s="6"/>
      <c r="G37" s="2"/>
      <c r="H37" s="1" t="s">
        <v>1</v>
      </c>
      <c r="I37" s="3">
        <v>20000</v>
      </c>
    </row>
    <row r="38" spans="1:9" x14ac:dyDescent="0.3">
      <c r="A38" s="40" t="s">
        <v>2</v>
      </c>
      <c r="B38" s="4"/>
      <c r="D38" s="4"/>
      <c r="E38" s="1"/>
      <c r="F38" s="1"/>
      <c r="G38" s="5"/>
      <c r="H38" s="1" t="s">
        <v>3</v>
      </c>
      <c r="I38" s="9" t="s">
        <v>70</v>
      </c>
    </row>
    <row r="39" spans="1:9" x14ac:dyDescent="0.3">
      <c r="A39" s="40" t="s">
        <v>4</v>
      </c>
      <c r="B39" s="6"/>
      <c r="F39" s="1"/>
      <c r="G39" s="6"/>
      <c r="H39" s="1" t="s">
        <v>5</v>
      </c>
      <c r="I39" s="7">
        <v>1.4999999999999999E-2</v>
      </c>
    </row>
    <row r="40" spans="1:9" ht="15" thickBot="1" x14ac:dyDescent="0.35">
      <c r="A40" s="40" t="s">
        <v>6</v>
      </c>
      <c r="B40" s="26"/>
      <c r="E40" s="27"/>
      <c r="F40" s="27"/>
      <c r="G40" s="26"/>
      <c r="H40" s="27" t="s">
        <v>7</v>
      </c>
      <c r="I40" s="6">
        <v>10</v>
      </c>
    </row>
    <row r="41" spans="1:9" ht="87" thickBot="1" x14ac:dyDescent="0.35">
      <c r="A41" s="11" t="s">
        <v>8</v>
      </c>
      <c r="B41" s="11" t="s">
        <v>9</v>
      </c>
      <c r="C41" s="11" t="s">
        <v>10</v>
      </c>
      <c r="D41" s="12" t="s">
        <v>11</v>
      </c>
      <c r="E41" s="13" t="s">
        <v>12</v>
      </c>
      <c r="F41" s="14" t="s">
        <v>13</v>
      </c>
      <c r="G41" s="14" t="s">
        <v>14</v>
      </c>
      <c r="H41" s="14" t="s">
        <v>15</v>
      </c>
      <c r="I41" s="15" t="s">
        <v>16</v>
      </c>
    </row>
    <row r="42" spans="1:9" x14ac:dyDescent="0.3">
      <c r="A42" s="16" t="s">
        <v>17</v>
      </c>
      <c r="B42" s="17">
        <f>I37</f>
        <v>20000</v>
      </c>
      <c r="C42" s="17">
        <f>I37/I40</f>
        <v>2000</v>
      </c>
      <c r="D42" s="17">
        <f t="shared" ref="D42:D51" si="6">(B42*0.015)</f>
        <v>300</v>
      </c>
      <c r="E42" s="17">
        <f t="shared" ref="E42:E51" si="7">$C$6+D42</f>
        <v>2300</v>
      </c>
      <c r="F42" s="17"/>
      <c r="G42" s="17"/>
      <c r="H42" s="18"/>
      <c r="I42" s="19"/>
    </row>
    <row r="43" spans="1:9" x14ac:dyDescent="0.3">
      <c r="A43" s="20" t="s">
        <v>18</v>
      </c>
      <c r="B43" s="8">
        <v>18000</v>
      </c>
      <c r="C43" s="8">
        <f t="shared" ref="C43:C51" si="8">$C$6</f>
        <v>2000</v>
      </c>
      <c r="D43" s="8">
        <f t="shared" si="6"/>
        <v>270</v>
      </c>
      <c r="E43" s="8">
        <f t="shared" si="7"/>
        <v>2270</v>
      </c>
      <c r="F43" s="8"/>
      <c r="G43" s="8"/>
      <c r="H43" s="10"/>
      <c r="I43" s="21"/>
    </row>
    <row r="44" spans="1:9" x14ac:dyDescent="0.3">
      <c r="A44" s="20" t="s">
        <v>19</v>
      </c>
      <c r="B44" s="8">
        <v>16000</v>
      </c>
      <c r="C44" s="8">
        <f t="shared" si="8"/>
        <v>2000</v>
      </c>
      <c r="D44" s="8">
        <f t="shared" si="6"/>
        <v>240</v>
      </c>
      <c r="E44" s="8">
        <f t="shared" si="7"/>
        <v>2240</v>
      </c>
      <c r="F44" s="8"/>
      <c r="G44" s="8"/>
      <c r="H44" s="10"/>
      <c r="I44" s="21"/>
    </row>
    <row r="45" spans="1:9" x14ac:dyDescent="0.3">
      <c r="A45" s="20" t="s">
        <v>20</v>
      </c>
      <c r="B45" s="8">
        <v>14000</v>
      </c>
      <c r="C45" s="8">
        <f t="shared" si="8"/>
        <v>2000</v>
      </c>
      <c r="D45" s="8">
        <f t="shared" si="6"/>
        <v>210</v>
      </c>
      <c r="E45" s="8">
        <f t="shared" si="7"/>
        <v>2210</v>
      </c>
      <c r="F45" s="8"/>
      <c r="G45" s="8"/>
      <c r="H45" s="10"/>
      <c r="I45" s="21"/>
    </row>
    <row r="46" spans="1:9" x14ac:dyDescent="0.3">
      <c r="A46" s="20" t="s">
        <v>21</v>
      </c>
      <c r="B46" s="8">
        <v>12000</v>
      </c>
      <c r="C46" s="8">
        <f t="shared" si="8"/>
        <v>2000</v>
      </c>
      <c r="D46" s="8">
        <f t="shared" si="6"/>
        <v>180</v>
      </c>
      <c r="E46" s="8">
        <f t="shared" si="7"/>
        <v>2180</v>
      </c>
      <c r="F46" s="8"/>
      <c r="G46" s="8"/>
      <c r="H46" s="10"/>
      <c r="I46" s="21"/>
    </row>
    <row r="47" spans="1:9" x14ac:dyDescent="0.3">
      <c r="A47" s="20" t="s">
        <v>23</v>
      </c>
      <c r="B47" s="8">
        <v>10000</v>
      </c>
      <c r="C47" s="8">
        <f t="shared" si="8"/>
        <v>2000</v>
      </c>
      <c r="D47" s="8">
        <f t="shared" si="6"/>
        <v>150</v>
      </c>
      <c r="E47" s="8">
        <f t="shared" si="7"/>
        <v>2150</v>
      </c>
      <c r="F47" s="8"/>
      <c r="G47" s="8"/>
      <c r="H47" s="10"/>
      <c r="I47" s="21"/>
    </row>
    <row r="48" spans="1:9" x14ac:dyDescent="0.3">
      <c r="A48" s="20" t="s">
        <v>24</v>
      </c>
      <c r="B48" s="8">
        <v>8000</v>
      </c>
      <c r="C48" s="8">
        <f t="shared" si="8"/>
        <v>2000</v>
      </c>
      <c r="D48" s="8">
        <f t="shared" si="6"/>
        <v>120</v>
      </c>
      <c r="E48" s="8">
        <f t="shared" si="7"/>
        <v>2120</v>
      </c>
      <c r="F48" s="8"/>
      <c r="G48" s="8"/>
      <c r="H48" s="10"/>
      <c r="I48" s="21"/>
    </row>
    <row r="49" spans="1:9" x14ac:dyDescent="0.3">
      <c r="A49" s="20" t="s">
        <v>25</v>
      </c>
      <c r="B49" s="8">
        <v>6000</v>
      </c>
      <c r="C49" s="8">
        <f t="shared" si="8"/>
        <v>2000</v>
      </c>
      <c r="D49" s="8">
        <f t="shared" si="6"/>
        <v>90</v>
      </c>
      <c r="E49" s="8">
        <f t="shared" si="7"/>
        <v>2090</v>
      </c>
      <c r="F49" s="8"/>
      <c r="G49" s="8"/>
      <c r="H49" s="10"/>
      <c r="I49" s="21"/>
    </row>
    <row r="50" spans="1:9" x14ac:dyDescent="0.3">
      <c r="A50" s="20" t="s">
        <v>26</v>
      </c>
      <c r="B50" s="8">
        <v>4000</v>
      </c>
      <c r="C50" s="8">
        <f t="shared" si="8"/>
        <v>2000</v>
      </c>
      <c r="D50" s="8">
        <f t="shared" si="6"/>
        <v>60</v>
      </c>
      <c r="E50" s="8">
        <f t="shared" si="7"/>
        <v>2060</v>
      </c>
      <c r="F50" s="8"/>
      <c r="G50" s="8"/>
      <c r="H50" s="10"/>
      <c r="I50" s="21"/>
    </row>
    <row r="51" spans="1:9" x14ac:dyDescent="0.3">
      <c r="A51" s="31" t="s">
        <v>27</v>
      </c>
      <c r="B51" s="8">
        <v>2000</v>
      </c>
      <c r="C51" s="8">
        <f t="shared" si="8"/>
        <v>2000</v>
      </c>
      <c r="D51" s="8">
        <f t="shared" si="6"/>
        <v>30</v>
      </c>
      <c r="E51" s="8">
        <f t="shared" si="7"/>
        <v>2030</v>
      </c>
      <c r="F51" s="8"/>
      <c r="G51" s="8"/>
      <c r="H51" s="10"/>
      <c r="I51" s="32" t="s">
        <v>42</v>
      </c>
    </row>
  </sheetData>
  <pageMargins left="0.25" right="0.25" top="0.75" bottom="0.75" header="0.3" footer="0.3"/>
  <pageSetup paperSize="256" orientation="portrait" horizontalDpi="4294967293" verticalDpi="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1E3E-60ED-4467-A256-86DD207C1528}">
  <dimension ref="A1:I52"/>
  <sheetViews>
    <sheetView topLeftCell="A42" workbookViewId="0">
      <selection activeCell="A38" sqref="A38:I52"/>
    </sheetView>
  </sheetViews>
  <sheetFormatPr defaultRowHeight="14.4" x14ac:dyDescent="0.3"/>
  <cols>
    <col min="1" max="1" width="21.88671875" customWidth="1"/>
    <col min="9" max="9" width="12.44140625" customWidth="1"/>
  </cols>
  <sheetData>
    <row r="1" spans="1:9" x14ac:dyDescent="0.3">
      <c r="A1" s="40" t="s">
        <v>0</v>
      </c>
      <c r="B1" s="6"/>
      <c r="C1" s="6" t="s">
        <v>83</v>
      </c>
      <c r="D1" s="6"/>
      <c r="F1" s="2"/>
      <c r="H1" s="1" t="s">
        <v>1</v>
      </c>
      <c r="I1" s="3">
        <v>10000</v>
      </c>
    </row>
    <row r="2" spans="1:9" x14ac:dyDescent="0.3">
      <c r="A2" s="40" t="s">
        <v>2</v>
      </c>
      <c r="B2" s="4"/>
      <c r="D2" s="4"/>
      <c r="E2" s="1"/>
      <c r="F2" s="1"/>
      <c r="H2" s="48" t="s">
        <v>84</v>
      </c>
      <c r="I2" s="9" t="s">
        <v>65</v>
      </c>
    </row>
    <row r="3" spans="1:9" x14ac:dyDescent="0.3">
      <c r="A3" s="40" t="s">
        <v>4</v>
      </c>
      <c r="B3" s="6"/>
      <c r="D3" s="6"/>
      <c r="F3" s="1"/>
      <c r="H3" s="1" t="s">
        <v>5</v>
      </c>
      <c r="I3" s="7">
        <v>1.4999999999999999E-2</v>
      </c>
    </row>
    <row r="4" spans="1:9" ht="15" thickBot="1" x14ac:dyDescent="0.35">
      <c r="A4" s="40" t="s">
        <v>6</v>
      </c>
      <c r="B4" s="26"/>
      <c r="E4" s="27"/>
      <c r="F4" s="27"/>
      <c r="H4" s="27" t="s">
        <v>7</v>
      </c>
      <c r="I4" s="6">
        <v>10</v>
      </c>
    </row>
    <row r="5" spans="1:9" ht="87" thickBot="1" x14ac:dyDescent="0.35">
      <c r="A5" s="11" t="s">
        <v>8</v>
      </c>
      <c r="B5" s="11" t="s">
        <v>9</v>
      </c>
      <c r="C5" s="11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4" t="s">
        <v>15</v>
      </c>
      <c r="I5" s="15" t="s">
        <v>16</v>
      </c>
    </row>
    <row r="6" spans="1:9" x14ac:dyDescent="0.3">
      <c r="A6" s="16" t="s">
        <v>17</v>
      </c>
      <c r="B6" s="17">
        <f>I1</f>
        <v>10000</v>
      </c>
      <c r="C6" s="17">
        <f>I1/I4</f>
        <v>1000</v>
      </c>
      <c r="D6" s="17">
        <f t="shared" ref="D6:D15" si="0">(B6*0.015)</f>
        <v>150</v>
      </c>
      <c r="E6" s="17">
        <f t="shared" ref="E6:E15" si="1">$C$6+D6</f>
        <v>1150</v>
      </c>
      <c r="F6" s="17"/>
      <c r="G6" s="17"/>
      <c r="H6" s="18"/>
      <c r="I6" s="19"/>
    </row>
    <row r="7" spans="1:9" x14ac:dyDescent="0.3">
      <c r="A7" s="20" t="s">
        <v>18</v>
      </c>
      <c r="B7" s="8">
        <v>9000</v>
      </c>
      <c r="C7" s="8">
        <f t="shared" ref="C7:C15" si="2">$C$6</f>
        <v>1000</v>
      </c>
      <c r="D7" s="8">
        <f t="shared" si="0"/>
        <v>135</v>
      </c>
      <c r="E7" s="8">
        <f t="shared" si="1"/>
        <v>1135</v>
      </c>
      <c r="F7" s="8"/>
      <c r="G7" s="8"/>
      <c r="H7" s="10"/>
      <c r="I7" s="21"/>
    </row>
    <row r="8" spans="1:9" x14ac:dyDescent="0.3">
      <c r="A8" s="20" t="s">
        <v>19</v>
      </c>
      <c r="B8" s="8">
        <v>8000</v>
      </c>
      <c r="C8" s="8">
        <f t="shared" si="2"/>
        <v>1000</v>
      </c>
      <c r="D8" s="8">
        <f t="shared" si="0"/>
        <v>120</v>
      </c>
      <c r="E8" s="8">
        <f t="shared" si="1"/>
        <v>1120</v>
      </c>
      <c r="F8" s="8"/>
      <c r="G8" s="8"/>
      <c r="H8" s="10"/>
      <c r="I8" s="21"/>
    </row>
    <row r="9" spans="1:9" x14ac:dyDescent="0.3">
      <c r="A9" s="20" t="s">
        <v>20</v>
      </c>
      <c r="B9" s="8">
        <v>7000</v>
      </c>
      <c r="C9" s="8">
        <f t="shared" si="2"/>
        <v>1000</v>
      </c>
      <c r="D9" s="8">
        <f t="shared" si="0"/>
        <v>105</v>
      </c>
      <c r="E9" s="8">
        <f t="shared" si="1"/>
        <v>1105</v>
      </c>
      <c r="F9" s="8"/>
      <c r="G9" s="8"/>
      <c r="H9" s="10"/>
      <c r="I9" s="21"/>
    </row>
    <row r="10" spans="1:9" x14ac:dyDescent="0.3">
      <c r="A10" s="20" t="s">
        <v>21</v>
      </c>
      <c r="B10" s="8">
        <v>6000</v>
      </c>
      <c r="C10" s="8">
        <f t="shared" si="2"/>
        <v>1000</v>
      </c>
      <c r="D10" s="8">
        <f t="shared" si="0"/>
        <v>90</v>
      </c>
      <c r="E10" s="8">
        <f t="shared" si="1"/>
        <v>1090</v>
      </c>
      <c r="F10" s="8"/>
      <c r="G10" s="8"/>
      <c r="H10" s="10"/>
      <c r="I10" s="21"/>
    </row>
    <row r="11" spans="1:9" x14ac:dyDescent="0.3">
      <c r="A11" s="20" t="s">
        <v>23</v>
      </c>
      <c r="B11" s="8">
        <v>5000</v>
      </c>
      <c r="C11" s="8">
        <f t="shared" si="2"/>
        <v>1000</v>
      </c>
      <c r="D11" s="8">
        <f t="shared" si="0"/>
        <v>75</v>
      </c>
      <c r="E11" s="8">
        <f t="shared" si="1"/>
        <v>1075</v>
      </c>
      <c r="F11" s="8"/>
      <c r="G11" s="8"/>
      <c r="H11" s="10"/>
      <c r="I11" s="21"/>
    </row>
    <row r="12" spans="1:9" x14ac:dyDescent="0.3">
      <c r="A12" s="20" t="s">
        <v>24</v>
      </c>
      <c r="B12" s="8">
        <v>4000</v>
      </c>
      <c r="C12" s="8">
        <f t="shared" si="2"/>
        <v>1000</v>
      </c>
      <c r="D12" s="8">
        <f t="shared" si="0"/>
        <v>60</v>
      </c>
      <c r="E12" s="8">
        <f t="shared" si="1"/>
        <v>1060</v>
      </c>
      <c r="F12" s="8"/>
      <c r="G12" s="8"/>
      <c r="H12" s="10"/>
      <c r="I12" s="21"/>
    </row>
    <row r="13" spans="1:9" x14ac:dyDescent="0.3">
      <c r="A13" s="20" t="s">
        <v>25</v>
      </c>
      <c r="B13" s="8">
        <v>3000</v>
      </c>
      <c r="C13" s="8">
        <f t="shared" si="2"/>
        <v>1000</v>
      </c>
      <c r="D13" s="8">
        <f t="shared" si="0"/>
        <v>45</v>
      </c>
      <c r="E13" s="8">
        <f t="shared" si="1"/>
        <v>1045</v>
      </c>
      <c r="F13" s="8"/>
      <c r="G13" s="8"/>
      <c r="H13" s="10"/>
      <c r="I13" s="21"/>
    </row>
    <row r="14" spans="1:9" x14ac:dyDescent="0.3">
      <c r="A14" s="20" t="s">
        <v>26</v>
      </c>
      <c r="B14" s="8">
        <v>2000</v>
      </c>
      <c r="C14" s="8">
        <f t="shared" si="2"/>
        <v>1000</v>
      </c>
      <c r="D14" s="8">
        <f t="shared" si="0"/>
        <v>30</v>
      </c>
      <c r="E14" s="8">
        <f t="shared" si="1"/>
        <v>1030</v>
      </c>
      <c r="F14" s="8"/>
      <c r="G14" s="8"/>
      <c r="H14" s="10"/>
      <c r="I14" s="21"/>
    </row>
    <row r="15" spans="1:9" x14ac:dyDescent="0.3">
      <c r="A15" s="31" t="s">
        <v>27</v>
      </c>
      <c r="B15" s="8">
        <v>1000</v>
      </c>
      <c r="C15" s="8">
        <f t="shared" si="2"/>
        <v>1000</v>
      </c>
      <c r="D15" s="8">
        <f t="shared" si="0"/>
        <v>15</v>
      </c>
      <c r="E15" s="8">
        <f t="shared" si="1"/>
        <v>1015</v>
      </c>
      <c r="F15" s="8"/>
      <c r="G15" s="8"/>
      <c r="H15" s="10"/>
      <c r="I15" s="32" t="s">
        <v>43</v>
      </c>
    </row>
    <row r="21" spans="1:9" x14ac:dyDescent="0.3">
      <c r="A21" s="40" t="s">
        <v>0</v>
      </c>
      <c r="B21" s="41"/>
      <c r="C21" s="41" t="s">
        <v>85</v>
      </c>
      <c r="D21" s="41"/>
      <c r="G21" s="2"/>
      <c r="H21" s="1" t="s">
        <v>1</v>
      </c>
      <c r="I21" s="3">
        <v>10000</v>
      </c>
    </row>
    <row r="22" spans="1:9" x14ac:dyDescent="0.3">
      <c r="A22" s="40" t="s">
        <v>2</v>
      </c>
      <c r="B22" s="4"/>
      <c r="D22" s="4"/>
      <c r="E22" s="1"/>
      <c r="F22" s="1"/>
      <c r="G22" s="5"/>
      <c r="H22" s="1" t="s">
        <v>3</v>
      </c>
      <c r="I22" s="9" t="s">
        <v>65</v>
      </c>
    </row>
    <row r="23" spans="1:9" x14ac:dyDescent="0.3">
      <c r="A23" s="40" t="s">
        <v>4</v>
      </c>
      <c r="B23" s="6"/>
      <c r="D23" s="6"/>
      <c r="F23" s="1"/>
      <c r="H23" s="1" t="s">
        <v>5</v>
      </c>
      <c r="I23" s="7">
        <v>1.4999999999999999E-2</v>
      </c>
    </row>
    <row r="24" spans="1:9" ht="15" thickBot="1" x14ac:dyDescent="0.35">
      <c r="A24" s="40" t="s">
        <v>6</v>
      </c>
      <c r="B24" s="26"/>
      <c r="E24" s="27"/>
      <c r="F24" s="27"/>
      <c r="H24" s="27" t="s">
        <v>7</v>
      </c>
      <c r="I24" s="6">
        <v>10</v>
      </c>
    </row>
    <row r="25" spans="1:9" ht="87" thickBot="1" x14ac:dyDescent="0.35">
      <c r="A25" s="11" t="s">
        <v>8</v>
      </c>
      <c r="B25" s="11" t="s">
        <v>9</v>
      </c>
      <c r="C25" s="11" t="s">
        <v>10</v>
      </c>
      <c r="D25" s="12" t="s">
        <v>11</v>
      </c>
      <c r="E25" s="13" t="s">
        <v>12</v>
      </c>
      <c r="F25" s="14" t="s">
        <v>13</v>
      </c>
      <c r="G25" s="14" t="s">
        <v>14</v>
      </c>
      <c r="H25" s="14" t="s">
        <v>15</v>
      </c>
      <c r="I25" s="15" t="s">
        <v>16</v>
      </c>
    </row>
    <row r="26" spans="1:9" x14ac:dyDescent="0.3">
      <c r="A26" s="16" t="s">
        <v>17</v>
      </c>
      <c r="B26" s="17">
        <f>I21</f>
        <v>10000</v>
      </c>
      <c r="C26" s="17">
        <f>I21/I24</f>
        <v>1000</v>
      </c>
      <c r="D26" s="17">
        <f t="shared" ref="D26:D35" si="3">(B26*0.015)</f>
        <v>150</v>
      </c>
      <c r="E26" s="17">
        <f t="shared" ref="E26:E35" si="4">$C$6+D26</f>
        <v>1150</v>
      </c>
      <c r="F26" s="17"/>
      <c r="G26" s="17"/>
      <c r="H26" s="18"/>
      <c r="I26" s="19"/>
    </row>
    <row r="27" spans="1:9" x14ac:dyDescent="0.3">
      <c r="A27" s="20" t="s">
        <v>18</v>
      </c>
      <c r="B27" s="8">
        <v>9000</v>
      </c>
      <c r="C27" s="8">
        <f t="shared" ref="C27:C35" si="5">$C$6</f>
        <v>1000</v>
      </c>
      <c r="D27" s="8">
        <f t="shared" si="3"/>
        <v>135</v>
      </c>
      <c r="E27" s="8">
        <f t="shared" si="4"/>
        <v>1135</v>
      </c>
      <c r="F27" s="8"/>
      <c r="G27" s="8"/>
      <c r="H27" s="10"/>
      <c r="I27" s="21"/>
    </row>
    <row r="28" spans="1:9" x14ac:dyDescent="0.3">
      <c r="A28" s="20" t="s">
        <v>19</v>
      </c>
      <c r="B28" s="8">
        <v>8000</v>
      </c>
      <c r="C28" s="8">
        <f t="shared" si="5"/>
        <v>1000</v>
      </c>
      <c r="D28" s="8">
        <f t="shared" si="3"/>
        <v>120</v>
      </c>
      <c r="E28" s="8">
        <f t="shared" si="4"/>
        <v>1120</v>
      </c>
      <c r="F28" s="8"/>
      <c r="G28" s="8"/>
      <c r="H28" s="10"/>
      <c r="I28" s="21"/>
    </row>
    <row r="29" spans="1:9" x14ac:dyDescent="0.3">
      <c r="A29" s="20" t="s">
        <v>20</v>
      </c>
      <c r="B29" s="8">
        <v>7000</v>
      </c>
      <c r="C29" s="8">
        <f t="shared" si="5"/>
        <v>1000</v>
      </c>
      <c r="D29" s="8">
        <f t="shared" si="3"/>
        <v>105</v>
      </c>
      <c r="E29" s="8">
        <f t="shared" si="4"/>
        <v>1105</v>
      </c>
      <c r="F29" s="8"/>
      <c r="G29" s="8"/>
      <c r="H29" s="10"/>
      <c r="I29" s="21"/>
    </row>
    <row r="30" spans="1:9" x14ac:dyDescent="0.3">
      <c r="A30" s="20" t="s">
        <v>21</v>
      </c>
      <c r="B30" s="8">
        <v>6000</v>
      </c>
      <c r="C30" s="8">
        <f t="shared" si="5"/>
        <v>1000</v>
      </c>
      <c r="D30" s="8">
        <f t="shared" si="3"/>
        <v>90</v>
      </c>
      <c r="E30" s="8">
        <f t="shared" si="4"/>
        <v>1090</v>
      </c>
      <c r="F30" s="8"/>
      <c r="G30" s="8"/>
      <c r="H30" s="10"/>
      <c r="I30" s="21"/>
    </row>
    <row r="31" spans="1:9" x14ac:dyDescent="0.3">
      <c r="A31" s="20" t="s">
        <v>23</v>
      </c>
      <c r="B31" s="8">
        <v>5000</v>
      </c>
      <c r="C31" s="8">
        <f t="shared" si="5"/>
        <v>1000</v>
      </c>
      <c r="D31" s="8">
        <f t="shared" si="3"/>
        <v>75</v>
      </c>
      <c r="E31" s="8">
        <f t="shared" si="4"/>
        <v>1075</v>
      </c>
      <c r="F31" s="8"/>
      <c r="G31" s="8"/>
      <c r="H31" s="10"/>
      <c r="I31" s="21"/>
    </row>
    <row r="32" spans="1:9" x14ac:dyDescent="0.3">
      <c r="A32" s="20" t="s">
        <v>24</v>
      </c>
      <c r="B32" s="8">
        <v>4000</v>
      </c>
      <c r="C32" s="8">
        <f t="shared" si="5"/>
        <v>1000</v>
      </c>
      <c r="D32" s="8">
        <f t="shared" si="3"/>
        <v>60</v>
      </c>
      <c r="E32" s="8">
        <f t="shared" si="4"/>
        <v>1060</v>
      </c>
      <c r="F32" s="8"/>
      <c r="G32" s="8"/>
      <c r="H32" s="10"/>
      <c r="I32" s="21"/>
    </row>
    <row r="33" spans="1:9" x14ac:dyDescent="0.3">
      <c r="A33" s="20" t="s">
        <v>25</v>
      </c>
      <c r="B33" s="8">
        <v>3000</v>
      </c>
      <c r="C33" s="8">
        <f t="shared" si="5"/>
        <v>1000</v>
      </c>
      <c r="D33" s="8">
        <f t="shared" si="3"/>
        <v>45</v>
      </c>
      <c r="E33" s="8">
        <f t="shared" si="4"/>
        <v>1045</v>
      </c>
      <c r="F33" s="8"/>
      <c r="G33" s="8"/>
      <c r="H33" s="10"/>
      <c r="I33" s="21"/>
    </row>
    <row r="34" spans="1:9" x14ac:dyDescent="0.3">
      <c r="A34" s="20" t="s">
        <v>26</v>
      </c>
      <c r="B34" s="8">
        <v>2000</v>
      </c>
      <c r="C34" s="8">
        <f t="shared" si="5"/>
        <v>1000</v>
      </c>
      <c r="D34" s="8">
        <f t="shared" si="3"/>
        <v>30</v>
      </c>
      <c r="E34" s="8">
        <f t="shared" si="4"/>
        <v>1030</v>
      </c>
      <c r="F34" s="8"/>
      <c r="G34" s="8"/>
      <c r="H34" s="10"/>
      <c r="I34" s="21"/>
    </row>
    <row r="35" spans="1:9" x14ac:dyDescent="0.3">
      <c r="A35" s="31" t="s">
        <v>27</v>
      </c>
      <c r="B35" s="8">
        <v>1000</v>
      </c>
      <c r="C35" s="8">
        <f t="shared" si="5"/>
        <v>1000</v>
      </c>
      <c r="D35" s="8">
        <f t="shared" si="3"/>
        <v>15</v>
      </c>
      <c r="E35" s="8">
        <f t="shared" si="4"/>
        <v>1015</v>
      </c>
      <c r="F35" s="8"/>
      <c r="G35" s="8"/>
      <c r="H35" s="10"/>
      <c r="I35" s="32" t="s">
        <v>43</v>
      </c>
    </row>
    <row r="38" spans="1:9" x14ac:dyDescent="0.3">
      <c r="A38" s="40" t="s">
        <v>0</v>
      </c>
      <c r="B38" s="6"/>
      <c r="C38" s="6" t="s">
        <v>86</v>
      </c>
      <c r="D38" s="6"/>
      <c r="F38" s="2"/>
      <c r="H38" s="1" t="s">
        <v>1</v>
      </c>
      <c r="I38" s="3">
        <v>10000</v>
      </c>
    </row>
    <row r="39" spans="1:9" x14ac:dyDescent="0.3">
      <c r="A39" s="40" t="s">
        <v>2</v>
      </c>
      <c r="B39" s="4"/>
      <c r="D39" s="4"/>
      <c r="E39" s="1"/>
      <c r="F39" s="1"/>
      <c r="H39" s="48" t="s">
        <v>84</v>
      </c>
      <c r="I39" s="9" t="s">
        <v>76</v>
      </c>
    </row>
    <row r="40" spans="1:9" x14ac:dyDescent="0.3">
      <c r="A40" s="40" t="s">
        <v>4</v>
      </c>
      <c r="B40" s="6"/>
      <c r="D40" s="6"/>
      <c r="F40" s="1"/>
      <c r="H40" s="1" t="s">
        <v>5</v>
      </c>
      <c r="I40" s="7">
        <v>1.4999999999999999E-2</v>
      </c>
    </row>
    <row r="41" spans="1:9" ht="15" thickBot="1" x14ac:dyDescent="0.35">
      <c r="A41" s="40" t="s">
        <v>6</v>
      </c>
      <c r="B41" s="26"/>
      <c r="E41" s="27"/>
      <c r="H41" s="27" t="s">
        <v>7</v>
      </c>
      <c r="I41" s="6">
        <v>10</v>
      </c>
    </row>
    <row r="42" spans="1:9" ht="87" thickBot="1" x14ac:dyDescent="0.35">
      <c r="A42" s="11" t="s">
        <v>8</v>
      </c>
      <c r="B42" s="11" t="s">
        <v>9</v>
      </c>
      <c r="C42" s="11" t="s">
        <v>10</v>
      </c>
      <c r="D42" s="12" t="s">
        <v>11</v>
      </c>
      <c r="E42" s="13" t="s">
        <v>12</v>
      </c>
      <c r="F42" s="14" t="s">
        <v>13</v>
      </c>
      <c r="G42" s="14" t="s">
        <v>14</v>
      </c>
      <c r="H42" s="14" t="s">
        <v>15</v>
      </c>
      <c r="I42" s="15" t="s">
        <v>16</v>
      </c>
    </row>
    <row r="43" spans="1:9" x14ac:dyDescent="0.3">
      <c r="A43" s="16" t="s">
        <v>17</v>
      </c>
      <c r="B43" s="17">
        <f>I38</f>
        <v>10000</v>
      </c>
      <c r="C43" s="17">
        <f>I38/I41</f>
        <v>1000</v>
      </c>
      <c r="D43" s="17">
        <f t="shared" ref="D43:D52" si="6">(B43*0.015)</f>
        <v>150</v>
      </c>
      <c r="E43" s="17">
        <f t="shared" ref="E43:E52" si="7">$C$6+D43</f>
        <v>1150</v>
      </c>
      <c r="F43" s="17"/>
      <c r="G43" s="17"/>
      <c r="H43" s="18"/>
      <c r="I43" s="19"/>
    </row>
    <row r="44" spans="1:9" x14ac:dyDescent="0.3">
      <c r="A44" s="20" t="s">
        <v>18</v>
      </c>
      <c r="B44" s="8">
        <v>9000</v>
      </c>
      <c r="C44" s="8">
        <f t="shared" ref="C44:C52" si="8">$C$6</f>
        <v>1000</v>
      </c>
      <c r="D44" s="8">
        <f t="shared" si="6"/>
        <v>135</v>
      </c>
      <c r="E44" s="8">
        <f t="shared" si="7"/>
        <v>1135</v>
      </c>
      <c r="F44" s="8"/>
      <c r="G44" s="8"/>
      <c r="H44" s="10"/>
      <c r="I44" s="21"/>
    </row>
    <row r="45" spans="1:9" x14ac:dyDescent="0.3">
      <c r="A45" s="20" t="s">
        <v>19</v>
      </c>
      <c r="B45" s="8">
        <v>8000</v>
      </c>
      <c r="C45" s="8">
        <f t="shared" si="8"/>
        <v>1000</v>
      </c>
      <c r="D45" s="8">
        <f t="shared" si="6"/>
        <v>120</v>
      </c>
      <c r="E45" s="8">
        <f t="shared" si="7"/>
        <v>1120</v>
      </c>
      <c r="F45" s="8"/>
      <c r="G45" s="8"/>
      <c r="H45" s="10"/>
      <c r="I45" s="21"/>
    </row>
    <row r="46" spans="1:9" x14ac:dyDescent="0.3">
      <c r="A46" s="20" t="s">
        <v>20</v>
      </c>
      <c r="B46" s="8">
        <v>7000</v>
      </c>
      <c r="C46" s="8">
        <f t="shared" si="8"/>
        <v>1000</v>
      </c>
      <c r="D46" s="8">
        <f t="shared" si="6"/>
        <v>105</v>
      </c>
      <c r="E46" s="8">
        <f t="shared" si="7"/>
        <v>1105</v>
      </c>
      <c r="F46" s="8"/>
      <c r="G46" s="8"/>
      <c r="H46" s="10"/>
      <c r="I46" s="21"/>
    </row>
    <row r="47" spans="1:9" x14ac:dyDescent="0.3">
      <c r="A47" s="20" t="s">
        <v>21</v>
      </c>
      <c r="B47" s="8">
        <v>6000</v>
      </c>
      <c r="C47" s="8">
        <f t="shared" si="8"/>
        <v>1000</v>
      </c>
      <c r="D47" s="8">
        <f t="shared" si="6"/>
        <v>90</v>
      </c>
      <c r="E47" s="8">
        <f t="shared" si="7"/>
        <v>1090</v>
      </c>
      <c r="F47" s="8"/>
      <c r="G47" s="8"/>
      <c r="H47" s="10"/>
      <c r="I47" s="21"/>
    </row>
    <row r="48" spans="1:9" x14ac:dyDescent="0.3">
      <c r="A48" s="20" t="s">
        <v>23</v>
      </c>
      <c r="B48" s="8">
        <v>5000</v>
      </c>
      <c r="C48" s="8">
        <f t="shared" si="8"/>
        <v>1000</v>
      </c>
      <c r="D48" s="8">
        <f t="shared" si="6"/>
        <v>75</v>
      </c>
      <c r="E48" s="8">
        <f t="shared" si="7"/>
        <v>1075</v>
      </c>
      <c r="F48" s="8"/>
      <c r="G48" s="8"/>
      <c r="H48" s="10"/>
      <c r="I48" s="21"/>
    </row>
    <row r="49" spans="1:9" x14ac:dyDescent="0.3">
      <c r="A49" s="20" t="s">
        <v>24</v>
      </c>
      <c r="B49" s="8">
        <v>4000</v>
      </c>
      <c r="C49" s="8">
        <f t="shared" si="8"/>
        <v>1000</v>
      </c>
      <c r="D49" s="8">
        <f t="shared" si="6"/>
        <v>60</v>
      </c>
      <c r="E49" s="8">
        <f t="shared" si="7"/>
        <v>1060</v>
      </c>
      <c r="F49" s="8"/>
      <c r="G49" s="8"/>
      <c r="H49" s="10"/>
      <c r="I49" s="21"/>
    </row>
    <row r="50" spans="1:9" x14ac:dyDescent="0.3">
      <c r="A50" s="20" t="s">
        <v>25</v>
      </c>
      <c r="B50" s="8">
        <v>3000</v>
      </c>
      <c r="C50" s="8">
        <f t="shared" si="8"/>
        <v>1000</v>
      </c>
      <c r="D50" s="8">
        <f t="shared" si="6"/>
        <v>45</v>
      </c>
      <c r="E50" s="8">
        <f t="shared" si="7"/>
        <v>1045</v>
      </c>
      <c r="F50" s="8"/>
      <c r="G50" s="8"/>
      <c r="H50" s="10"/>
      <c r="I50" s="21"/>
    </row>
    <row r="51" spans="1:9" x14ac:dyDescent="0.3">
      <c r="A51" s="20" t="s">
        <v>26</v>
      </c>
      <c r="B51" s="8">
        <v>2000</v>
      </c>
      <c r="C51" s="8">
        <f t="shared" si="8"/>
        <v>1000</v>
      </c>
      <c r="D51" s="8">
        <f t="shared" si="6"/>
        <v>30</v>
      </c>
      <c r="E51" s="8">
        <f t="shared" si="7"/>
        <v>1030</v>
      </c>
      <c r="F51" s="8"/>
      <c r="G51" s="8"/>
      <c r="H51" s="10"/>
      <c r="I51" s="21"/>
    </row>
    <row r="52" spans="1:9" x14ac:dyDescent="0.3">
      <c r="A52" s="31" t="s">
        <v>27</v>
      </c>
      <c r="B52" s="8">
        <v>1000</v>
      </c>
      <c r="C52" s="8">
        <f t="shared" si="8"/>
        <v>1000</v>
      </c>
      <c r="D52" s="8">
        <f t="shared" si="6"/>
        <v>15</v>
      </c>
      <c r="E52" s="8">
        <f t="shared" si="7"/>
        <v>1015</v>
      </c>
      <c r="F52" s="8"/>
      <c r="G52" s="8"/>
      <c r="H52" s="10"/>
      <c r="I52" s="32" t="s">
        <v>43</v>
      </c>
    </row>
  </sheetData>
  <pageMargins left="0.25" right="0.25" top="0.75" bottom="0.75" header="0.3" footer="0.3"/>
  <pageSetup paperSize="256" orientation="portrait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9</vt:i4>
      </vt:variant>
    </vt:vector>
  </HeadingPairs>
  <TitlesOfParts>
    <vt:vector size="50" baseType="lpstr">
      <vt:lpstr>2 months</vt:lpstr>
      <vt:lpstr>1 month</vt:lpstr>
      <vt:lpstr>18</vt:lpstr>
      <vt:lpstr>3 mos</vt:lpstr>
      <vt:lpstr>9 mos</vt:lpstr>
      <vt:lpstr>6 mos</vt:lpstr>
      <vt:lpstr>8 mos</vt:lpstr>
      <vt:lpstr>15 mos</vt:lpstr>
      <vt:lpstr>20 mos</vt:lpstr>
      <vt:lpstr>7 mos</vt:lpstr>
      <vt:lpstr>5 mos</vt:lpstr>
      <vt:lpstr>10 mos</vt:lpstr>
      <vt:lpstr>12 mos</vt:lpstr>
      <vt:lpstr>24 mos</vt:lpstr>
      <vt:lpstr>36 mos</vt:lpstr>
      <vt:lpstr>4 mos</vt:lpstr>
      <vt:lpstr>60-12</vt:lpstr>
      <vt:lpstr>50-12</vt:lpstr>
      <vt:lpstr>30-12</vt:lpstr>
      <vt:lpstr>10-3</vt:lpstr>
      <vt:lpstr>20-24</vt:lpstr>
      <vt:lpstr>twenty five-12</vt:lpstr>
      <vt:lpstr>20-2</vt:lpstr>
      <vt:lpstr>20-1</vt:lpstr>
      <vt:lpstr>5-1</vt:lpstr>
      <vt:lpstr>50-2</vt:lpstr>
      <vt:lpstr>100-6</vt:lpstr>
      <vt:lpstr>50-5</vt:lpstr>
      <vt:lpstr>3-1</vt:lpstr>
      <vt:lpstr>Five-1</vt:lpstr>
      <vt:lpstr>10-12</vt:lpstr>
      <vt:lpstr>15-12</vt:lpstr>
      <vt:lpstr>25-10</vt:lpstr>
      <vt:lpstr>35-10</vt:lpstr>
      <vt:lpstr>50-10</vt:lpstr>
      <vt:lpstr>80-6</vt:lpstr>
      <vt:lpstr>5-6</vt:lpstr>
      <vt:lpstr>25-12</vt:lpstr>
      <vt:lpstr>30-10</vt:lpstr>
      <vt:lpstr>20-10</vt:lpstr>
      <vt:lpstr>10-10</vt:lpstr>
      <vt:lpstr>'1 month'!Print_Area</vt:lpstr>
      <vt:lpstr>'10 mos'!Print_Area</vt:lpstr>
      <vt:lpstr>'12 mos'!Print_Area</vt:lpstr>
      <vt:lpstr>'24 mos'!Print_Area</vt:lpstr>
      <vt:lpstr>'3 mos'!Print_Area</vt:lpstr>
      <vt:lpstr>'36 mos'!Print_Area</vt:lpstr>
      <vt:lpstr>'4 mos'!Print_Area</vt:lpstr>
      <vt:lpstr>'5 mos'!Print_Area</vt:lpstr>
      <vt:lpstr>'6 mos'!Print_Area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 DE VENECIA</dc:creator>
  <cp:lastModifiedBy>KHSMentorsMPC@outlook.com</cp:lastModifiedBy>
  <cp:lastPrinted>2025-10-22T05:04:48Z</cp:lastPrinted>
  <dcterms:created xsi:type="dcterms:W3CDTF">2024-06-03T09:13:48Z</dcterms:created>
  <dcterms:modified xsi:type="dcterms:W3CDTF">2025-10-22T05:04:53Z</dcterms:modified>
</cp:coreProperties>
</file>